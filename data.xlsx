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XT AI Assistant Final\"/>
    </mc:Choice>
  </mc:AlternateContent>
  <xr:revisionPtr revIDLastSave="0" documentId="13_ncr:1_{602A0A21-8306-4126-BBD9-720C8598AEC3}" xr6:coauthVersionLast="47" xr6:coauthVersionMax="47" xr10:uidLastSave="{00000000-0000-0000-0000-000000000000}"/>
  <bookViews>
    <workbookView xWindow="-110" yWindow="-110" windowWidth="19420" windowHeight="10300" firstSheet="1" activeTab="1" xr2:uid="{AD7D4469-ADA3-46AB-ACB6-A43C6E552339}"/>
  </bookViews>
  <sheets>
    <sheet name="LM vs roster validation" sheetId="7" state="hidden" r:id="rId1"/>
    <sheet name="Roster" sheetId="1" r:id="rId2"/>
    <sheet name="Transferred" sheetId="8" state="hidden" r:id="rId3"/>
    <sheet name="Termination Types-Reasons" sheetId="3" state="hidden" r:id="rId4"/>
    <sheet name="Termination codes" sheetId="10" state="hidden" r:id="rId5"/>
  </sheets>
  <externalReferences>
    <externalReference r:id="rId6"/>
  </externalReferences>
  <definedNames>
    <definedName name="_xlnm._FilterDatabase" localSheetId="1" hidden="1">Roster!$A$1:$AB$1369</definedName>
    <definedName name="_xlnm._FilterDatabase" localSheetId="4" hidden="1">'Termination codes'!$A$3:$E$69</definedName>
    <definedName name="_xlnm._FilterDatabase" localSheetId="2" hidden="1">Transferred!$A$1:$BR$19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86" i="1" l="1"/>
  <c r="B758" i="1"/>
  <c r="B699" i="1"/>
  <c r="B784" i="1"/>
  <c r="B719" i="1"/>
  <c r="D886" i="1"/>
  <c r="D758" i="1"/>
  <c r="D699" i="1"/>
  <c r="D784" i="1"/>
  <c r="D719" i="1"/>
  <c r="F8" i="7" l="1"/>
  <c r="I7" i="7"/>
  <c r="I6" i="7"/>
  <c r="I5" i="7"/>
  <c r="H4" i="7"/>
  <c r="H8" i="7" s="1"/>
  <c r="I8" i="7" l="1"/>
  <c r="I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Abdoulrazek, Mohamed</author>
  </authors>
  <commentList>
    <comment ref="R10" authorId="0" shapeId="0" xr:uid="{071406C0-AD38-4836-96A0-952CD36EAF33}">
      <text>
        <r>
          <rPr>
            <b/>
            <sz val="9"/>
            <color indexed="81"/>
            <rFont val="Tahoma"/>
            <family val="2"/>
          </rPr>
          <t>Abdoulrazek, Mohamed:</t>
        </r>
        <r>
          <rPr>
            <sz val="9"/>
            <color indexed="81"/>
            <rFont val="Tahoma"/>
            <family val="2"/>
          </rPr>
          <t xml:space="preserve">
Corrected by Zia</t>
        </r>
      </text>
    </comment>
  </commentList>
</comments>
</file>

<file path=xl/sharedStrings.xml><?xml version="1.0" encoding="utf-8"?>
<sst xmlns="http://schemas.openxmlformats.org/spreadsheetml/2006/main" count="27689" uniqueCount="4404">
  <si>
    <t>Row Labels</t>
  </si>
  <si>
    <t>Count of Department</t>
  </si>
  <si>
    <t>CRET</t>
  </si>
  <si>
    <t>Inbound</t>
  </si>
  <si>
    <t>ICQA</t>
  </si>
  <si>
    <t>Outbound</t>
  </si>
  <si>
    <t>Sort Center</t>
  </si>
  <si>
    <t>Warehouse Deals</t>
  </si>
  <si>
    <t>Grand Total</t>
  </si>
  <si>
    <t>Type</t>
  </si>
  <si>
    <t>Direct</t>
  </si>
  <si>
    <t>anshafik</t>
  </si>
  <si>
    <t>jangelad</t>
  </si>
  <si>
    <t>Palanikb</t>
  </si>
  <si>
    <t>antonyko</t>
  </si>
  <si>
    <t>bizthoma</t>
  </si>
  <si>
    <t>illatken</t>
  </si>
  <si>
    <t>khaledms</t>
  </si>
  <si>
    <t>muhaatta</t>
  </si>
  <si>
    <t>sidamra</t>
  </si>
  <si>
    <t>Adecco</t>
  </si>
  <si>
    <t>Blue Badge</t>
  </si>
  <si>
    <t>Dulsco</t>
  </si>
  <si>
    <t>EFS</t>
  </si>
  <si>
    <t>Fastlink</t>
  </si>
  <si>
    <t>Innovations - UAE</t>
  </si>
  <si>
    <t>Mycon</t>
  </si>
  <si>
    <t>Quesscorp</t>
  </si>
  <si>
    <t>SR</t>
  </si>
  <si>
    <t>Psoft ID</t>
  </si>
  <si>
    <t>Badge ID</t>
  </si>
  <si>
    <t>Amazon ID</t>
  </si>
  <si>
    <t>Employee Name</t>
  </si>
  <si>
    <t>DOJ</t>
  </si>
  <si>
    <t>Employment Type</t>
  </si>
  <si>
    <t>Building</t>
  </si>
  <si>
    <t>Initial site</t>
  </si>
  <si>
    <t>Cost Center</t>
  </si>
  <si>
    <t>Shift</t>
  </si>
  <si>
    <t>OFF1</t>
  </si>
  <si>
    <t>OFF2</t>
  </si>
  <si>
    <t>Job Title</t>
  </si>
  <si>
    <t>Is Away team? (Y/N)</t>
  </si>
  <si>
    <t>Department</t>
  </si>
  <si>
    <t>AUH1 start date</t>
  </si>
  <si>
    <t>Process Path</t>
  </si>
  <si>
    <t>Pickup point</t>
  </si>
  <si>
    <t>Locker Number</t>
  </si>
  <si>
    <t>Floor</t>
  </si>
  <si>
    <t>Phone number</t>
  </si>
  <si>
    <t>Email address</t>
  </si>
  <si>
    <t>Home county</t>
  </si>
  <si>
    <t>3P</t>
  </si>
  <si>
    <t>Line Manager Login</t>
  </si>
  <si>
    <t>Line Manager</t>
  </si>
  <si>
    <t>Gender</t>
  </si>
  <si>
    <t>Tshirt Size</t>
  </si>
  <si>
    <t>Job level</t>
  </si>
  <si>
    <t>Shift after 24</t>
  </si>
  <si>
    <t>System site</t>
  </si>
  <si>
    <t>Turnstile 11th Aug</t>
  </si>
  <si>
    <t>L&amp;D report 11 Aug</t>
  </si>
  <si>
    <t>Week Off 1</t>
  </si>
  <si>
    <t>Week Off 2</t>
  </si>
  <si>
    <t>Old shift</t>
  </si>
  <si>
    <t>Old site off1</t>
  </si>
  <si>
    <t>Old site off2</t>
  </si>
  <si>
    <t>Is matching shift</t>
  </si>
  <si>
    <t>Is matching1</t>
  </si>
  <si>
    <t>Is matching2</t>
  </si>
  <si>
    <t>pmwauraj</t>
  </si>
  <si>
    <t>Temporary</t>
  </si>
  <si>
    <t>AUH1</t>
  </si>
  <si>
    <t>DXB3</t>
  </si>
  <si>
    <t>Day Shift</t>
  </si>
  <si>
    <t>Thursday</t>
  </si>
  <si>
    <t>Friday</t>
  </si>
  <si>
    <t>Warehouse Associate (TEMP)</t>
  </si>
  <si>
    <t>Customer Returns</t>
  </si>
  <si>
    <t>Mezzanine Level</t>
  </si>
  <si>
    <t>Shafik,Andrew Adel</t>
  </si>
  <si>
    <t>Male</t>
  </si>
  <si>
    <t>Night Shift</t>
  </si>
  <si>
    <t>Relocation Leave</t>
  </si>
  <si>
    <t>OFF</t>
  </si>
  <si>
    <t>Ghana</t>
  </si>
  <si>
    <t>daniboah</t>
  </si>
  <si>
    <t>Wednesday</t>
  </si>
  <si>
    <t>Saturday</t>
  </si>
  <si>
    <t>Monday</t>
  </si>
  <si>
    <t>Tuesday</t>
  </si>
  <si>
    <t>everxmil</t>
  </si>
  <si>
    <t>Female</t>
  </si>
  <si>
    <t>Night shift</t>
  </si>
  <si>
    <t>Sunday</t>
  </si>
  <si>
    <t>Uganda</t>
  </si>
  <si>
    <t>jglakuma</t>
  </si>
  <si>
    <t>mwiiroja</t>
  </si>
  <si>
    <t>namutmar</t>
  </si>
  <si>
    <t>musakmwe</t>
  </si>
  <si>
    <t>ncusilet</t>
  </si>
  <si>
    <t>ndanzyco</t>
  </si>
  <si>
    <t>emmbrobb</t>
  </si>
  <si>
    <t>M</t>
  </si>
  <si>
    <t>sandrtka</t>
  </si>
  <si>
    <t>DXB5</t>
  </si>
  <si>
    <t>IC/QA/CS</t>
  </si>
  <si>
    <t>L</t>
  </si>
  <si>
    <t>fzizinga</t>
  </si>
  <si>
    <t>Zizinga Faizal</t>
  </si>
  <si>
    <t>pyaeomau</t>
  </si>
  <si>
    <t>Pyae Phyo Maung</t>
  </si>
  <si>
    <t>XL</t>
  </si>
  <si>
    <t>Ground Level</t>
  </si>
  <si>
    <t>Receive</t>
  </si>
  <si>
    <t>franokai</t>
  </si>
  <si>
    <t>nbalakji</t>
  </si>
  <si>
    <t>PURAKKAL</t>
  </si>
  <si>
    <t>Regular</t>
  </si>
  <si>
    <t>FC Associate I</t>
  </si>
  <si>
    <t>RAJUGHIM</t>
  </si>
  <si>
    <t>Ghimire,Raju</t>
  </si>
  <si>
    <t>JAYPEEL</t>
  </si>
  <si>
    <t>THATTYOD</t>
  </si>
  <si>
    <t>Thattyodan,Sarang</t>
  </si>
  <si>
    <t>SUNDARAD</t>
  </si>
  <si>
    <t>ADIMUHAM</t>
  </si>
  <si>
    <t>Pakistan</t>
  </si>
  <si>
    <t>RVEETIL</t>
  </si>
  <si>
    <t>lmohsyed</t>
  </si>
  <si>
    <t>SMUHAMA</t>
  </si>
  <si>
    <t>Muhammad Shahzad</t>
  </si>
  <si>
    <t>S</t>
  </si>
  <si>
    <t>mkhlim</t>
  </si>
  <si>
    <t>Muhammad Khalid</t>
  </si>
  <si>
    <t>jemaisen</t>
  </si>
  <si>
    <t>Jemaisen Hermano Plaza</t>
  </si>
  <si>
    <t>irfmali</t>
  </si>
  <si>
    <t>Muhammad,Malik</t>
  </si>
  <si>
    <t>Stow</t>
  </si>
  <si>
    <t>Bala,Palanikumar</t>
  </si>
  <si>
    <t>gautasu</t>
  </si>
  <si>
    <t>Suresh Gautam</t>
  </si>
  <si>
    <t>naemalla</t>
  </si>
  <si>
    <t>Malladi, NagaBhushananm</t>
  </si>
  <si>
    <t>Deligero,Julia Angela Esmabe</t>
  </si>
  <si>
    <t>PRASADOP</t>
  </si>
  <si>
    <t>Omprakash Prasad</t>
  </si>
  <si>
    <t>madhavau</t>
  </si>
  <si>
    <t>Valiyaparambil Madhavan,Unnikrishnan</t>
  </si>
  <si>
    <t>ykkoffi</t>
  </si>
  <si>
    <t>Koffi,Yao Pacome</t>
  </si>
  <si>
    <t>ajmalaa</t>
  </si>
  <si>
    <t>Abdul Qadir Muhammad Ajmal</t>
  </si>
  <si>
    <t>alhajban</t>
  </si>
  <si>
    <t>Alhaji Amara Rahman Bangura</t>
  </si>
  <si>
    <t>ABERIAJ</t>
  </si>
  <si>
    <t>Jennifer Bacsa Aberia</t>
  </si>
  <si>
    <t>BENTEROE</t>
  </si>
  <si>
    <t>Edito Bentero</t>
  </si>
  <si>
    <t>aliallaf</t>
  </si>
  <si>
    <t>Receive Dock</t>
  </si>
  <si>
    <t>bowusuda</t>
  </si>
  <si>
    <t>manjegra</t>
  </si>
  <si>
    <t>joaagyek</t>
  </si>
  <si>
    <t>karugaba</t>
  </si>
  <si>
    <t>jonztutu</t>
  </si>
  <si>
    <t>quayeell</t>
  </si>
  <si>
    <t>jrockson</t>
  </si>
  <si>
    <t>owususol</t>
  </si>
  <si>
    <t>tabtabi</t>
  </si>
  <si>
    <t>blesndu</t>
  </si>
  <si>
    <t>Blessing Anya Ndu</t>
  </si>
  <si>
    <t>ISS</t>
  </si>
  <si>
    <t>dorasare</t>
  </si>
  <si>
    <t>Dorothy Asare</t>
  </si>
  <si>
    <t>pdavadom</t>
  </si>
  <si>
    <t>David Benjamin Adom</t>
  </si>
  <si>
    <t>amaduga</t>
  </si>
  <si>
    <t>Ganiu Amadu</t>
  </si>
  <si>
    <t>boamhenr</t>
  </si>
  <si>
    <t>Henry Asiamah Boamah</t>
  </si>
  <si>
    <t>kombabep</t>
  </si>
  <si>
    <t>Abel Bayelema Kombat</t>
  </si>
  <si>
    <t>xcemmanu</t>
  </si>
  <si>
    <t>Emmanuel Cudjoe</t>
  </si>
  <si>
    <t>francpam</t>
  </si>
  <si>
    <t>Francis Ampong</t>
  </si>
  <si>
    <t>frimpofr</t>
  </si>
  <si>
    <t>Francis Owusu Frimpong</t>
  </si>
  <si>
    <t>mbvirapf</t>
  </si>
  <si>
    <t>Rogers Francis Mbvira Pfouma</t>
  </si>
  <si>
    <t>nrahamoh</t>
  </si>
  <si>
    <t>Mohammad Abdul Rahaman</t>
  </si>
  <si>
    <t>agorgije</t>
  </si>
  <si>
    <t>Jonathan Agorgi</t>
  </si>
  <si>
    <t>ayematil</t>
  </si>
  <si>
    <t>Matilda Ayesu</t>
  </si>
  <si>
    <t>darkwamj</t>
  </si>
  <si>
    <t>Michael Darkwah</t>
  </si>
  <si>
    <t>kabbrigg</t>
  </si>
  <si>
    <t>Briggs Mudiwa Kabaya</t>
  </si>
  <si>
    <t>kamargib</t>
  </si>
  <si>
    <t>Gibrilla Kamara</t>
  </si>
  <si>
    <t>sadatayu</t>
  </si>
  <si>
    <t>Sadat Ayuba</t>
  </si>
  <si>
    <t>samlisaa</t>
  </si>
  <si>
    <t>Isaac Sam</t>
  </si>
  <si>
    <t>soebenep</t>
  </si>
  <si>
    <t>Ebenezer Somiah</t>
  </si>
  <si>
    <t>agyeieem</t>
  </si>
  <si>
    <t>Emmanuel Yeboah Agyei</t>
  </si>
  <si>
    <t>bismopok</t>
  </si>
  <si>
    <t>Bismark Opoku</t>
  </si>
  <si>
    <t>earbajen</t>
  </si>
  <si>
    <t>Jennifer Arbah</t>
  </si>
  <si>
    <t>evanasam</t>
  </si>
  <si>
    <t>Evans Asamoah</t>
  </si>
  <si>
    <t>hissahza</t>
  </si>
  <si>
    <t>Zainab Issah</t>
  </si>
  <si>
    <t>ndedjose</t>
  </si>
  <si>
    <t>Joseph Ndede</t>
  </si>
  <si>
    <t>qmichtut</t>
  </si>
  <si>
    <t>Michael Osei Tutu</t>
  </si>
  <si>
    <t>chsampan</t>
  </si>
  <si>
    <t>asiamahb</t>
  </si>
  <si>
    <t>leeyntem</t>
  </si>
  <si>
    <t>tashindu</t>
  </si>
  <si>
    <t>bihveraf</t>
  </si>
  <si>
    <t>tsadorca</t>
  </si>
  <si>
    <t>Dorcas Sakyiamah</t>
  </si>
  <si>
    <t>berchimh</t>
  </si>
  <si>
    <t>brerubay</t>
  </si>
  <si>
    <t>essummau</t>
  </si>
  <si>
    <t>ngwesola</t>
  </si>
  <si>
    <t>njitaria</t>
  </si>
  <si>
    <t>galeowus</t>
  </si>
  <si>
    <t>kadelias</t>
  </si>
  <si>
    <t>cenocasa</t>
  </si>
  <si>
    <t>goodeuge</t>
  </si>
  <si>
    <t>osjosepf</t>
  </si>
  <si>
    <t>julieoky</t>
  </si>
  <si>
    <t>nyanprin</t>
  </si>
  <si>
    <t>ruteshun</t>
  </si>
  <si>
    <t>FC Associate III</t>
  </si>
  <si>
    <t>mangondi</t>
  </si>
  <si>
    <t>Mangondili,Lilac Jayawon</t>
  </si>
  <si>
    <t>kmadhusr</t>
  </si>
  <si>
    <t>Kandala Madhusudhan Rao</t>
  </si>
  <si>
    <t>dimohanr</t>
  </si>
  <si>
    <t>DineshKumar Mohanraj</t>
  </si>
  <si>
    <t>kmmohami</t>
  </si>
  <si>
    <t>K M Mohamed Imran</t>
  </si>
  <si>
    <t>minooxye</t>
  </si>
  <si>
    <t>Ye Min Oo</t>
  </si>
  <si>
    <t>nyeineb</t>
  </si>
  <si>
    <t>Ei Ei Nyein</t>
  </si>
  <si>
    <t>pyaminso</t>
  </si>
  <si>
    <t>Yamin Kyaw Soe</t>
  </si>
  <si>
    <t>qkhinmek</t>
  </si>
  <si>
    <t>Khin Me Me Ko</t>
  </si>
  <si>
    <t>aungphy</t>
  </si>
  <si>
    <t>Aung Thu Ya Phyo</t>
  </si>
  <si>
    <t>ivashimk</t>
  </si>
  <si>
    <t>Vashim Khan</t>
  </si>
  <si>
    <t>moshareb</t>
  </si>
  <si>
    <t>MOHAMMED SHAREEF KUTTILA VALAPPIL</t>
  </si>
  <si>
    <t>nardsa</t>
  </si>
  <si>
    <t xml:space="preserve">Saw lwe Nar </t>
  </si>
  <si>
    <t>myasaung</t>
  </si>
  <si>
    <t>Aung Kaung Myat</t>
  </si>
  <si>
    <t>ansafraz</t>
  </si>
  <si>
    <t>Francis Owusu Ansah</t>
  </si>
  <si>
    <t>itawiah</t>
  </si>
  <si>
    <t>Isaac Tilor Tawiah</t>
  </si>
  <si>
    <t>musthais</t>
  </si>
  <si>
    <t>ISMAIL THEKKE KUNNUMMAL MUSTHAFA</t>
  </si>
  <si>
    <t>vkaunght</t>
  </si>
  <si>
    <t>Kaung Htet</t>
  </si>
  <si>
    <t>ikeharsa</t>
  </si>
  <si>
    <t>Kehar Sing Sarki</t>
  </si>
  <si>
    <t>haykweat</t>
  </si>
  <si>
    <t>Kweatey Tetteh Hayford</t>
  </si>
  <si>
    <t>minkhine</t>
  </si>
  <si>
    <t>Min Thway Khine</t>
  </si>
  <si>
    <t>shahidgm</t>
  </si>
  <si>
    <t>MOHAMMAD SARFARAZ ANSARI SHAHID</t>
  </si>
  <si>
    <t>maxmrith</t>
  </si>
  <si>
    <t xml:space="preserve">Mrithul Maxy </t>
  </si>
  <si>
    <t>murssesa</t>
  </si>
  <si>
    <t>MURSHID SSESANGA</t>
  </si>
  <si>
    <t>painmyat</t>
  </si>
  <si>
    <t>Myat Nay Paing</t>
  </si>
  <si>
    <t>nyanahte</t>
  </si>
  <si>
    <t>Nyan Lin Htet</t>
  </si>
  <si>
    <t>zsagramd</t>
  </si>
  <si>
    <t>Sagar Ramdan</t>
  </si>
  <si>
    <t>msanmyin</t>
  </si>
  <si>
    <t>San Myint</t>
  </si>
  <si>
    <t>sakuttan</t>
  </si>
  <si>
    <t>Sanoj Kuttan</t>
  </si>
  <si>
    <t>shafinda</t>
  </si>
  <si>
    <t>SHAFIK KYAZE NDAWULA</t>
  </si>
  <si>
    <t>uakatuks</t>
  </si>
  <si>
    <t>Sheila Precious Akatukunda</t>
  </si>
  <si>
    <t>kyawqmin</t>
  </si>
  <si>
    <t>Min Khant Kyaw</t>
  </si>
  <si>
    <t>kouwilfr</t>
  </si>
  <si>
    <t>WILFRIED MANGA KOUNGOU</t>
  </si>
  <si>
    <t>achedith</t>
  </si>
  <si>
    <t>EDITH ACHEAMPONG</t>
  </si>
  <si>
    <t>agnestwu</t>
  </si>
  <si>
    <t>AGNES TWUMWAA</t>
  </si>
  <si>
    <t>eliavony</t>
  </si>
  <si>
    <t>ELIZABETH ABENA AVONYO</t>
  </si>
  <si>
    <t>remmanai</t>
  </si>
  <si>
    <t>Emmanuel Aidoo</t>
  </si>
  <si>
    <t>arinasap</t>
  </si>
  <si>
    <t>ASAPH ARINAITWE</t>
  </si>
  <si>
    <t>javiramu</t>
  </si>
  <si>
    <t>JAVIRA MUTEBI</t>
  </si>
  <si>
    <t>joolubeg</t>
  </si>
  <si>
    <t>JOHN LUBEGA</t>
  </si>
  <si>
    <t>kabhenry</t>
  </si>
  <si>
    <t>HENRY PETER KABANDA</t>
  </si>
  <si>
    <t>kahermaj</t>
  </si>
  <si>
    <t>KAMOGA HERMAN</t>
  </si>
  <si>
    <t>kukulago</t>
  </si>
  <si>
    <t>Anusha Dilrukshi Gunathilake</t>
  </si>
  <si>
    <t>mukaderi</t>
  </si>
  <si>
    <t>DERICK MUKAMA</t>
  </si>
  <si>
    <t>mukujung</t>
  </si>
  <si>
    <t>ISAAH MUKUJUNGU</t>
  </si>
  <si>
    <t>obwemman</t>
  </si>
  <si>
    <t>EMMANUEL OBWANA</t>
  </si>
  <si>
    <t>okisakye</t>
  </si>
  <si>
    <t>EDWARD SSEMPIJJA KISAKYE</t>
  </si>
  <si>
    <t>ponnormx</t>
  </si>
  <si>
    <t>Norman Reyes Ponce</t>
  </si>
  <si>
    <t>robembug</t>
  </si>
  <si>
    <t>ROBERT MBUGHEKI</t>
  </si>
  <si>
    <t>twasmose</t>
  </si>
  <si>
    <t>MOSES WASSWA</t>
  </si>
  <si>
    <t>tysnabas</t>
  </si>
  <si>
    <t>TYSON NABASA</t>
  </si>
  <si>
    <t>wmasolwi</t>
  </si>
  <si>
    <t>wrkilama</t>
  </si>
  <si>
    <t>WILLIAM KILAMA</t>
  </si>
  <si>
    <t>Y</t>
  </si>
  <si>
    <t>NA</t>
  </si>
  <si>
    <t>Delivery Station Assoc (TEMP)</t>
  </si>
  <si>
    <t>Pack - Single</t>
  </si>
  <si>
    <t>oppongla</t>
  </si>
  <si>
    <t>mohsinrr</t>
  </si>
  <si>
    <t>Mohsin Raza Ramzan</t>
  </si>
  <si>
    <t>mohsinr811@gmail.com</t>
  </si>
  <si>
    <t>peaackah</t>
  </si>
  <si>
    <t>Peace Akouba Ackah</t>
  </si>
  <si>
    <t>Muhammad Irfan</t>
  </si>
  <si>
    <t>ibrmuhaj</t>
  </si>
  <si>
    <t>Muhammad Ibrahim</t>
  </si>
  <si>
    <t>rnyamoaa</t>
  </si>
  <si>
    <t>Regina Nyamoa Aboagye</t>
  </si>
  <si>
    <t>aboagyeregina92@gmail.com</t>
  </si>
  <si>
    <t>nalutaay</t>
  </si>
  <si>
    <t>Martha Nalutaaya</t>
  </si>
  <si>
    <t>cutemartha68@gmail.com</t>
  </si>
  <si>
    <t>oafmuham</t>
  </si>
  <si>
    <t>Muhammad Farhan</t>
  </si>
  <si>
    <t>nsobstel</t>
  </si>
  <si>
    <t>Nsobila, Stella Anapoka</t>
  </si>
  <si>
    <t>DWC5</t>
  </si>
  <si>
    <t>csaameen</t>
  </si>
  <si>
    <t>Sajjad Ameen</t>
  </si>
  <si>
    <t>Scaria,Varghese</t>
  </si>
  <si>
    <t>PICK</t>
  </si>
  <si>
    <t>Atta Muhammad,Muhammad</t>
  </si>
  <si>
    <t>alfredkh</t>
  </si>
  <si>
    <t>Alfred Kofi Hene</t>
  </si>
  <si>
    <t>Pick</t>
  </si>
  <si>
    <t>Latken Sr,Irfan</t>
  </si>
  <si>
    <t>No roster in AUH1 till 24</t>
  </si>
  <si>
    <t>Khaled,Shaimaa</t>
  </si>
  <si>
    <t>nmbella</t>
  </si>
  <si>
    <t>aposas</t>
  </si>
  <si>
    <t>Posas,Alexandro Delacueva</t>
  </si>
  <si>
    <t>Tche Fru,Nelson</t>
  </si>
  <si>
    <t>lhuzesay</t>
  </si>
  <si>
    <t>Huzefa Yusuf Sayed</t>
  </si>
  <si>
    <t>agsamue</t>
  </si>
  <si>
    <t>Thomas,Binil</t>
  </si>
  <si>
    <t>alizhma</t>
  </si>
  <si>
    <t>Ahmad Ali Muhammad Anwar</t>
  </si>
  <si>
    <t>Siddiqui,Amra Kausar Abdul Sajid</t>
  </si>
  <si>
    <t>noufalf</t>
  </si>
  <si>
    <t>Faziludeen,Noufal</t>
  </si>
  <si>
    <t>valapnab</t>
  </si>
  <si>
    <t>Nabeel Thazhath</t>
  </si>
  <si>
    <t>Komban,Vega</t>
  </si>
  <si>
    <t>aninanur</t>
  </si>
  <si>
    <t>Anurag Kambrath Anilan</t>
  </si>
  <si>
    <t>lleonakw</t>
  </si>
  <si>
    <t>Leonard Liwiekwo Kwamogha</t>
  </si>
  <si>
    <t>chatthud</t>
  </si>
  <si>
    <t>Chathurika Sewwandi Thushari</t>
  </si>
  <si>
    <t>jeawcruz</t>
  </si>
  <si>
    <t>Jearic B . Dela Cruz</t>
  </si>
  <si>
    <t>lanshapa</t>
  </si>
  <si>
    <t>Paul Taping Lansha</t>
  </si>
  <si>
    <t>ampritac</t>
  </si>
  <si>
    <t>Rita Abbiw Amponsah</t>
  </si>
  <si>
    <t>jsalmmoh</t>
  </si>
  <si>
    <t xml:space="preserve">Salman Mohammad </t>
  </si>
  <si>
    <t>avinkorm</t>
  </si>
  <si>
    <t>Avinash Korukonda Seshagiri Rao</t>
  </si>
  <si>
    <t>qcatampa</t>
  </si>
  <si>
    <t>Carintine Tampa</t>
  </si>
  <si>
    <t>tturlcyn</t>
  </si>
  <si>
    <t>Cynthia Mboshifor Turlack</t>
  </si>
  <si>
    <t>Tanveer Khan</t>
  </si>
  <si>
    <t>devisain</t>
  </si>
  <si>
    <t xml:space="preserve">Ainembabazi Devis </t>
  </si>
  <si>
    <t>korkwaku</t>
  </si>
  <si>
    <t>Koranteng Joseph Kwaku</t>
  </si>
  <si>
    <t>noreeaku</t>
  </si>
  <si>
    <t xml:space="preserve">Akullu Noreen </t>
  </si>
  <si>
    <t>ramjbang</t>
  </si>
  <si>
    <t>Ramatu Bangura</t>
  </si>
  <si>
    <t>darelall</t>
  </si>
  <si>
    <t>Allen Andrey D. Arellano</t>
  </si>
  <si>
    <t>visdasab</t>
  </si>
  <si>
    <t>Vishnu Nelloolipadikkal Dasan</t>
  </si>
  <si>
    <t>odelap</t>
  </si>
  <si>
    <t>Dela Pane,Orbes</t>
  </si>
  <si>
    <t>masifkas</t>
  </si>
  <si>
    <t>KASHIF MASIH</t>
  </si>
  <si>
    <t>OB Problem Solve</t>
  </si>
  <si>
    <t>muzahidk</t>
  </si>
  <si>
    <t>Zahid Khan,Muhammad</t>
  </si>
  <si>
    <t>anvtharu</t>
  </si>
  <si>
    <t>Anish Tharu</t>
  </si>
  <si>
    <t>KRAFANTH</t>
  </si>
  <si>
    <t>Kraft,Anthony Del Rosario</t>
  </si>
  <si>
    <t>lalaxbab</t>
  </si>
  <si>
    <t>Lalaine Zabala Babas</t>
  </si>
  <si>
    <t>mensmarg</t>
  </si>
  <si>
    <t>Margaret Mensah</t>
  </si>
  <si>
    <t>gueudjog</t>
  </si>
  <si>
    <t>Kwayep,Gueudjo Giresse Franklin</t>
  </si>
  <si>
    <t>musmmuha</t>
  </si>
  <si>
    <t>Usman Ghani</t>
  </si>
  <si>
    <t>stephsuh</t>
  </si>
  <si>
    <t>Stephen Tante</t>
  </si>
  <si>
    <t>Pick PG</t>
  </si>
  <si>
    <t>CRAYMANA</t>
  </si>
  <si>
    <t>Manalo,Christian Ray Joshua</t>
  </si>
  <si>
    <t>huawais</t>
  </si>
  <si>
    <t>Arif Hussain,Awais Ali</t>
  </si>
  <si>
    <t>javshahi</t>
  </si>
  <si>
    <t>Shahid Javeed</t>
  </si>
  <si>
    <t>qamzamur</t>
  </si>
  <si>
    <t>Qamar,Zamurd Abbas</t>
  </si>
  <si>
    <t>ANVISHNU</t>
  </si>
  <si>
    <t>Ani,Vishnu</t>
  </si>
  <si>
    <t>scarktin</t>
  </si>
  <si>
    <t>Tino Scaria</t>
  </si>
  <si>
    <t>muhwasej</t>
  </si>
  <si>
    <t>Muhammad Boota, Waseem Haider</t>
  </si>
  <si>
    <t>wmuhumai</t>
  </si>
  <si>
    <t>Umair,Muhammad Muhammad</t>
  </si>
  <si>
    <t>fsseyar</t>
  </si>
  <si>
    <t>Farrukh Seyar Muhammad Seyar</t>
  </si>
  <si>
    <t>dcutand</t>
  </si>
  <si>
    <t>Dennis Anon Cutanda</t>
  </si>
  <si>
    <t>alfazan</t>
  </si>
  <si>
    <t>Faizan Ali</t>
  </si>
  <si>
    <t>nclearan</t>
  </si>
  <si>
    <t>Clarence Forbit</t>
  </si>
  <si>
    <t>umerr</t>
  </si>
  <si>
    <t>Umer Rasheed Ur Rehman Rasheed</t>
  </si>
  <si>
    <t>cgeddam</t>
  </si>
  <si>
    <t>Chiranjeevi Geddam</t>
  </si>
  <si>
    <t>dlacap</t>
  </si>
  <si>
    <t>kmokube</t>
  </si>
  <si>
    <t>Kingsley Mokube Ikoe</t>
  </si>
  <si>
    <t>villaraz</t>
  </si>
  <si>
    <t>Francis-Benedict Ubeda Villaraza</t>
  </si>
  <si>
    <t>jemuelc</t>
  </si>
  <si>
    <t>JEMUEL CORTEZ</t>
  </si>
  <si>
    <t>rggeroni</t>
  </si>
  <si>
    <t>Roland Magpantay Geronimo</t>
  </si>
  <si>
    <t>rikoe</t>
  </si>
  <si>
    <t>Rudolf Ikoe Itoe</t>
  </si>
  <si>
    <t>skayikka</t>
  </si>
  <si>
    <t>Sudheer Kumar Ayikkara Valappil</t>
  </si>
  <si>
    <t>abfsesay</t>
  </si>
  <si>
    <t>Abu Sesay</t>
  </si>
  <si>
    <t>temmaaku</t>
  </si>
  <si>
    <t>Emmanuel Akuffo</t>
  </si>
  <si>
    <t>boademma</t>
  </si>
  <si>
    <t>Emmanuel Boadi</t>
  </si>
  <si>
    <t>grahamuc</t>
  </si>
  <si>
    <t>Graham Muchinikila</t>
  </si>
  <si>
    <t>otooibra</t>
  </si>
  <si>
    <t>Ibrahim Otoo</t>
  </si>
  <si>
    <t>enleopol</t>
  </si>
  <si>
    <t>Leopold Ntong</t>
  </si>
  <si>
    <t>lintawia</t>
  </si>
  <si>
    <t>Linda Tawiah</t>
  </si>
  <si>
    <t>reginkum</t>
  </si>
  <si>
    <t>Regina Afua Kumi</t>
  </si>
  <si>
    <t>shadrkwa</t>
  </si>
  <si>
    <t>Shadrack Kwarteng</t>
  </si>
  <si>
    <t>yendbism</t>
  </si>
  <si>
    <t>Bismark Yendaw</t>
  </si>
  <si>
    <t>brmusanz</t>
  </si>
  <si>
    <t>Brenda Musanzika</t>
  </si>
  <si>
    <t>hnkansah</t>
  </si>
  <si>
    <t>Harriet Anto Nkansah</t>
  </si>
  <si>
    <t>ykwadwoj</t>
  </si>
  <si>
    <t>Joseph Sunkwa Kwadwo</t>
  </si>
  <si>
    <t>justicyi</t>
  </si>
  <si>
    <t>Justice Mimba Yin</t>
  </si>
  <si>
    <t>samargrl</t>
  </si>
  <si>
    <t>Margretta Teta Saytue</t>
  </si>
  <si>
    <t>etamarac</t>
  </si>
  <si>
    <t>Rachael Motto Etama</t>
  </si>
  <si>
    <t>bradonku</t>
  </si>
  <si>
    <t>Bradon Bin Kum</t>
  </si>
  <si>
    <t>frimptel</t>
  </si>
  <si>
    <t>Elijah Frimpong</t>
  </si>
  <si>
    <t>priszmaw</t>
  </si>
  <si>
    <t>Priscilla Mawusi</t>
  </si>
  <si>
    <t>cshingai</t>
  </si>
  <si>
    <t>Shingai Chinaa</t>
  </si>
  <si>
    <t>adjsusan</t>
  </si>
  <si>
    <t>Susana Adjei</t>
  </si>
  <si>
    <t>bimbrend</t>
  </si>
  <si>
    <t>Brenda Nkuo Bih</t>
  </si>
  <si>
    <t>atuahech</t>
  </si>
  <si>
    <t>Christiana Atuahene</t>
  </si>
  <si>
    <t>mbehclau</t>
  </si>
  <si>
    <t>Claudette Nkobo Mbeh</t>
  </si>
  <si>
    <t>henredws</t>
  </si>
  <si>
    <t>Henry Nii Yemoh Edwards</t>
  </si>
  <si>
    <t>ocshadra</t>
  </si>
  <si>
    <t>Shadrack Otoo</t>
  </si>
  <si>
    <t>frimpofe</t>
  </si>
  <si>
    <t>Felix Frimpong</t>
  </si>
  <si>
    <t>aboagyra</t>
  </si>
  <si>
    <t>Raphael Osei Aboagye</t>
  </si>
  <si>
    <t>ampsheil</t>
  </si>
  <si>
    <t>Sheila Yeboah Ampene</t>
  </si>
  <si>
    <t>kmintahe</t>
  </si>
  <si>
    <t>Evans Mintah</t>
  </si>
  <si>
    <t>juntataw</t>
  </si>
  <si>
    <t>Junita Mejumeh Tataw</t>
  </si>
  <si>
    <t>beryllin</t>
  </si>
  <si>
    <t>Berylline Naa Ayeley Okine</t>
  </si>
  <si>
    <t>senesthe</t>
  </si>
  <si>
    <t>Esther Edem Senahey</t>
  </si>
  <si>
    <t>abigasar</t>
  </si>
  <si>
    <t>Abigail Asare</t>
  </si>
  <si>
    <t>kadyamus</t>
  </si>
  <si>
    <t>Phoebe Kadyamusuma</t>
  </si>
  <si>
    <t>ansahfsa</t>
  </si>
  <si>
    <t xml:space="preserve">Samuel Kwesi Ansah </t>
  </si>
  <si>
    <t>mavhunga</t>
  </si>
  <si>
    <t>Admire Mavhunga</t>
  </si>
  <si>
    <t>skoromal</t>
  </si>
  <si>
    <t xml:space="preserve">Lans Koroma </t>
  </si>
  <si>
    <t>awesmail</t>
  </si>
  <si>
    <t>dadziekg</t>
  </si>
  <si>
    <t xml:space="preserve">Gifty Dadzie </t>
  </si>
  <si>
    <t>munibmoh</t>
  </si>
  <si>
    <t>Mohammed,Muniru</t>
  </si>
  <si>
    <t>kudapinj</t>
  </si>
  <si>
    <t>Pinjisi,Kudakwashe Ernest</t>
  </si>
  <si>
    <t>sedbakoh</t>
  </si>
  <si>
    <t>Bakoh,Sedoline Ndongo</t>
  </si>
  <si>
    <t>fotsigeo</t>
  </si>
  <si>
    <t>jumail</t>
  </si>
  <si>
    <t>Muhammed Jumail</t>
  </si>
  <si>
    <t>michbawa</t>
  </si>
  <si>
    <t>Michael Assibid Bawa</t>
  </si>
  <si>
    <t>pack</t>
  </si>
  <si>
    <t>javemuho</t>
  </si>
  <si>
    <t xml:space="preserve">
 Muhammad Umar Javed</t>
  </si>
  <si>
    <t>esmahboo</t>
  </si>
  <si>
    <t>Mahboob Shahzad</t>
  </si>
  <si>
    <t>cliffadj</t>
  </si>
  <si>
    <t>Adjei,Clifford</t>
  </si>
  <si>
    <t>REBIN</t>
  </si>
  <si>
    <t>Facilities Coordinator III</t>
  </si>
  <si>
    <t>Support</t>
  </si>
  <si>
    <t>Kumar,Arun</t>
  </si>
  <si>
    <t>nejed</t>
  </si>
  <si>
    <t>NUJUMUDDIN,NEJED</t>
  </si>
  <si>
    <t>jgania</t>
  </si>
  <si>
    <t>Gania,Jeehan</t>
  </si>
  <si>
    <t>Raaz,Anantth</t>
  </si>
  <si>
    <t>karthiqv</t>
  </si>
  <si>
    <t>Ravi,Karthi</t>
  </si>
  <si>
    <t>shineray</t>
  </si>
  <si>
    <t>Raynold,Shine</t>
  </si>
  <si>
    <t>vadirama</t>
  </si>
  <si>
    <t>ramadoss,vadivel</t>
  </si>
  <si>
    <t>ammarhak</t>
  </si>
  <si>
    <t>AbdElhakim,Ammar</t>
  </si>
  <si>
    <t>atvinoth</t>
  </si>
  <si>
    <t>AR,Vinoth</t>
  </si>
  <si>
    <t>ajithrak</t>
  </si>
  <si>
    <t>Rajendran,Ajith Kumar</t>
  </si>
  <si>
    <t>amjkamal</t>
  </si>
  <si>
    <t>Mahamood,Kamal</t>
  </si>
  <si>
    <t>nayabadh</t>
  </si>
  <si>
    <t>Adhikari,Nayab</t>
  </si>
  <si>
    <t>hareepo</t>
  </si>
  <si>
    <t>POGALA,HAREESH</t>
  </si>
  <si>
    <t>jilug</t>
  </si>
  <si>
    <t>George,Jilu</t>
  </si>
  <si>
    <t>IT</t>
  </si>
  <si>
    <t>Antony,Arun</t>
  </si>
  <si>
    <t>fkashifm</t>
  </si>
  <si>
    <t>Kashif,Mirza</t>
  </si>
  <si>
    <t>L&amp;D</t>
  </si>
  <si>
    <t>mukrisho</t>
  </si>
  <si>
    <t>MUKRI,SHOAIB SHAUKAT Shaukat</t>
  </si>
  <si>
    <t>akufhenv</t>
  </si>
  <si>
    <t>Akuffo,Henry</t>
  </si>
  <si>
    <t>mhamreh</t>
  </si>
  <si>
    <t>Zia,Mohammed</t>
  </si>
  <si>
    <t>HR Assistant II</t>
  </si>
  <si>
    <t>HR</t>
  </si>
  <si>
    <t>Nahla,Fathimathul</t>
  </si>
  <si>
    <t>fairoowk</t>
  </si>
  <si>
    <t>khader,Fairoose Abdul</t>
  </si>
  <si>
    <t>manavedk</t>
  </si>
  <si>
    <t>Maqdoom khan,Naved Khan</t>
  </si>
  <si>
    <t>LP</t>
  </si>
  <si>
    <t>cmuhamak</t>
  </si>
  <si>
    <t>Akhtar,Muhammad Zohaib</t>
  </si>
  <si>
    <t>Procurement</t>
  </si>
  <si>
    <t>Tolentino,Rida</t>
  </si>
  <si>
    <t>tunayj</t>
  </si>
  <si>
    <t>Tunay,Jayson Torres</t>
  </si>
  <si>
    <t>znambusa</t>
  </si>
  <si>
    <t>NATHAN BAGHENDA MBUSA</t>
  </si>
  <si>
    <t>geokiwan</t>
  </si>
  <si>
    <t>GEORGE WILLIAM KIWANUKA</t>
  </si>
  <si>
    <t>kiwanuab</t>
  </si>
  <si>
    <t>mikegalc</t>
  </si>
  <si>
    <t>MIKE GALIWANGO</t>
  </si>
  <si>
    <t>abaaamon</t>
  </si>
  <si>
    <t>totuhais</t>
  </si>
  <si>
    <t>mwrmarti</t>
  </si>
  <si>
    <t>mavuzaid</t>
  </si>
  <si>
    <t>ZAIDI MAVUGA</t>
  </si>
  <si>
    <t>petekamu</t>
  </si>
  <si>
    <t>PETER KAMULEGEYA</t>
  </si>
  <si>
    <t>aivamule</t>
  </si>
  <si>
    <t>IVAN MULEMA</t>
  </si>
  <si>
    <t>germubir</t>
  </si>
  <si>
    <t>kigsamso</t>
  </si>
  <si>
    <t>SAMSON KIGULI</t>
  </si>
  <si>
    <t>kabalisu</t>
  </si>
  <si>
    <t>SULAIT KABALI</t>
  </si>
  <si>
    <t>edsomweb</t>
  </si>
  <si>
    <t>EDSON MWEBESA</t>
  </si>
  <si>
    <t>braimuha</t>
  </si>
  <si>
    <t>BRAIN CHOSEN MUHUMUZA</t>
  </si>
  <si>
    <t>agabamag</t>
  </si>
  <si>
    <t>pradegug</t>
  </si>
  <si>
    <t>PRADEEP KUMAR GUPTA</t>
  </si>
  <si>
    <t>mohanjhp</t>
  </si>
  <si>
    <t>MOHAN KUMAR JHA</t>
  </si>
  <si>
    <t>ramsemap</t>
  </si>
  <si>
    <t>RAMDHAN SEMAJONGI</t>
  </si>
  <si>
    <t>yankeant</t>
  </si>
  <si>
    <t>ANTHONY YANKEY</t>
  </si>
  <si>
    <t>chicharf</t>
  </si>
  <si>
    <t>CHARLES CHIBINDI</t>
  </si>
  <si>
    <t>abhiybab</t>
  </si>
  <si>
    <t>ABHITH KUTTI PUNATHIL THAZHA BABU</t>
  </si>
  <si>
    <t>hbinepal</t>
  </si>
  <si>
    <t>BIKASH NEPALI</t>
  </si>
  <si>
    <t>manoajay</t>
  </si>
  <si>
    <t>AJAY MANOHAR</t>
  </si>
  <si>
    <t>kodataks</t>
  </si>
  <si>
    <t>AKSHAY KODATHAMVALLY</t>
  </si>
  <si>
    <t>jospalbi</t>
  </si>
  <si>
    <t>ALBIN JOSE</t>
  </si>
  <si>
    <t>arshshaj</t>
  </si>
  <si>
    <t>ARSHAD  SHAJAHAN</t>
  </si>
  <si>
    <t>hbabuaru</t>
  </si>
  <si>
    <t>ARUN BABU</t>
  </si>
  <si>
    <t>zauguaug</t>
  </si>
  <si>
    <t>AUGUSTIN AUGUSTIN</t>
  </si>
  <si>
    <t>dilwinja</t>
  </si>
  <si>
    <t>DILWIN JOSE</t>
  </si>
  <si>
    <t>njomajoh</t>
  </si>
  <si>
    <t>JOHNSON ANTONY JOMAN</t>
  </si>
  <si>
    <t>veetmuha</t>
  </si>
  <si>
    <t>MUHAMMED MIKTHATH NOTTAM VEETTIL</t>
  </si>
  <si>
    <t>gprincsi</t>
  </si>
  <si>
    <t>PRINCEPAL SINGH</t>
  </si>
  <si>
    <t>rahanraj</t>
  </si>
  <si>
    <t>thosanjq</t>
  </si>
  <si>
    <t>sudqsonu</t>
  </si>
  <si>
    <t>janarsre</t>
  </si>
  <si>
    <t>SREEKUTTAN KOTTUKKALPARAMBU
 JANARDHANAN</t>
  </si>
  <si>
    <t>okrahcha</t>
  </si>
  <si>
    <t>vicwquay</t>
  </si>
  <si>
    <t>ananjosp</t>
  </si>
  <si>
    <t>ovirajan</t>
  </si>
  <si>
    <t>akonelso</t>
  </si>
  <si>
    <t>alhaslis</t>
  </si>
  <si>
    <t>ALHASSAN ISSAKA</t>
  </si>
  <si>
    <t>fuseawal</t>
  </si>
  <si>
    <t>AWAL FUSEINI</t>
  </si>
  <si>
    <t>vislrave</t>
  </si>
  <si>
    <t>VISHNU KIZHAKKERIKAL RAVEENDRAN</t>
  </si>
  <si>
    <t>unainalu</t>
  </si>
  <si>
    <t>UNAIS NALUPURAPPATTIL</t>
  </si>
  <si>
    <t>muhwebst</t>
  </si>
  <si>
    <t>STEVEN MUHWEZI</t>
  </si>
  <si>
    <t>abonekay</t>
  </si>
  <si>
    <t>ssereaga</t>
  </si>
  <si>
    <t>REAGAN MAGUNGA SSEMBAJJWE</t>
  </si>
  <si>
    <t>geoekiye</t>
  </si>
  <si>
    <t>GEORGE KIYEMBA</t>
  </si>
  <si>
    <t>ainisaac</t>
  </si>
  <si>
    <t>ISAAC AINEBYONA</t>
  </si>
  <si>
    <t>parungao</t>
  </si>
  <si>
    <t>Parungao,Priscila Montejo</t>
  </si>
  <si>
    <t>Administrative Support III</t>
  </si>
  <si>
    <t>kizmehth</t>
  </si>
  <si>
    <t>KIZHAKAYIL KARABIL,MEHTHAB HUSSAN</t>
  </si>
  <si>
    <t>posiblji</t>
  </si>
  <si>
    <t>POSIBLE JINGO</t>
  </si>
  <si>
    <t>tugumemo</t>
  </si>
  <si>
    <t>MORRIS TUGUME</t>
  </si>
  <si>
    <t>abkasawu</t>
  </si>
  <si>
    <t>ABDUMALIK KASAWULI</t>
  </si>
  <si>
    <t>abrajnse</t>
  </si>
  <si>
    <t>ABRAHAM NSENGIUNVA</t>
  </si>
  <si>
    <t>mugabeoa</t>
  </si>
  <si>
    <t>ALEX MUGABE</t>
  </si>
  <si>
    <t>andssema</t>
  </si>
  <si>
    <t>ANDREW DASILVER SSEMANDA</t>
  </si>
  <si>
    <t>lsseandr</t>
  </si>
  <si>
    <t>ANDREW SSEBUGGWAWO</t>
  </si>
  <si>
    <t>dekiwanu</t>
  </si>
  <si>
    <t>DERRICK KIWANUKA</t>
  </si>
  <si>
    <t>museriya</t>
  </si>
  <si>
    <t>ERIYA MUSOKE</t>
  </si>
  <si>
    <t>frategek</t>
  </si>
  <si>
    <t>FRANCIS ATEGEKA</t>
  </si>
  <si>
    <t>otiinnoc</t>
  </si>
  <si>
    <t>INNOCENT OTIM</t>
  </si>
  <si>
    <t>nabonisa</t>
  </si>
  <si>
    <t>ISAAC NABONGO</t>
  </si>
  <si>
    <t>yijamer</t>
  </si>
  <si>
    <t>JAMES YIGA</t>
  </si>
  <si>
    <t>amanyjog</t>
  </si>
  <si>
    <t>JOAB AMANYA</t>
  </si>
  <si>
    <t>katamgjo</t>
  </si>
  <si>
    <t>JOHN KATAMBA</t>
  </si>
  <si>
    <t>jothembo</t>
  </si>
  <si>
    <t>JOHN THEMBO</t>
  </si>
  <si>
    <t>josompau</t>
  </si>
  <si>
    <t>JOSHUA MPAULO</t>
  </si>
  <si>
    <t>kakimera</t>
  </si>
  <si>
    <t>KATO IVAN KIMERA</t>
  </si>
  <si>
    <t>kawenahm</t>
  </si>
  <si>
    <t>KAWENJA SWADIQ AHMED</t>
  </si>
  <si>
    <t>kennenav</t>
  </si>
  <si>
    <t>KENNETH NAYEBARE</t>
  </si>
  <si>
    <t>momukisa</t>
  </si>
  <si>
    <t>MOSES MUKISA</t>
  </si>
  <si>
    <t>mukakooz</t>
  </si>
  <si>
    <t>MUSA KAKOOZA</t>
  </si>
  <si>
    <t>owebabig</t>
  </si>
  <si>
    <t>OWEN BABIGUMIRA</t>
  </si>
  <si>
    <t>pemagezi</t>
  </si>
  <si>
    <t>PETER RICKY MAGEZI</t>
  </si>
  <si>
    <t>rictorac</t>
  </si>
  <si>
    <t>RICHARD AKENA TORACH</t>
  </si>
  <si>
    <t>mugirich</t>
  </si>
  <si>
    <t>RICHARD MUGISHA</t>
  </si>
  <si>
    <t>dronkate</t>
  </si>
  <si>
    <t>RONALD KATENDE</t>
  </si>
  <si>
    <t>ronalsse</t>
  </si>
  <si>
    <t>RONALD SSEBUKYU</t>
  </si>
  <si>
    <t>rssemand</t>
  </si>
  <si>
    <t>RONALD SSEMANDA</t>
  </si>
  <si>
    <t>auguszad</t>
  </si>
  <si>
    <t>Augustine Adjei</t>
  </si>
  <si>
    <t>rmundakk</t>
  </si>
  <si>
    <t>ROHIT KRISHANA MUNDAKKALIL</t>
  </si>
  <si>
    <t>ndablins</t>
  </si>
  <si>
    <t>Linsabezinhle Ndaba</t>
  </si>
  <si>
    <t>elliepet</t>
  </si>
  <si>
    <t>Peter Sahr Ellie</t>
  </si>
  <si>
    <t>amoelish</t>
  </si>
  <si>
    <t xml:space="preserve">Elisha Kena Amoako </t>
  </si>
  <si>
    <t>adusahpr</t>
  </si>
  <si>
    <t>Prince Kwako Adusah</t>
  </si>
  <si>
    <t>tuajenic</t>
  </si>
  <si>
    <t>Ajenical Baby Tucker</t>
  </si>
  <si>
    <t>nurudalh</t>
  </si>
  <si>
    <t>Nurudeen Alhassan</t>
  </si>
  <si>
    <t>folisuzw</t>
  </si>
  <si>
    <t>abwlinda</t>
  </si>
  <si>
    <t>nurenisd</t>
  </si>
  <si>
    <t>lamissia</t>
  </si>
  <si>
    <t>phumuzin</t>
  </si>
  <si>
    <t>ayumuwdo</t>
  </si>
  <si>
    <t>Doreen Demor Ayumu</t>
  </si>
  <si>
    <t>vmustapa</t>
  </si>
  <si>
    <t>Aminatu Korkor Mustapha</t>
  </si>
  <si>
    <t>maryabua</t>
  </si>
  <si>
    <t>Mary Abudu</t>
  </si>
  <si>
    <t>emmaabug</t>
  </si>
  <si>
    <t>Emmanuel Abugri</t>
  </si>
  <si>
    <t>uemodoom</t>
  </si>
  <si>
    <t>Emmanuel Odoom</t>
  </si>
  <si>
    <t>yenorber</t>
  </si>
  <si>
    <t>Norbert Yeboah</t>
  </si>
  <si>
    <t>chrbaid</t>
  </si>
  <si>
    <t>Christian Ampofo Baiden</t>
  </si>
  <si>
    <t>denniaap</t>
  </si>
  <si>
    <t>Dennis Kwabena Appau</t>
  </si>
  <si>
    <t>munisuku</t>
  </si>
  <si>
    <t>Munish Kumar</t>
  </si>
  <si>
    <t>Days</t>
  </si>
  <si>
    <t>lnsunita</t>
  </si>
  <si>
    <t>Sunita Lamichane Magar</t>
  </si>
  <si>
    <t>ushahidd</t>
  </si>
  <si>
    <t>Shahid Ullah</t>
  </si>
  <si>
    <t>hmshamil</t>
  </si>
  <si>
    <t>Mohammed Shamil</t>
  </si>
  <si>
    <t>kamranmz</t>
  </si>
  <si>
    <t>Kamran, Muhammad</t>
  </si>
  <si>
    <t>khaliuus</t>
  </si>
  <si>
    <t>Khalid, Usman</t>
  </si>
  <si>
    <t>irfamuh</t>
  </si>
  <si>
    <t>duahtemm</t>
  </si>
  <si>
    <t>Emmanuel Agyemang</t>
  </si>
  <si>
    <t>Remarks</t>
  </si>
  <si>
    <t>Adamachi,Maria</t>
  </si>
  <si>
    <t>Makkar,Mahak</t>
  </si>
  <si>
    <t>Amazon Confidential</t>
  </si>
  <si>
    <t>Termination Types and Reason for Managers and HR Partners</t>
  </si>
  <si>
    <t>Termination Type</t>
  </si>
  <si>
    <t xml:space="preserve">Termination Reason </t>
  </si>
  <si>
    <t>TERM code</t>
  </si>
  <si>
    <t xml:space="preserve">Use When </t>
  </si>
  <si>
    <t>Voluntary</t>
  </si>
  <si>
    <t>Family Move or Circumstances</t>
  </si>
  <si>
    <t xml:space="preserve">Employee resigns to pursue personal interests such as spending more time with their family, or making a family decision to relocate.   </t>
  </si>
  <si>
    <t>Develop/Career/Promo</t>
  </si>
  <si>
    <t>Employee resigns due to dissatisfaction with career path, development, or promotion opportunities.</t>
  </si>
  <si>
    <t>Return to School</t>
  </si>
  <si>
    <t>Employee resigns to return to school.</t>
  </si>
  <si>
    <t>Med-unable to perf essent fxn</t>
  </si>
  <si>
    <r>
      <rPr>
        <b/>
        <u/>
        <sz val="11"/>
        <color theme="1"/>
        <rFont val="Calibri"/>
        <family val="2"/>
        <scheme val="minor"/>
      </rPr>
      <t>DO NOT USE.  This is for Leave &amp; Accommodation (L&amp;A) use only.</t>
    </r>
    <r>
      <rPr>
        <sz val="11"/>
        <color theme="1"/>
        <rFont val="Calibri"/>
        <family val="2"/>
        <scheme val="minor"/>
      </rPr>
      <t xml:space="preserve">  Employee resigns due to being physically and/or medically unable to perform the essential functions of their position.</t>
    </r>
  </si>
  <si>
    <t>Work Eligibility</t>
  </si>
  <si>
    <t>Employee resigns because they do not meet the legal requirements for hire after beginning NHO and/or working.</t>
  </si>
  <si>
    <t>Involuntary</t>
  </si>
  <si>
    <t>Attendance/Tardiness</t>
  </si>
  <si>
    <r>
      <t xml:space="preserve">An employee is terminated due to violation of attendance policy.  </t>
    </r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If an employee has repeatedly not shown up for scheduled shifts and attempts have been made to contact employee, please review Job Abandonment.</t>
    </r>
  </si>
  <si>
    <t>Social Behavior</t>
  </si>
  <si>
    <t xml:space="preserve">Use when an employee is terminated for poor social behavior.  </t>
  </si>
  <si>
    <t>Dishonesty</t>
  </si>
  <si>
    <t>An employee is terminated for dishonesty.</t>
  </si>
  <si>
    <t>Falsifictn of application docs</t>
  </si>
  <si>
    <t>Use when audit results uncover falsified application documents by an employee.</t>
  </si>
  <si>
    <t>Lack of Work</t>
  </si>
  <si>
    <r>
      <t xml:space="preserve">Use when the seasonal employees are being let go because of lack of work. </t>
    </r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while this termination type is involuntary the employee is eligible for rehire.</t>
    </r>
  </si>
  <si>
    <t>Med- unable to perf essent fxn</t>
  </si>
  <si>
    <r>
      <rPr>
        <b/>
        <u/>
        <sz val="11"/>
        <color theme="1"/>
        <rFont val="Calibri"/>
        <family val="2"/>
        <scheme val="minor"/>
      </rPr>
      <t>DO NOT USE.  This is for Leave &amp; Accommodation (L&amp;A) use only.</t>
    </r>
    <r>
      <rPr>
        <sz val="11"/>
        <color theme="1"/>
        <rFont val="Calibri"/>
        <family val="2"/>
        <scheme val="minor"/>
      </rPr>
      <t xml:space="preserve">  Termination due to the employee being physically and/or medically unable to perform the essential functions of their position. </t>
    </r>
  </si>
  <si>
    <t>Misconduct</t>
  </si>
  <si>
    <t>Use when employee is violating Amazon's Code of Conduct.</t>
  </si>
  <si>
    <t>Violation of rules/policy</t>
  </si>
  <si>
    <t>Use when the employee violates Amazon policies.</t>
  </si>
  <si>
    <t>Unsatisfactory Performance</t>
  </si>
  <si>
    <t>Use when the employee is not meeting the minimum expectations of the job.</t>
  </si>
  <si>
    <t>Use when an employee is terminated because they do not meet the legal requirements for hire after beginning NHO and/or working.</t>
  </si>
  <si>
    <t>Performance – Productivity</t>
  </si>
  <si>
    <t>Similar to Unsatisfactory Performance, but the employee's performance issues were due to productivity.</t>
  </si>
  <si>
    <t>Performance – Quality</t>
  </si>
  <si>
    <t>Similar to Unsatisfactory Performance, but the employee's performance issues were due to quality.</t>
  </si>
  <si>
    <t>1st Check</t>
  </si>
  <si>
    <t>2th Check</t>
  </si>
  <si>
    <t>3nd Check</t>
  </si>
  <si>
    <t>4rd Check</t>
  </si>
  <si>
    <t>5th Check</t>
  </si>
  <si>
    <t>6th Check</t>
  </si>
  <si>
    <t>7th Check</t>
  </si>
  <si>
    <t>8th Check</t>
  </si>
  <si>
    <t>9th Check</t>
  </si>
  <si>
    <t>10th Check</t>
  </si>
  <si>
    <t>WW Consumer L1-L3 Policy</t>
  </si>
  <si>
    <t>International Conssumer L1-L3 Policy certain APAC/MENA countries</t>
  </si>
  <si>
    <t>Policy Name: Current PeopleSoft for USA &amp; CAN =  FC</t>
  </si>
  <si>
    <t>Policy Name: Current PeopleSoft for USA &amp; CAN =  CS</t>
  </si>
  <si>
    <t>Policy Name: Current PeopleSoft  for:
a) USA &amp; CAN &lt;&gt; FC&amp;CS
b) USA &amp; CAN Operations HR
c) USA &amp; CAN WW Consumer L0+</t>
  </si>
  <si>
    <t>Policy Name: Current PeopleSoft for Other than USA &amp; CAN =  FC&amp;CS</t>
  </si>
  <si>
    <t>Policy Name: Current PeopleSoft for Other than USA &amp; CAN, FC &amp; CS &lt;&gt; FC&amp;CS</t>
  </si>
  <si>
    <t>Contingent Workers in NA and certain EMEA countries</t>
  </si>
  <si>
    <t>CWR Re-Engagement Policy</t>
  </si>
  <si>
    <t>Contingent Workers not in NA and EMEA</t>
  </si>
  <si>
    <t>Action</t>
  </si>
  <si>
    <t>Reason/ Termination Factor</t>
  </si>
  <si>
    <t>Description</t>
  </si>
  <si>
    <t>Reports to Level 2 =  Herrington, Doug
AND
job level = L1 or L2 or L3
AND
job_family &lt;&gt; HR – Human Resources 
AND
(Country = USA, CAN, AUT, BEL, CZE, FIN, FRA, DEU, IRL, ITA, LUX, NLD, POL, ROM, SRB, SVK, ESP, SWE, GBR, TUR, ARE, BHR, BRA, COL, CRI, MAR, MEX)
OR
(Reports to Level 2 = Herrington, Doug  
AND
Reports to Level 3 = Akhil Saxena
AND
job level = L1 or L2 or L3
AND
pay type = Hourly OR Salaried
AND 
job_family &lt;&gt; HR – Human Resources 
AND
(Country =  IND, AUS, CHN, JPN, SAU, UAE, JOR, EGY, ISR, SGP, PHL, ZAF, THA, South Korea)</t>
  </si>
  <si>
    <t>Reports to Level 2 = Herrington, Doug  
AND
Reports to Level 3 &lt;&gt; Akhil Saxena
AND
job level = L1 or L2 or L3
AND 
job_family &lt;&gt; HR – Human Resources 
AND
(Country =  IND, AUS, CHN, JPN, SAU, UAE, JOR, EGY, ISR, SGP, PHL, ZAF, THA, South Korea)</t>
  </si>
  <si>
    <t>Reports to Level 2 = Herrington, Doug
AND
job_family = FC
AND
Country = USA or CAN
AND
job level = L0+</t>
  </si>
  <si>
    <t>Reports to Level 2 = Herrington, Doug
AND
job_family = CS
AND
Country = USA or CAN
AND
job level = L0+</t>
  </si>
  <si>
    <t>(Reports to Level 2 &lt;&gt; Herrington, Doug
AND
Country = USA or CAN
AND 
job level = L0+)
OR
(Reports to Level 2 = Herrington Doug 
AND
job_family  &lt;&gt; FC or CS
AND
Country = USA or CAN
AND
job level = L0+)"</t>
  </si>
  <si>
    <t>Reports to Level 2 = Herrington, Doug
AND
Country &lt;&gt; USA or CAN
AND 
job level = L0+</t>
  </si>
  <si>
    <t>Reports to Level 2 &lt;&gt; Herrington, Doug
AND
Reg_Region &lt;&gt; USA or CAN
AND 
job level = L0+</t>
  </si>
  <si>
    <t>job level = 99
AND
Country = (US, CAN, ARE, BHR, CHE, DNK, EGY, GRC, ISR, JOR, NOR, PRT, SAU, ZAF)</t>
  </si>
  <si>
    <t>job level = 99
AND
Country = (AUT, BEL, CZE, FIN, FRA, DEU, IRL, ITA, LUX, MAR, POL, ROU, SRB, SVK, ESP, SWE, NLD, TUR, UK)</t>
  </si>
  <si>
    <t>job level = 99
AND
Country &lt;&gt; (US, CAN, ARE, BHR, CHE, DNK, EGY, ESP, GRC, ISR, JOR, NOR, PRT, SAU, ZAF,AUT, BEL, CZE, FIN, FRA, DEU, IRL, ITA, LUX, MAR, POL, ROU, SRB, SVK, ESP, SWE, NLD, TUR, UK)</t>
  </si>
  <si>
    <t>TER</t>
  </si>
  <si>
    <t>ADM</t>
  </si>
  <si>
    <t>Administrative</t>
  </si>
  <si>
    <t>Eligible</t>
  </si>
  <si>
    <t>CNO</t>
  </si>
  <si>
    <t>Conversion No OBA</t>
  </si>
  <si>
    <t>CNV</t>
  </si>
  <si>
    <t>OBA Conversion</t>
  </si>
  <si>
    <t>DEA</t>
  </si>
  <si>
    <t>Death</t>
  </si>
  <si>
    <t>DFA</t>
  </si>
  <si>
    <t>Keying Error</t>
  </si>
  <si>
    <t>DUP</t>
  </si>
  <si>
    <t>Duplicate EMPLID</t>
  </si>
  <si>
    <t>JOB</t>
  </si>
  <si>
    <t>Job Abandonment</t>
  </si>
  <si>
    <t>Ineligible for rehire- within waiting period (90 days)</t>
  </si>
  <si>
    <t>Review Required</t>
  </si>
  <si>
    <t>Ineligible (Eligible after 90 day waiting period)</t>
  </si>
  <si>
    <t>MIL</t>
  </si>
  <si>
    <t>Military Service</t>
  </si>
  <si>
    <t>MUA</t>
  </si>
  <si>
    <t>Mutual Agreements</t>
  </si>
  <si>
    <t>NOS</t>
  </si>
  <si>
    <t>No Show On First Day</t>
  </si>
  <si>
    <t>PTQ</t>
  </si>
  <si>
    <t>Paid to Quit</t>
  </si>
  <si>
    <t>Ineligible (Eligible after 5 year waiting period)</t>
  </si>
  <si>
    <t>RTM</t>
  </si>
  <si>
    <t>Retirement</t>
  </si>
  <si>
    <t>TMP</t>
  </si>
  <si>
    <t>End Temporary Employment</t>
  </si>
  <si>
    <t>WOR</t>
  </si>
  <si>
    <t>Involntry w/o Responsibility</t>
  </si>
  <si>
    <t>WRP</t>
  </si>
  <si>
    <t>Involntry with Responsibility</t>
  </si>
  <si>
    <t>INV</t>
  </si>
  <si>
    <t>LIC</t>
  </si>
  <si>
    <t>Lost license relevant to work</t>
  </si>
  <si>
    <t>Ineligible  (Eligible after 5 year waiting period)</t>
  </si>
  <si>
    <t>Ineligible</t>
  </si>
  <si>
    <t>IPV</t>
  </si>
  <si>
    <t>Pivot Termination</t>
  </si>
  <si>
    <t>LNG</t>
  </si>
  <si>
    <t>Language review required</t>
  </si>
  <si>
    <t>MTI</t>
  </si>
  <si>
    <t>Mutual Agreement (Inv)</t>
  </si>
  <si>
    <t>PPF</t>
  </si>
  <si>
    <t>PUP Practical Fail</t>
  </si>
  <si>
    <t>BFI</t>
  </si>
  <si>
    <t>Bradford index</t>
  </si>
  <si>
    <t>TLE</t>
  </si>
  <si>
    <t>Time on leave &gt; time employed</t>
  </si>
  <si>
    <t>PFP</t>
  </si>
  <si>
    <t>Ineligible for rehire- within waiting period (730 days)</t>
  </si>
  <si>
    <t>PTF</t>
  </si>
  <si>
    <t>PUP Theory Fail</t>
  </si>
  <si>
    <t>ATT</t>
  </si>
  <si>
    <t>UTO</t>
  </si>
  <si>
    <t>Unpaid Time Off Overdraft</t>
  </si>
  <si>
    <t>ASI</t>
  </si>
  <si>
    <t>Insufficient Absence Notices</t>
  </si>
  <si>
    <t>OUT</t>
  </si>
  <si>
    <t>Over Utilization of Time-Off</t>
  </si>
  <si>
    <t>BEH</t>
  </si>
  <si>
    <t>Ineligible Indefinitely</t>
  </si>
  <si>
    <t>DIS</t>
  </si>
  <si>
    <t>FAL</t>
  </si>
  <si>
    <t>INS</t>
  </si>
  <si>
    <t>Insubordination</t>
  </si>
  <si>
    <t>MIS</t>
  </si>
  <si>
    <t>RUL</t>
  </si>
  <si>
    <t>ELM</t>
  </si>
  <si>
    <t>Elimination of position</t>
  </si>
  <si>
    <t>OTH</t>
  </si>
  <si>
    <t>Other - DEU use only</t>
  </si>
  <si>
    <t>RED</t>
  </si>
  <si>
    <t>Reduction in Force</t>
  </si>
  <si>
    <t>LAK</t>
  </si>
  <si>
    <t>MED</t>
  </si>
  <si>
    <t>FBC</t>
  </si>
  <si>
    <t>Failed Background Check</t>
  </si>
  <si>
    <t>UNS</t>
  </si>
  <si>
    <t>EGI</t>
  </si>
  <si>
    <t>PFQ</t>
  </si>
  <si>
    <t>VOL</t>
  </si>
  <si>
    <t>ENV</t>
  </si>
  <si>
    <t>Work Environment</t>
  </si>
  <si>
    <t>VMD</t>
  </si>
  <si>
    <t>WRK</t>
  </si>
  <si>
    <t>Physical Environment</t>
  </si>
  <si>
    <t>BUR</t>
  </si>
  <si>
    <t>Bureaucracy - Ability to Bld</t>
  </si>
  <si>
    <t>LDR</t>
  </si>
  <si>
    <t>Manager/Leadership</t>
  </si>
  <si>
    <t>SCH</t>
  </si>
  <si>
    <t>CHL</t>
  </si>
  <si>
    <t>Challenging Work</t>
  </si>
  <si>
    <t>OSB</t>
  </si>
  <si>
    <t>Operational Support Burden</t>
  </si>
  <si>
    <t>PRO</t>
  </si>
  <si>
    <t>REC</t>
  </si>
  <si>
    <t>Recognition for Great Work</t>
  </si>
  <si>
    <t>TLS</t>
  </si>
  <si>
    <t>Tools and Resources</t>
  </si>
  <si>
    <t>NSD</t>
  </si>
  <si>
    <t>No show day 1</t>
  </si>
  <si>
    <t>COM</t>
  </si>
  <si>
    <t>Compensation</t>
  </si>
  <si>
    <t>PER</t>
  </si>
  <si>
    <t>CCG</t>
  </si>
  <si>
    <t>Career Choice Grad</t>
  </si>
  <si>
    <t>ABN</t>
  </si>
  <si>
    <t>RIL</t>
  </si>
  <si>
    <t>Resignation in Lieu of Term</t>
  </si>
  <si>
    <t>EGV</t>
  </si>
  <si>
    <t>Work Eligibility (Authorization)</t>
  </si>
  <si>
    <t>END</t>
  </si>
  <si>
    <t>End of Assignment</t>
  </si>
  <si>
    <t>MTV</t>
  </si>
  <si>
    <t>Mutual Agreement (Vol)</t>
  </si>
  <si>
    <t>VPV</t>
  </si>
  <si>
    <t>RTW</t>
  </si>
  <si>
    <t>Work Authorization</t>
  </si>
  <si>
    <t>Empty</t>
  </si>
  <si>
    <t>Due to Pick up location</t>
  </si>
  <si>
    <t>Due to Health Issue</t>
  </si>
  <si>
    <t>Away Team</t>
  </si>
  <si>
    <t>maxtokpr</t>
  </si>
  <si>
    <t>Maxwell Tokpor</t>
  </si>
  <si>
    <t>bwamoako</t>
  </si>
  <si>
    <t>Benjamin Kwarteng Amoako</t>
  </si>
  <si>
    <t>ashiegbi</t>
  </si>
  <si>
    <t>Clemence Ashiegbi</t>
  </si>
  <si>
    <t>marvingx</t>
  </si>
  <si>
    <t>Marvinge Mokabe Akanang</t>
  </si>
  <si>
    <t>mmensahf</t>
  </si>
  <si>
    <t>Mary Mensah</t>
  </si>
  <si>
    <t>lajlawso</t>
  </si>
  <si>
    <t>Late Flynn Lawson</t>
  </si>
  <si>
    <t>Takundanashe Irvine Chagwedera</t>
  </si>
  <si>
    <t>Alidu Abass</t>
  </si>
  <si>
    <t>gbenclem</t>
  </si>
  <si>
    <t>Clement Kwetey Gbenatey</t>
  </si>
  <si>
    <t>winashcr</t>
  </si>
  <si>
    <t>Winston Desmond Adesumi Ashcroft</t>
  </si>
  <si>
    <t>samutofo</t>
  </si>
  <si>
    <t>Samuel Ofori</t>
  </si>
  <si>
    <t>aoselydi</t>
  </si>
  <si>
    <t>Lydia Osei</t>
  </si>
  <si>
    <t>poifrimp</t>
  </si>
  <si>
    <t>Polycarp Junior Frimpong</t>
  </si>
  <si>
    <t>evkwarte</t>
  </si>
  <si>
    <t>Evans Kwarteng</t>
  </si>
  <si>
    <t>lprinced</t>
  </si>
  <si>
    <t>Prince Dramani</t>
  </si>
  <si>
    <t>tanguimm</t>
  </si>
  <si>
    <t>Immaculate Wiysanyuy Tangu</t>
  </si>
  <si>
    <t>sankosam</t>
  </si>
  <si>
    <t>Sampha Sankoh</t>
  </si>
  <si>
    <t>clarfien</t>
  </si>
  <si>
    <t>Clarise Fienmbu</t>
  </si>
  <si>
    <t>Anthony Owusu</t>
  </si>
  <si>
    <t>Moinya Bockarie</t>
  </si>
  <si>
    <t>Emmanuel Konadu</t>
  </si>
  <si>
    <t>Mary Acheampong</t>
  </si>
  <si>
    <t>Amoako Vida</t>
  </si>
  <si>
    <t>Dorcas Mensah</t>
  </si>
  <si>
    <t>cctakund</t>
  </si>
  <si>
    <t>abaoalid</t>
  </si>
  <si>
    <t>antowusb</t>
  </si>
  <si>
    <t>mbockari</t>
  </si>
  <si>
    <t>ekkonad</t>
  </si>
  <si>
    <t>acheamma</t>
  </si>
  <si>
    <t>amoakviw</t>
  </si>
  <si>
    <t>mensdorc</t>
  </si>
  <si>
    <t>Facility</t>
  </si>
  <si>
    <t>Safety</t>
  </si>
  <si>
    <t>Admin/HR/IT</t>
  </si>
  <si>
    <t>Mohamed Rizvan</t>
  </si>
  <si>
    <t>Inbound Stow</t>
  </si>
  <si>
    <t>Training</t>
  </si>
  <si>
    <t>Learning Associate</t>
  </si>
  <si>
    <t>IT Support Technician</t>
  </si>
  <si>
    <t>Loss Prevention Coordinator</t>
  </si>
  <si>
    <t>OB Lead/PA</t>
  </si>
  <si>
    <t>Picking</t>
  </si>
  <si>
    <t>Sort - Batch</t>
  </si>
  <si>
    <t>rizvamoh</t>
  </si>
  <si>
    <t>xaboppon</t>
  </si>
  <si>
    <t>Abdul Aziz Oppong</t>
  </si>
  <si>
    <t>abdxmulu</t>
  </si>
  <si>
    <t>Abdulhakim Mulumba</t>
  </si>
  <si>
    <t>sserutua</t>
  </si>
  <si>
    <t>Adam Sserutuka</t>
  </si>
  <si>
    <t>benjanko</t>
  </si>
  <si>
    <t>Benjamin Ankomahene</t>
  </si>
  <si>
    <t>derriatt</t>
  </si>
  <si>
    <t>Derrickson Attipoe</t>
  </si>
  <si>
    <t>ebenfbra</t>
  </si>
  <si>
    <t>Ebenezer Brabi</t>
  </si>
  <si>
    <t>emwanamb</t>
  </si>
  <si>
    <t>Emma Wanabwa</t>
  </si>
  <si>
    <t>nkhonesn</t>
  </si>
  <si>
    <t>Esnart Khonje</t>
  </si>
  <si>
    <t>okumarje</t>
  </si>
  <si>
    <t>Jeevan Kumar VIJAY KUMAR</t>
  </si>
  <si>
    <t>nmpakkas</t>
  </si>
  <si>
    <t>Kassim Hija Mpaka</t>
  </si>
  <si>
    <t>marahkel</t>
  </si>
  <si>
    <t>Kelly Hassan Marah</t>
  </si>
  <si>
    <t>fakiyumr</t>
  </si>
  <si>
    <t>rkatumma</t>
  </si>
  <si>
    <t>Mark Katumwa</t>
  </si>
  <si>
    <t>kulmika</t>
  </si>
  <si>
    <t>kamorash</t>
  </si>
  <si>
    <t>Moras KAMAL</t>
  </si>
  <si>
    <t>muniiive</t>
  </si>
  <si>
    <t>Muniina Ivan</t>
  </si>
  <si>
    <t>prosarth</t>
  </si>
  <si>
    <t>Prosper Arthur</t>
  </si>
  <si>
    <t>hrenneaa</t>
  </si>
  <si>
    <t>Renne Assah Assah</t>
  </si>
  <si>
    <t>osalwant</t>
  </si>
  <si>
    <t>Sanjana SALWANT MASIH</t>
  </si>
  <si>
    <t>chashaav</t>
  </si>
  <si>
    <t>Shaavan Chauhan</t>
  </si>
  <si>
    <t>nagwsimz</t>
  </si>
  <si>
    <t>Simon Nagwaka</t>
  </si>
  <si>
    <t>siasiimw</t>
  </si>
  <si>
    <t>Simon Asimwe</t>
  </si>
  <si>
    <t>ksesteph</t>
  </si>
  <si>
    <t>kanyesst</t>
  </si>
  <si>
    <t>Steven Kanyesigye</t>
  </si>
  <si>
    <t>kswamadu</t>
  </si>
  <si>
    <t>Swamadu Bukenya Kirya</t>
  </si>
  <si>
    <t>wilesing</t>
  </si>
  <si>
    <t>William SINGARA</t>
  </si>
  <si>
    <t>kintuyac</t>
  </si>
  <si>
    <t>Yahaya Kintu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</si>
  <si>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</si>
  <si>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</si>
  <si>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</si>
  <si>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</si>
  <si>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</si>
  <si>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</si>
  <si>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</si>
  <si>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</si>
  <si>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</si>
  <si>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</si>
  <si>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</si>
  <si>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</si>
  <si>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</si>
  <si>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</si>
  <si>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</si>
  <si>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</si>
  <si>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</si>
  <si>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</si>
  <si>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</si>
  <si>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</si>
  <si>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</si>
  <si>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</si>
  <si>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</si>
  <si>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</si>
  <si>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stephjov</t>
  </si>
  <si>
    <t>hamumuni</t>
  </si>
  <si>
    <t>Pack - Batch</t>
  </si>
  <si>
    <t>XXL</t>
  </si>
  <si>
    <t>India</t>
  </si>
  <si>
    <t>Nigeria</t>
  </si>
  <si>
    <t>Cameroon</t>
  </si>
  <si>
    <t>Hamid center</t>
  </si>
  <si>
    <t>Zimbabwe</t>
  </si>
  <si>
    <t xml:space="preserve">Male </t>
  </si>
  <si>
    <t>Pending</t>
  </si>
  <si>
    <t>Rwanda</t>
  </si>
  <si>
    <t>Nepal</t>
  </si>
  <si>
    <t>Sierra Leone</t>
  </si>
  <si>
    <t>Kenya</t>
  </si>
  <si>
    <t>Egypt</t>
  </si>
  <si>
    <t>Tanzania</t>
  </si>
  <si>
    <t>Liberia</t>
  </si>
  <si>
    <t>Sri Lanka</t>
  </si>
  <si>
    <t xml:space="preserve">Female </t>
  </si>
  <si>
    <t>Ethiopia</t>
  </si>
  <si>
    <t>Myanmar</t>
  </si>
  <si>
    <t>Own Transport</t>
  </si>
  <si>
    <t>Burjeel Hospital(Al Najda Str)</t>
  </si>
  <si>
    <t>Mushrif mall (Airport road )</t>
  </si>
  <si>
    <t>Workers Village  ( Musaffa 24)</t>
  </si>
  <si>
    <t>Dulsco ICAD-1 Bus Stop</t>
  </si>
  <si>
    <t>Côte d'Ivoire</t>
  </si>
  <si>
    <t>Zambia</t>
  </si>
  <si>
    <t xml:space="preserve">Cameroon </t>
  </si>
  <si>
    <t>hkhwabdu</t>
  </si>
  <si>
    <t>Abdul Hanan Khwaja</t>
  </si>
  <si>
    <t>hananabdul345@gmail.com</t>
  </si>
  <si>
    <t>Facilities</t>
  </si>
  <si>
    <t>vingohma</t>
  </si>
  <si>
    <t>Violet Ngoh Mayah</t>
  </si>
  <si>
    <t>kingklik</t>
  </si>
  <si>
    <t>Kingsford Kliko</t>
  </si>
  <si>
    <t>josdohmo</t>
  </si>
  <si>
    <t>puthanvv</t>
  </si>
  <si>
    <t>Vibin Puthanpurakkal</t>
  </si>
  <si>
    <t>joakhili</t>
  </si>
  <si>
    <t>Akhil Joy</t>
  </si>
  <si>
    <t>yeaunga</t>
  </si>
  <si>
    <t>Aung Ye</t>
  </si>
  <si>
    <t>kiifiank</t>
  </si>
  <si>
    <t>Kingsley Ohene Fianko</t>
  </si>
  <si>
    <t>nejaryee</t>
  </si>
  <si>
    <t>Nehemiah jaryee</t>
  </si>
  <si>
    <t>samnuama</t>
  </si>
  <si>
    <t>Sampson Nuamah</t>
  </si>
  <si>
    <t>ujstanle</t>
  </si>
  <si>
    <t>DEGLE JOSHUA Staniley</t>
  </si>
  <si>
    <t>jephttwe</t>
  </si>
  <si>
    <t>JEPHTER Twenie</t>
  </si>
  <si>
    <t>enyanvbe</t>
  </si>
  <si>
    <t>Benjamin Enyan</t>
  </si>
  <si>
    <t>mfatorib</t>
  </si>
  <si>
    <t>Ibrahim Fatorma Dakowa</t>
  </si>
  <si>
    <t>agyemafy</t>
  </si>
  <si>
    <t>Freduah Agyemang</t>
  </si>
  <si>
    <t>maragbev</t>
  </si>
  <si>
    <t>Mary Agbeviade</t>
  </si>
  <si>
    <t>kingwaym</t>
  </si>
  <si>
    <t>Mohamed Kingway Barrie</t>
  </si>
  <si>
    <t>kwaasipe</t>
  </si>
  <si>
    <t>Peter Kwaasi Aswireng</t>
  </si>
  <si>
    <t>amankemq</t>
  </si>
  <si>
    <t>Emmanuel Amankwah Buabeng</t>
  </si>
  <si>
    <t>chrafful</t>
  </si>
  <si>
    <t>Christopher Afful</t>
  </si>
  <si>
    <t>troychim</t>
  </si>
  <si>
    <t>Tatenda Lee Roy Chimunda</t>
  </si>
  <si>
    <t>uernesme</t>
  </si>
  <si>
    <t>Ernest Mensah Awudi</t>
  </si>
  <si>
    <t>vachampa</t>
  </si>
  <si>
    <t>Champagne Vanessa Djaba</t>
  </si>
  <si>
    <t>abongger</t>
  </si>
  <si>
    <t>Erica Abong Ghogah</t>
  </si>
  <si>
    <t>bibrahio</t>
  </si>
  <si>
    <t>Osman Ibrahim</t>
  </si>
  <si>
    <t>gikwameg</t>
  </si>
  <si>
    <t>Gideon Kwame Gyasi</t>
  </si>
  <si>
    <t>bundtenl</t>
  </si>
  <si>
    <t>Tengbeh Bundoo</t>
  </si>
  <si>
    <t>johnyoky</t>
  </si>
  <si>
    <t>John Okyere</t>
  </si>
  <si>
    <t>emmqamuz</t>
  </si>
  <si>
    <t>Emmanuel Amuzu</t>
  </si>
  <si>
    <t>adufbrig</t>
  </si>
  <si>
    <t>Bright Adu</t>
  </si>
  <si>
    <t>proskwak</t>
  </si>
  <si>
    <t>Prosper Kwaku Boateng</t>
  </si>
  <si>
    <t>sunashir</t>
  </si>
  <si>
    <t>Samsudeen Nashiru</t>
  </si>
  <si>
    <t>sibwelli</t>
  </si>
  <si>
    <t>Wellington Sibanda</t>
  </si>
  <si>
    <t>achungak</t>
  </si>
  <si>
    <t>Chelsea Achu Ngako</t>
  </si>
  <si>
    <t>roycshub</t>
  </si>
  <si>
    <t>Shubhadeep Roy</t>
  </si>
  <si>
    <t>piraviki</t>
  </si>
  <si>
    <t>Ravi Kiran Pidatala</t>
  </si>
  <si>
    <t>vivekper</t>
  </si>
  <si>
    <t>Vivek Perumandla</t>
  </si>
  <si>
    <t>agthanka</t>
  </si>
  <si>
    <t>Ashil Thankachan</t>
  </si>
  <si>
    <t>lmathewt</t>
  </si>
  <si>
    <t>Tom Mathew</t>
  </si>
  <si>
    <t>abasarud</t>
  </si>
  <si>
    <t>Asarudeen Abdul Razak</t>
  </si>
  <si>
    <t>wmohshak</t>
  </si>
  <si>
    <t>Mohamed Shakir</t>
  </si>
  <si>
    <t>muhmohas</t>
  </si>
  <si>
    <t>Mohasin Muhammad</t>
  </si>
  <si>
    <t>mohkfaro</t>
  </si>
  <si>
    <t>Mohamed Farook</t>
  </si>
  <si>
    <t>pallikna</t>
  </si>
  <si>
    <t>Nasarudheen Pallikka</t>
  </si>
  <si>
    <t>femamoan</t>
  </si>
  <si>
    <t>Emmanuel Amoanyi</t>
  </si>
  <si>
    <t>joboateq</t>
  </si>
  <si>
    <t>John Boateng Opoku</t>
  </si>
  <si>
    <t>ricowusp</t>
  </si>
  <si>
    <t>Richard Owusu</t>
  </si>
  <si>
    <t>habimsha</t>
  </si>
  <si>
    <t>Sharif Habimana</t>
  </si>
  <si>
    <t>abraalfo</t>
  </si>
  <si>
    <t>Abrahim AL Fofana</t>
  </si>
  <si>
    <t>wasnades</t>
  </si>
  <si>
    <t>Nadesh Wase Ndiena</t>
  </si>
  <si>
    <t>apodehan</t>
  </si>
  <si>
    <t>Hans Apodei Agudey</t>
  </si>
  <si>
    <t>geradink</t>
  </si>
  <si>
    <t>Geradine Lumafor</t>
  </si>
  <si>
    <t>vajeermo</t>
  </si>
  <si>
    <t>MOHAMED.A,VAJEER</t>
  </si>
  <si>
    <t>amosbeko</t>
  </si>
  <si>
    <t>Amos Atta Bekoe</t>
  </si>
  <si>
    <t>ucoasant</t>
  </si>
  <si>
    <t>Comfort Asante</t>
  </si>
  <si>
    <t>turaisha</t>
  </si>
  <si>
    <t>ISHA Turay</t>
  </si>
  <si>
    <t>aetelahf</t>
  </si>
  <si>
    <t>Ngwemah Etelah</t>
  </si>
  <si>
    <t>sekamdib</t>
  </si>
  <si>
    <t>IBRAHIM SEKAMWA</t>
  </si>
  <si>
    <t>nuwafrag</t>
  </si>
  <si>
    <t>FRANK NUWAHEREZA</t>
  </si>
  <si>
    <t>okulyjos</t>
  </si>
  <si>
    <t>JOSHUA OKULA</t>
  </si>
  <si>
    <t>victooju</t>
  </si>
  <si>
    <t>VICTOR OJUMA</t>
  </si>
  <si>
    <t>nuwallat</t>
  </si>
  <si>
    <t>LATIB NUWALIMANYA</t>
  </si>
  <si>
    <t>nkamivan</t>
  </si>
  <si>
    <t>IVAN NKAMUHABWA</t>
  </si>
  <si>
    <t>ssegeoff</t>
  </si>
  <si>
    <t>GEOFFREY SSEMPA</t>
  </si>
  <si>
    <t>kssekale</t>
  </si>
  <si>
    <t>elagabae</t>
  </si>
  <si>
    <t>ELIJAH AGABA</t>
  </si>
  <si>
    <t>tesadamu</t>
  </si>
  <si>
    <t>TEBIGWAYO SADAMU</t>
  </si>
  <si>
    <t>emmamusi</t>
  </si>
  <si>
    <t>EMMANUEL MUSIIME</t>
  </si>
  <si>
    <t>wimumber</t>
  </si>
  <si>
    <t>WILSON MUMBERE</t>
  </si>
  <si>
    <t>shamumbe</t>
  </si>
  <si>
    <t>SHAFFI MUMBERE</t>
  </si>
  <si>
    <t>qmukalaz</t>
  </si>
  <si>
    <t>JACOB MUKALAZI</t>
  </si>
  <si>
    <t>juesaidi</t>
  </si>
  <si>
    <t>SAIDI JUNIOR LUBEGA</t>
  </si>
  <si>
    <t>damiakat</t>
  </si>
  <si>
    <t>DAMIANO KATO</t>
  </si>
  <si>
    <t>kampmesh</t>
  </si>
  <si>
    <t>MESHACH KAMPAME</t>
  </si>
  <si>
    <t>kalyange</t>
  </si>
  <si>
    <t>GERALD KALYANGO</t>
  </si>
  <si>
    <t>muckorom</t>
  </si>
  <si>
    <t>Muctarr Koroma</t>
  </si>
  <si>
    <t>pagyeiok</t>
  </si>
  <si>
    <t>Prince Agyei Okai</t>
  </si>
  <si>
    <t>solokorz</t>
  </si>
  <si>
    <t>Solomon Koranteng Nyarko</t>
  </si>
  <si>
    <t>sboatrob</t>
  </si>
  <si>
    <t>Robert Boateng Agyei</t>
  </si>
  <si>
    <t>roabatab</t>
  </si>
  <si>
    <t>Roland Aba Taboh</t>
  </si>
  <si>
    <t>tabifors</t>
  </si>
  <si>
    <t>Sergeo Tabifor</t>
  </si>
  <si>
    <t>dzlawson</t>
  </si>
  <si>
    <t>Lawson Dzesa</t>
  </si>
  <si>
    <t>eluckpal</t>
  </si>
  <si>
    <t>Essossimna Luc Kpalou</t>
  </si>
  <si>
    <t>joshirum</t>
  </si>
  <si>
    <t>JOSHUA IRUMBA</t>
  </si>
  <si>
    <t>biseswak</t>
  </si>
  <si>
    <t>BISESWAR KUMAR THAKUR</t>
  </si>
  <si>
    <t>shrrabib</t>
  </si>
  <si>
    <t>jqkumars</t>
  </si>
  <si>
    <t>JITENDRA KUMAR SHARMA</t>
  </si>
  <si>
    <t>shrashif</t>
  </si>
  <si>
    <t>ASHISH SHRESTHA</t>
  </si>
  <si>
    <t>drabimah</t>
  </si>
  <si>
    <t>RABIN MAHARJAN</t>
  </si>
  <si>
    <t>gautaldi</t>
  </si>
  <si>
    <t>DIPESH GAUTAM</t>
  </si>
  <si>
    <t>ankinew</t>
  </si>
  <si>
    <t>ANKIT NEWAR</t>
  </si>
  <si>
    <t>henrjora</t>
  </si>
  <si>
    <t>JORAM HENRY WONIALA</t>
  </si>
  <si>
    <t>curtgonl</t>
  </si>
  <si>
    <t>Curtis Gonluee Scell</t>
  </si>
  <si>
    <t>koseihen</t>
  </si>
  <si>
    <t>Henry Osei</t>
  </si>
  <si>
    <t>sbabucan</t>
  </si>
  <si>
    <t>Babucarr Sowe</t>
  </si>
  <si>
    <t>benesaah</t>
  </si>
  <si>
    <t>Benedict Saah Camille</t>
  </si>
  <si>
    <t>geoppong</t>
  </si>
  <si>
    <t>Enoch Oppong</t>
  </si>
  <si>
    <t>ddommban</t>
  </si>
  <si>
    <t>Stanley Dom Mbang</t>
  </si>
  <si>
    <t>mkamarau</t>
  </si>
  <si>
    <t>Mybo Kamara</t>
  </si>
  <si>
    <t>agabaelijah925@gmail.com</t>
  </si>
  <si>
    <t>Mumbelefik@gmail.com</t>
  </si>
  <si>
    <t>mukajack3@gmail.com</t>
  </si>
  <si>
    <t>brightgeraldkalyango@gmail.com</t>
  </si>
  <si>
    <t>muctarrkoroma@gmail.com</t>
  </si>
  <si>
    <t>princeokai515@gmail.com</t>
  </si>
  <si>
    <t>robertagyei123@gmail.com</t>
  </si>
  <si>
    <t>tabohaba@gmail.com</t>
  </si>
  <si>
    <t>sergeotabifor39@gmail.com</t>
  </si>
  <si>
    <t>lawsondzesa1@gmail.com</t>
  </si>
  <si>
    <t>r12inhanging@gmail.com</t>
  </si>
  <si>
    <t>dipeshgautam2024@gmail.com</t>
  </si>
  <si>
    <t>oseihenry999@gmail.com</t>
  </si>
  <si>
    <t>bsowe559@gmail.com</t>
  </si>
  <si>
    <t>camillebenedict1997@gmail.com</t>
  </si>
  <si>
    <t>kamaramybo@gmail.com</t>
  </si>
  <si>
    <t>IB Problem Solve</t>
  </si>
  <si>
    <t>Vendor Receive</t>
  </si>
  <si>
    <t>IB Lead/PA</t>
  </si>
  <si>
    <t>Inbound Prep</t>
  </si>
  <si>
    <t>kyeisolo</t>
  </si>
  <si>
    <t>kanuprly</t>
  </si>
  <si>
    <t>Kalaiselvan Kalaiselvan,Anuprlya</t>
  </si>
  <si>
    <t>IVAN KATO</t>
  </si>
  <si>
    <t>GERALD MUSINGUZI</t>
  </si>
  <si>
    <t>GASTON KIBUGA</t>
  </si>
  <si>
    <t>TIMOTHY KINONGO</t>
  </si>
  <si>
    <t>HARUNAH KIBENGO</t>
  </si>
  <si>
    <t>LIVING BESIGYE</t>
  </si>
  <si>
    <t>PRADHUMNA SHRESTHA</t>
  </si>
  <si>
    <t>KENNETH TURYAMUREBA</t>
  </si>
  <si>
    <t>JOHN NASASIRA</t>
  </si>
  <si>
    <t>MICHEAL WEERE</t>
  </si>
  <si>
    <t>Thopparasu Sivakumar</t>
  </si>
  <si>
    <t>Mohammed Abdullah</t>
  </si>
  <si>
    <t>Azizuddin Mohammed</t>
  </si>
  <si>
    <t>Nikhil Kallingal</t>
  </si>
  <si>
    <t>Md Shahid Ansari</t>
  </si>
  <si>
    <t>avmdshah</t>
  </si>
  <si>
    <t>catoaivan@gmail.com</t>
  </si>
  <si>
    <t>tumuhairweagnes668@gmail.com</t>
  </si>
  <si>
    <t>gastonkibuga@gmail.com</t>
  </si>
  <si>
    <t>besigyeliving202@gmail.com</t>
  </si>
  <si>
    <t>pradsthaz@gmail.com</t>
  </si>
  <si>
    <t>nasasira755@gmail.com</t>
  </si>
  <si>
    <t>shahidansari8862@gmail.com</t>
  </si>
  <si>
    <t>ivankatl</t>
  </si>
  <si>
    <t>musingge</t>
  </si>
  <si>
    <t>kibgasto</t>
  </si>
  <si>
    <t>timokino</t>
  </si>
  <si>
    <t>kkibehar</t>
  </si>
  <si>
    <t>livinbes</t>
  </si>
  <si>
    <t>mosaselv</t>
  </si>
  <si>
    <t>shrehpra</t>
  </si>
  <si>
    <t>turykenn</t>
  </si>
  <si>
    <t>nasasjoh</t>
  </si>
  <si>
    <t>weermich</t>
  </si>
  <si>
    <t>thoppasi</t>
  </si>
  <si>
    <t>moabo</t>
  </si>
  <si>
    <t>mohaaziv</t>
  </si>
  <si>
    <t>kallbnik</t>
  </si>
  <si>
    <t>faresoal</t>
  </si>
  <si>
    <t>Al Khalifi,Fares Omar Mohammed</t>
  </si>
  <si>
    <t>diddabdu</t>
  </si>
  <si>
    <t>Abdul Hadi Iddrisu</t>
  </si>
  <si>
    <t>etugalex</t>
  </si>
  <si>
    <t>Alexander Etuge</t>
  </si>
  <si>
    <t>rberinea</t>
  </si>
  <si>
    <t>Berine Amoh Lanyang</t>
  </si>
  <si>
    <t>ndiranio</t>
  </si>
  <si>
    <t>Diranie Buteh Omah</t>
  </si>
  <si>
    <t>ayenedid</t>
  </si>
  <si>
    <t>Edith Ayengo</t>
  </si>
  <si>
    <t>kpafatma</t>
  </si>
  <si>
    <t>Fatmata Kpaka</t>
  </si>
  <si>
    <t>Hassana Mumuni</t>
  </si>
  <si>
    <t>atuajose</t>
  </si>
  <si>
    <t>JOSEPH ATUAHENE</t>
  </si>
  <si>
    <t>dumsekeh</t>
  </si>
  <si>
    <t>Kelvin Anankeng Azem Ndugakue</t>
  </si>
  <si>
    <t>nsamkeri</t>
  </si>
  <si>
    <t>Kerim Nsambimana</t>
  </si>
  <si>
    <t>matilove</t>
  </si>
  <si>
    <t>Lovejoy Matika</t>
  </si>
  <si>
    <t>ncubemic</t>
  </si>
  <si>
    <t>Michael Chrispen Ncube</t>
  </si>
  <si>
    <t>noamohav</t>
  </si>
  <si>
    <t>Mohamed Noah</t>
  </si>
  <si>
    <t>muramuny</t>
  </si>
  <si>
    <t>Munyaradzi Muranga</t>
  </si>
  <si>
    <t>kunopatr</t>
  </si>
  <si>
    <t>Patricia Kundu</t>
  </si>
  <si>
    <t>remahlun</t>
  </si>
  <si>
    <t>Rebecca Mahlunge</t>
  </si>
  <si>
    <t>dabarich</t>
  </si>
  <si>
    <t>Richard Boateng Ababio</t>
  </si>
  <si>
    <t>sakycric</t>
  </si>
  <si>
    <t>Richard Sakyi</t>
  </si>
  <si>
    <t>rustukhs</t>
  </si>
  <si>
    <t>Rustum Khan</t>
  </si>
  <si>
    <t>rutenmat</t>
  </si>
  <si>
    <t>Rutendo Beaulla Mateyo</t>
  </si>
  <si>
    <t>sadubeas</t>
  </si>
  <si>
    <t>Sarah Adubea</t>
  </si>
  <si>
    <t>sonsiamj</t>
  </si>
  <si>
    <t>Sia Sonsiama</t>
  </si>
  <si>
    <t>folithel</t>
  </si>
  <si>
    <t>Thelma Esinam Foli</t>
  </si>
  <si>
    <t>vaduyebo</t>
  </si>
  <si>
    <t>Theresa Adu Yeboah</t>
  </si>
  <si>
    <t>larteydo</t>
  </si>
  <si>
    <t>mensathe</t>
  </si>
  <si>
    <t>Henry Mensah</t>
  </si>
  <si>
    <t>ndugakue</t>
  </si>
  <si>
    <t>nawahbes</t>
  </si>
  <si>
    <t>Nawah Bestman Saye</t>
  </si>
  <si>
    <t>simontwe</t>
  </si>
  <si>
    <t>Simon Twene</t>
  </si>
  <si>
    <t>xmakeyak</t>
  </si>
  <si>
    <t>Yakta Koffi Makedjene</t>
  </si>
  <si>
    <t>Keng,Dumse Mannette</t>
  </si>
  <si>
    <t>boashadr</t>
  </si>
  <si>
    <t>Shadrack Boakye</t>
  </si>
  <si>
    <t>abrighta</t>
  </si>
  <si>
    <t>ekndapem</t>
  </si>
  <si>
    <t>Ndape Mabel Ekume</t>
  </si>
  <si>
    <t>shadrachboakaye@gmail.com</t>
  </si>
  <si>
    <t>Adu,Bright Adu </t>
  </si>
  <si>
    <t>DANIEL DOK ATINGA</t>
  </si>
  <si>
    <t>MBALU Sumah</t>
  </si>
  <si>
    <t>GRACE Kodua</t>
  </si>
  <si>
    <t>Francis Kuma</t>
  </si>
  <si>
    <t>Wallace Agyemang-Tuffour</t>
  </si>
  <si>
    <t>Prince Adjah</t>
  </si>
  <si>
    <t>Priscilla Aboagyewaa Okyere</t>
  </si>
  <si>
    <t>Blama Yamah</t>
  </si>
  <si>
    <t>Fongoh Daiga Kingsly</t>
  </si>
  <si>
    <t>Maidei Ganyata</t>
  </si>
  <si>
    <t>appialet</t>
  </si>
  <si>
    <t>Leticia Appiah</t>
  </si>
  <si>
    <t>Haddijatou Jarra</t>
  </si>
  <si>
    <t>Ramatu Osumanu</t>
  </si>
  <si>
    <t>Emmanuel Asante</t>
  </si>
  <si>
    <t>Mohamed S. Kamara</t>
  </si>
  <si>
    <t>Richard Blais Mbatcha</t>
  </si>
  <si>
    <t>dokatinga@gmail.com</t>
  </si>
  <si>
    <t>mbalusumah90@gmail.com</t>
  </si>
  <si>
    <t>maamesarpomaa098@gmail.com</t>
  </si>
  <si>
    <t>akyegiweyakubu@gmail.com</t>
  </si>
  <si>
    <t>wallaceagyemang9@gmail.com</t>
  </si>
  <si>
    <t>princeadjah@yahoo.com</t>
  </si>
  <si>
    <t>aboagyewaaokyere@gmail.com</t>
  </si>
  <si>
    <t>blamayamah901@gmail.com</t>
  </si>
  <si>
    <t>daigajason@gmail.com</t>
  </si>
  <si>
    <t>ganyatamaidei@gmail.com</t>
  </si>
  <si>
    <t>leticiaappiah055@gmail.com</t>
  </si>
  <si>
    <t>krubally373@gmail.com</t>
  </si>
  <si>
    <t>osumanuramatu860@gmail.com</t>
  </si>
  <si>
    <t>skyface228@gmail.com</t>
  </si>
  <si>
    <t>mohamedskamara957@gmail.com</t>
  </si>
  <si>
    <t>bcidouala@gmail.com</t>
  </si>
  <si>
    <t>Gambia</t>
  </si>
  <si>
    <t>daatinga</t>
  </si>
  <si>
    <t>sumahmba</t>
  </si>
  <si>
    <t>kodugraf</t>
  </si>
  <si>
    <t>kufranc</t>
  </si>
  <si>
    <t>waltuffo</t>
  </si>
  <si>
    <t>adjahpri</t>
  </si>
  <si>
    <t>priokyer</t>
  </si>
  <si>
    <t>blamoyam</t>
  </si>
  <si>
    <t>fodaigak</t>
  </si>
  <si>
    <t>ganymaid</t>
  </si>
  <si>
    <t>jarrahad</t>
  </si>
  <si>
    <t>osumrama</t>
  </si>
  <si>
    <t>dasaemma</t>
  </si>
  <si>
    <t>mohamkav</t>
  </si>
  <si>
    <t>mbatchar</t>
  </si>
  <si>
    <t>amnajami</t>
  </si>
  <si>
    <t>AMNA JAMIL</t>
  </si>
  <si>
    <t>dwomclif</t>
  </si>
  <si>
    <t>Clifford Dwomoh</t>
  </si>
  <si>
    <t>thusaidu</t>
  </si>
  <si>
    <t>Saidu Brima Thullah</t>
  </si>
  <si>
    <t>sundabru</t>
  </si>
  <si>
    <t>Bruce sunday</t>
  </si>
  <si>
    <t>sahaviny</t>
  </si>
  <si>
    <t>AVINASH KUMAR SAH</t>
  </si>
  <si>
    <t>dpbikram</t>
  </si>
  <si>
    <t>BIKRAM DHAKAL</t>
  </si>
  <si>
    <t>musisrop</t>
  </si>
  <si>
    <t>ROBERT MUSISI</t>
  </si>
  <si>
    <t>abdwaak</t>
  </si>
  <si>
    <t>ABDUL WAAKO</t>
  </si>
  <si>
    <t>edinakye</t>
  </si>
  <si>
    <t>Edina kyeremaa</t>
  </si>
  <si>
    <t>clifforddwomoh67@gmail.com</t>
  </si>
  <si>
    <t>thullahsaidub449@gmail.com</t>
  </si>
  <si>
    <t>avinashshah56740@gmail.com</t>
  </si>
  <si>
    <t>musisirobert112@gmail.com</t>
  </si>
  <si>
    <t>abdulwaako8@gmail.com</t>
  </si>
  <si>
    <t>edinakyeremaa99@gmail.com</t>
  </si>
  <si>
    <t>alirfanv</t>
  </si>
  <si>
    <t>Ali,Irfan Ali Muhammad</t>
  </si>
  <si>
    <t>ighumman966@gmail.com</t>
  </si>
  <si>
    <t>Joyce Ofosuhene</t>
  </si>
  <si>
    <t>Juliet Appiah</t>
  </si>
  <si>
    <t>Festus Nii Darko</t>
  </si>
  <si>
    <t>Joshua Chuchuboy Knight</t>
  </si>
  <si>
    <t>Rose Thea</t>
  </si>
  <si>
    <t>Ali Muhammad Danjuma</t>
  </si>
  <si>
    <t>Derrick Inkoom</t>
  </si>
  <si>
    <t>Prosper Gamah</t>
  </si>
  <si>
    <t>Talent Zimbuma</t>
  </si>
  <si>
    <t>Julienne Tchuino Kamche</t>
  </si>
  <si>
    <t>Kwabena Aboagye-Acheampong</t>
  </si>
  <si>
    <t>Dickson Kojo Klinogo</t>
  </si>
  <si>
    <t>Isaac Kwame Nkrumah</t>
  </si>
  <si>
    <t>Prisbetty Moyo</t>
  </si>
  <si>
    <t>Kingsley Appiah</t>
  </si>
  <si>
    <t>Mohammed Aminu</t>
  </si>
  <si>
    <t>Ebenezer Twumasi</t>
  </si>
  <si>
    <t>Honorine Eyandong Adang</t>
  </si>
  <si>
    <t>Romeo Mesape Metuge</t>
  </si>
  <si>
    <t>Jescar Mapuranga</t>
  </si>
  <si>
    <t>Dadirai Dhobha</t>
  </si>
  <si>
    <t>Francis Yaw Dogli</t>
  </si>
  <si>
    <t>Tariro Manyetu</t>
  </si>
  <si>
    <t>Mavis Akua Alabila</t>
  </si>
  <si>
    <t>nyamewaa.everyoung@gmail.com</t>
  </si>
  <si>
    <t>camara151012@gmail.com</t>
  </si>
  <si>
    <t>appiahjuliet032@gmail.com</t>
  </si>
  <si>
    <t>festus.larbi90@gmail.com</t>
  </si>
  <si>
    <t>jknight3232@icloud.com</t>
  </si>
  <si>
    <t>alidanjumaccch237@gmail.com</t>
  </si>
  <si>
    <t>derkoom213@gmail.com</t>
  </si>
  <si>
    <t>pgamahsenior@gmail.com</t>
  </si>
  <si>
    <t>zimbumatalent13@gmail.com</t>
  </si>
  <si>
    <t>tchuinojulienne98@gmail.com</t>
  </si>
  <si>
    <t>stelynk@gmail.com</t>
  </si>
  <si>
    <t>dicksonklinogo@gmail.com</t>
  </si>
  <si>
    <t>ikesonnkrumah@gmail.com</t>
  </si>
  <si>
    <t>moyoprisbetty@gmail.com</t>
  </si>
  <si>
    <t>kkingappia@gmail.com</t>
  </si>
  <si>
    <t>aminmohammed672@gmail.com</t>
  </si>
  <si>
    <t>twumasiebenezer59@gmail.com</t>
  </si>
  <si>
    <t>eyandongadang@gmail.com</t>
  </si>
  <si>
    <t>metugeromeom@gmail.com</t>
  </si>
  <si>
    <t>jescarmapuranga75@gmail.com</t>
  </si>
  <si>
    <t>dhobhadadirai@gmail.com</t>
  </si>
  <si>
    <t>tariromanyetu@gmail.com</t>
  </si>
  <si>
    <t>alabilamavis14@gmail.com</t>
  </si>
  <si>
    <t>kamarjoy</t>
  </si>
  <si>
    <t>John Philip Kamara</t>
  </si>
  <si>
    <t>Solomon Kyei</t>
  </si>
  <si>
    <t>john061527@gmail.com</t>
  </si>
  <si>
    <t>ngohmaya9@gmail.com</t>
  </si>
  <si>
    <t>naimejes</t>
  </si>
  <si>
    <t>Aime Jesus Nkurunziza</t>
  </si>
  <si>
    <t>Benjamin Yaw Thomas</t>
  </si>
  <si>
    <t>yblankso</t>
  </si>
  <si>
    <t>Blankson Yeboah</t>
  </si>
  <si>
    <t>earthurg</t>
  </si>
  <si>
    <t>Georgina Arthur</t>
  </si>
  <si>
    <t>Gordon Wiafe</t>
  </si>
  <si>
    <t>hamzmohp</t>
  </si>
  <si>
    <t>Hamza Mohammed</t>
  </si>
  <si>
    <t>judibaba</t>
  </si>
  <si>
    <t>Judith Atampoka Baba</t>
  </si>
  <si>
    <t>marietch</t>
  </si>
  <si>
    <t>Mariette Gran Cheken</t>
  </si>
  <si>
    <t>Mercy Ofori</t>
  </si>
  <si>
    <t>arsmuhar</t>
  </si>
  <si>
    <t>Muhammad Ali Arshad</t>
  </si>
  <si>
    <t>princeor</t>
  </si>
  <si>
    <t>bashsaql</t>
  </si>
  <si>
    <t>Saqlain Bashir</t>
  </si>
  <si>
    <t>Usman Khalid</t>
  </si>
  <si>
    <t>ahmeumef</t>
  </si>
  <si>
    <t>alectilo</t>
  </si>
  <si>
    <t>tamahdan</t>
  </si>
  <si>
    <t>daangmor</t>
  </si>
  <si>
    <t>emmfofie</t>
  </si>
  <si>
    <t>opoemman</t>
  </si>
  <si>
    <t>emekweni</t>
  </si>
  <si>
    <t>bericyaw</t>
  </si>
  <si>
    <t>bethomam</t>
  </si>
  <si>
    <t>wiafgord</t>
  </si>
  <si>
    <t>memercyo</t>
  </si>
  <si>
    <t>Cedrick Nkemju Tendongmo</t>
  </si>
  <si>
    <t>Alex Nkrumah</t>
  </si>
  <si>
    <t>Abu Talib Fofanah</t>
  </si>
  <si>
    <t>Derrick Brew Ward</t>
  </si>
  <si>
    <t>Emmanuel Kobina Arthur</t>
  </si>
  <si>
    <t>Kadiatu Sesay</t>
  </si>
  <si>
    <t>Muhammad Nauman Latif</t>
  </si>
  <si>
    <t>kofileon</t>
  </si>
  <si>
    <t>Richard Yeboah</t>
  </si>
  <si>
    <t>ofosuhjo</t>
  </si>
  <si>
    <t>labcamar</t>
  </si>
  <si>
    <t>appiajul</t>
  </si>
  <si>
    <t>festusnd</t>
  </si>
  <si>
    <t>uknijosh</t>
  </si>
  <si>
    <t>rosethea</t>
  </si>
  <si>
    <t>danjuali</t>
  </si>
  <si>
    <t>inkooder</t>
  </si>
  <si>
    <t>gamprosp</t>
  </si>
  <si>
    <t>talenzim</t>
  </si>
  <si>
    <t>tchuinok</t>
  </si>
  <si>
    <t>kwaaboag</t>
  </si>
  <si>
    <t>diclklin</t>
  </si>
  <si>
    <t>isaankru</t>
  </si>
  <si>
    <t>eprisbmo</t>
  </si>
  <si>
    <t>appiakin</t>
  </si>
  <si>
    <t>amizmoha</t>
  </si>
  <si>
    <t>twumeben</t>
  </si>
  <si>
    <t>honoadan</t>
  </si>
  <si>
    <t>romemetu</t>
  </si>
  <si>
    <t>jescmapu</t>
  </si>
  <si>
    <t>dhobhada</t>
  </si>
  <si>
    <t>dogfranc</t>
  </si>
  <si>
    <t>tamanyet</t>
  </si>
  <si>
    <t>alamavis</t>
  </si>
  <si>
    <t>bpetenti</t>
  </si>
  <si>
    <t>senncube</t>
  </si>
  <si>
    <t>ybbright</t>
  </si>
  <si>
    <t>tendoc</t>
  </si>
  <si>
    <t>conteiby</t>
  </si>
  <si>
    <t>onacisbr</t>
  </si>
  <si>
    <t>ribnyame</t>
  </si>
  <si>
    <t>emmanhme</t>
  </si>
  <si>
    <t>nkrumaai</t>
  </si>
  <si>
    <t>foabutap</t>
  </si>
  <si>
    <t>thtorgbo</t>
  </si>
  <si>
    <t>derwardz</t>
  </si>
  <si>
    <t>gemmanua</t>
  </si>
  <si>
    <t>sesakadi</t>
  </si>
  <si>
    <t>mulatifx</t>
  </si>
  <si>
    <t>rkyeboah</t>
  </si>
  <si>
    <t>Akuoko,Elizbeth</t>
  </si>
  <si>
    <t>hishkutt</t>
  </si>
  <si>
    <t>kjoseabi</t>
  </si>
  <si>
    <t>ABIN JOSEPH JOSE</t>
  </si>
  <si>
    <t>favalapp</t>
  </si>
  <si>
    <t>Farhan Mohammed Kodakkattu Valappil</t>
  </si>
  <si>
    <t>sarshcha</t>
  </si>
  <si>
    <t>SARSHAN CHARLES CHARLES</t>
  </si>
  <si>
    <t>jafarsab</t>
  </si>
  <si>
    <t>alreena</t>
  </si>
  <si>
    <t>Sharmilee,Alexander Reena</t>
  </si>
  <si>
    <t>jalanssh</t>
  </si>
  <si>
    <t>mavconte</t>
  </si>
  <si>
    <t>ntongopo</t>
  </si>
  <si>
    <t>frgontra</t>
  </si>
  <si>
    <t>Francois C Gontran Gbekonsi</t>
  </si>
  <si>
    <t>tuleoleo</t>
  </si>
  <si>
    <t>Leo Leonardo Tumay</t>
  </si>
  <si>
    <t>nichwtak</t>
  </si>
  <si>
    <t>Nicholas Takyi</t>
  </si>
  <si>
    <t>javmuhak</t>
  </si>
  <si>
    <t>Usman,Muhammad</t>
  </si>
  <si>
    <t>elizbaku</t>
  </si>
  <si>
    <t>Hub Supervisor</t>
  </si>
  <si>
    <t>ritakawe</t>
  </si>
  <si>
    <t>Rita Kawe Nformi</t>
  </si>
  <si>
    <t>risahrmb</t>
  </si>
  <si>
    <t>Richard Sahr M'Bayo</t>
  </si>
  <si>
    <t>vvsatish</t>
  </si>
  <si>
    <t>CHILUKURI SATISH</t>
  </si>
  <si>
    <t>chilukurisatish1990@gmail.com</t>
  </si>
  <si>
    <t>yumangm</t>
  </si>
  <si>
    <t>Mike Yumang</t>
  </si>
  <si>
    <t>Warehouse Associate 12M</t>
  </si>
  <si>
    <t>Warehouse Associate 8W</t>
  </si>
  <si>
    <t>Warehouse Associate 24M</t>
  </si>
  <si>
    <t>Adecco - Vendor POC</t>
  </si>
  <si>
    <t>Dulsco - Vendor POC</t>
  </si>
  <si>
    <t>Fastlink - Vendor POC</t>
  </si>
  <si>
    <t>Quesscorp - Vendor POC</t>
  </si>
  <si>
    <t>9 Hours</t>
  </si>
  <si>
    <t>7 Hours</t>
  </si>
  <si>
    <t>koudousmah@gmail.com</t>
  </si>
  <si>
    <t>kiwanukaabdurashid@gmail.com</t>
  </si>
  <si>
    <t>Mefire.ahmed20@gmail.com</t>
  </si>
  <si>
    <t>alanshiju0487@gmail.com</t>
  </si>
  <si>
    <t>erictilowakuti30@gmail.com</t>
  </si>
  <si>
    <t>a27771130@gmail.com</t>
  </si>
  <si>
    <t>allafhaali93@gmail.com</t>
  </si>
  <si>
    <t>amonabaasa6@gmail.com</t>
  </si>
  <si>
    <t>chimhautariro@gmail.com</t>
  </si>
  <si>
    <t>brendarubaya2@gmail.com</t>
  </si>
  <si>
    <t>bonahbright223@gmail.com</t>
  </si>
  <si>
    <t>teachercharles@gmail.com</t>
  </si>
  <si>
    <t>syamigmah@gmail.com</t>
  </si>
  <si>
    <t>ndanzecongrates@gmail.com</t>
  </si>
  <si>
    <t>danielboahen605@gmail.com</t>
  </si>
  <si>
    <t>Tamahdaniel3@gmail.com</t>
  </si>
  <si>
    <t>danikwame@gmail.com</t>
  </si>
  <si>
    <t>danielolarotimi08@gmail.com</t>
  </si>
  <si>
    <t>eliaskaduwa3@gmail.com</t>
  </si>
  <si>
    <t>brobbeyb910@gmail.com</t>
  </si>
  <si>
    <t>Emmanuelfofie01@gmail.com</t>
  </si>
  <si>
    <t>ishmaelvic@gmail.com</t>
  </si>
  <si>
    <t>critichalj@gmail.com</t>
  </si>
  <si>
    <t>obaseemmanuel938@gmail.com</t>
  </si>
  <si>
    <t>enockasante038@gmail.com</t>
  </si>
  <si>
    <t>Brukseric@icloud.com</t>
  </si>
  <si>
    <t>eva.millz2@gmaoil.com</t>
  </si>
  <si>
    <t>francisokai007@gmail.com</t>
  </si>
  <si>
    <t>nanaamagina55@gmail.com</t>
  </si>
  <si>
    <t>mbrgerald@gmail.com</t>
  </si>
  <si>
    <t>glorykumawah@gmail.com</t>
  </si>
  <si>
    <t>goodluckeugene@gmail.com</t>
  </si>
  <si>
    <t>gracemanjegra29@gmail.com</t>
  </si>
  <si>
    <t>ibrahimalsonconteh8@gmailo.com</t>
  </si>
  <si>
    <t>shanfaandrea@gmail.com</t>
  </si>
  <si>
    <t>jishnujinu666@gmail.com</t>
  </si>
  <si>
    <t>agyekumalice26@gmail.com</t>
  </si>
  <si>
    <t>kaurajohn199@gmail.com</t>
  </si>
  <si>
    <t>jp.kargz@gmail.com</t>
  </si>
  <si>
    <t>jonathanoseitutus@gmail.com</t>
  </si>
  <si>
    <t>ganajosephdohmovat@gmail.com</t>
  </si>
  <si>
    <t>josephanang308@gmail.com</t>
  </si>
  <si>
    <t>oseij1173@gmail.com</t>
  </si>
  <si>
    <t>okyerejuliet12@gmail.com</t>
  </si>
  <si>
    <t>22hannibel95@gmail.com</t>
  </si>
  <si>
    <t>mleeynteng@gmail.com</t>
  </si>
  <si>
    <t>kofieleonard7@gmail.com</t>
  </si>
  <si>
    <t>abitsally74@gmail.com</t>
  </si>
  <si>
    <t>lloydquaye24@gmail.com</t>
  </si>
  <si>
    <t>agaba2trevor@gmail.co</t>
  </si>
  <si>
    <t>martimwangu199@gmail.com</t>
  </si>
  <si>
    <t>audreymary824@gmail.com</t>
  </si>
  <si>
    <t>marynamutebi55@gmail.com</t>
  </si>
  <si>
    <t>marlekmudi21@gmail.com</t>
  </si>
  <si>
    <t>musamwebe93@gmail.com</t>
  </si>
  <si>
    <t>akonelsonndim23@gmail.com</t>
  </si>
  <si>
    <t>noemi_posas0121@yahoo.com</t>
  </si>
  <si>
    <t>salifunureni@gmail.com</t>
  </si>
  <si>
    <t>jaysonkellygenius77@gmail.com</t>
  </si>
  <si>
    <t>ntipeter444@gmail.com</t>
  </si>
  <si>
    <t>candicemoyo81@gmail.com</t>
  </si>
  <si>
    <t>jefferymarknyanson@gmail.com</t>
  </si>
  <si>
    <t>obenebajackson874@gmail.com</t>
  </si>
  <si>
    <t>itsrahanrajoff7@gmail.com</t>
  </si>
  <si>
    <t>bellinghamnanaagyei@gmail.com</t>
  </si>
  <si>
    <t>rocksonappaw4@gmail.com</t>
  </si>
  <si>
    <t>ruthjacklineeshun@gmail.com</t>
  </si>
  <si>
    <t>sandranalubega352@gmail.com</t>
  </si>
  <si>
    <t>sanjuthomas04@gmail.com</t>
  </si>
  <si>
    <t>senzoncube34@gmail.com</t>
  </si>
  <si>
    <t>silethembancube548@gmail.com</t>
  </si>
  <si>
    <t>solangeblanche077@gmail.com</t>
  </si>
  <si>
    <t>kobbyy474@gmail.com</t>
  </si>
  <si>
    <t>sonukrishnasounu143@gmail.com</t>
  </si>
  <si>
    <t>suzzyfoli292@gmail.com</t>
  </si>
  <si>
    <t>petertabitabi@gmail.com</t>
  </si>
  <si>
    <t>tashinga96@gmail.com</t>
  </si>
  <si>
    <t>sirtheo17@gmail.com</t>
  </si>
  <si>
    <t>tuhaisetom8@gmail.com</t>
  </si>
  <si>
    <t>bihvera96@gmail.com</t>
  </si>
  <si>
    <t>quaysonvictoria19@gmail.com</t>
  </si>
  <si>
    <t>vishnuraj2204@gmail.com</t>
  </si>
  <si>
    <t>sixtowilliam19@gmail.com</t>
  </si>
  <si>
    <t>djneonaboneka@gmail.com</t>
  </si>
  <si>
    <t>abelkombat874@gmail.com</t>
  </si>
  <si>
    <t>aminamustapha537@gmail.com</t>
  </si>
  <si>
    <t>doreenayumu@gmail.com</t>
  </si>
  <si>
    <t>eieinyein7007@gmail.com</t>
  </si>
  <si>
    <t>abugriemmNavedel77@gmail.com</t>
  </si>
  <si>
    <t>cudjoe962@gmail.com</t>
  </si>
  <si>
    <t>e22117925@gmail.com</t>
  </si>
  <si>
    <t>amaduganiu15@gmail.com</t>
  </si>
  <si>
    <t>boamahhenry94@gmail.com</t>
  </si>
  <si>
    <t>khinmeko95@gmail.com</t>
  </si>
  <si>
    <t>abudumary498@gmail.com</t>
  </si>
  <si>
    <t>minkhantkyaw11916@gmail.com</t>
  </si>
  <si>
    <t>pushane5@gmail.com</t>
  </si>
  <si>
    <t>yaminkyawsoe150@gmail.com</t>
  </si>
  <si>
    <t>yeminoo1387@gmail.com</t>
  </si>
  <si>
    <t>questfaizol34@gmail.com</t>
  </si>
  <si>
    <t>kasawuliabdulmalik@gmail.com</t>
  </si>
  <si>
    <t>abhithkt41@gmail.com</t>
  </si>
  <si>
    <t>holyak2023@gmail.com</t>
  </si>
  <si>
    <t>agnestwumwaa01@gmail.com</t>
  </si>
  <si>
    <t>ajaymanohar060@gmail.com</t>
  </si>
  <si>
    <t>albin8744@gmail.com</t>
  </si>
  <si>
    <t>larryjaguar24@gmail.com</t>
  </si>
  <si>
    <t>Yankeya84@gmail.com</t>
  </si>
  <si>
    <t>A.d.gunathilke@gmail.com</t>
  </si>
  <si>
    <t>arshadshajahan8910@gmail.com</t>
  </si>
  <si>
    <t>arunbabuk321@gmail.com</t>
  </si>
  <si>
    <t>augustinaugustin7510@gmail.com</t>
  </si>
  <si>
    <t>shtoo612@gmail.com</t>
  </si>
  <si>
    <t>thureinambrose888@gmail.com</t>
  </si>
  <si>
    <t>AWALFUSEINI@GMAIL.COM</t>
  </si>
  <si>
    <t>benjaminkwarteng2020@gmail.com</t>
  </si>
  <si>
    <t>nepalibikash236@gmail.com</t>
  </si>
  <si>
    <t>hakunamat1993@gmail.com</t>
  </si>
  <si>
    <t>blessingndu97@gmail.com</t>
  </si>
  <si>
    <t>muhumuzachosen@gmail.com</t>
  </si>
  <si>
    <t>briggskabaya@gmail.com</t>
  </si>
  <si>
    <t>jachrysolite@gmail.com</t>
  </si>
  <si>
    <t>charleschibindi8@gmail.com</t>
  </si>
  <si>
    <t>ngakochelsea@yahoo.com</t>
  </si>
  <si>
    <t>christianbaiden19@gmail.com</t>
  </si>
  <si>
    <t>Clemenceashiegbi36@gmail.com</t>
  </si>
  <si>
    <t>bugapounds2@gmail.com</t>
  </si>
  <si>
    <t>appaudnns@gmail.com</t>
  </si>
  <si>
    <t>rickiedonor@gmail.com</t>
  </si>
  <si>
    <t>dorcas199007@gmail.com</t>
  </si>
  <si>
    <t>misscall1957@gmail.com</t>
  </si>
  <si>
    <t>ebenezersomiah86@gmail.com</t>
  </si>
  <si>
    <t>kisakyeedward541@gmail.com</t>
  </si>
  <si>
    <t>elizabethmorrison369@gmail.com</t>
  </si>
  <si>
    <t>www.emmNavedel595@gmail.com</t>
  </si>
  <si>
    <t>obwana862@gmail.com</t>
  </si>
  <si>
    <t>emmanuelagyeiyeboah68@gmail.com</t>
  </si>
  <si>
    <t xml:space="preserve">abongenca105@gmail.com </t>
  </si>
  <si>
    <t>ernestawudi2079@gmail.com</t>
  </si>
  <si>
    <t>evansasamoah889@gmail.com</t>
  </si>
  <si>
    <t>flexzyking@icloud.com</t>
  </si>
  <si>
    <t>francisowusufrimpong9@gmail.com</t>
  </si>
  <si>
    <t>gbekonsi@gmail.com</t>
  </si>
  <si>
    <t>georgeemanuel015@gmail.com</t>
  </si>
  <si>
    <t>georgegerman08@gmail.com</t>
  </si>
  <si>
    <t>Gibrilla523@gmail.com</t>
  </si>
  <si>
    <t>gyasigideon4020@gmail.com</t>
  </si>
  <si>
    <t>henrykabanda5999@gmail.com</t>
  </si>
  <si>
    <t>isaacsam723@gmail.com</t>
  </si>
  <si>
    <t>isamukose32@gmail.com</t>
  </si>
  <si>
    <t>koranguzi226@gmail.com</t>
  </si>
  <si>
    <t>mutebijavira2018@gmail.com</t>
  </si>
  <si>
    <t>lubegadexismael75@gmail.com</t>
  </si>
  <si>
    <t>jkokyere11@gmail.com</t>
  </si>
  <si>
    <t>agorgijonathan87@gmail.com</t>
  </si>
  <si>
    <t>josephndede03@gmail.com</t>
  </si>
  <si>
    <t>Hexonherman22@gmail.com</t>
  </si>
  <si>
    <t>kaunghtet235123@gmail.com</t>
  </si>
  <si>
    <t>keshavgaire101@gmail.com</t>
  </si>
  <si>
    <t>lawsonlate001@gmail.com</t>
  </si>
  <si>
    <t>tumayleo7@gmail.com</t>
  </si>
  <si>
    <t>marvinmokabe123@gmail.com</t>
  </si>
  <si>
    <t>marymensah021990@gmail.com</t>
  </si>
  <si>
    <t>ayesumatilda6@gmail.com</t>
  </si>
  <si>
    <t>maxwellelorm.7@gmail.com</t>
  </si>
  <si>
    <t>michaeldarkwah122@gmail.com</t>
  </si>
  <si>
    <t>Michealoseitutu34@gmail.com</t>
  </si>
  <si>
    <t>mikelamder17@gmail.com</t>
  </si>
  <si>
    <t>minthwaykhine.leo@gmail.com</t>
  </si>
  <si>
    <t>mohammed.rahman8720@gmail.com</t>
  </si>
  <si>
    <t>mdsarfarazansari911@gmail.com</t>
  </si>
  <si>
    <t>shareefshaz598@gmail.com</t>
  </si>
  <si>
    <t>tugmorris7@gmail.com</t>
  </si>
  <si>
    <t>moseswasswa386@gmail.com</t>
  </si>
  <si>
    <t>mrithul.maxy8343@gmail.com</t>
  </si>
  <si>
    <t>farhanmalik0800@gmail.com</t>
  </si>
  <si>
    <t>mikthathmikku@gmail.com</t>
  </si>
  <si>
    <t>munishchauhan07@gmail.com</t>
  </si>
  <si>
    <t>562923285</t>
  </si>
  <si>
    <t>Ssesangamurshid0@gmail.com</t>
  </si>
  <si>
    <t>baghendanathan9@gmail.com</t>
  </si>
  <si>
    <t>kobytiny@gmail.com</t>
  </si>
  <si>
    <t>yebert3434@gmail.com</t>
  </si>
  <si>
    <t>htetnyanlin838@gmail.com</t>
  </si>
  <si>
    <t>rrozay106@gmail.com</t>
  </si>
  <si>
    <t>kampeter37@gmail.com</t>
  </si>
  <si>
    <t>jingopossible@gmail.com</t>
  </si>
  <si>
    <t>ps12355432@gmail.com</t>
  </si>
  <si>
    <t>baidooprosper71@gmail.com</t>
  </si>
  <si>
    <t>Dgossking8@gmail.com</t>
  </si>
  <si>
    <t>reaganzmuzamiru066@gmail.com</t>
  </si>
  <si>
    <t>rmbugheki@gmail.com</t>
  </si>
  <si>
    <t>rogerfrancispfouma@gmail.com</t>
  </si>
  <si>
    <t>ayuba92.com@gmail.com</t>
  </si>
  <si>
    <t>ramdansagar345@gmail.com</t>
  </si>
  <si>
    <t>nashirushamsudeen9@gmail.com</t>
  </si>
  <si>
    <t>sanmyint791701@gmail.com</t>
  </si>
  <si>
    <t>sawlwenar4040@gmail.com</t>
  </si>
  <si>
    <t>ndawulashafiq344@gmail.com</t>
  </si>
  <si>
    <t>akatukundasheila23@gmail.com</t>
  </si>
  <si>
    <t>sreekuttankj045@gmail.com</t>
  </si>
  <si>
    <t>stevenmuhwezi90@gmail.com</t>
  </si>
  <si>
    <t>sulaitkabali123@gmail.com</t>
  </si>
  <si>
    <t>nabasatyson3@gmail.com</t>
  </si>
  <si>
    <t>unaismuhamed2000@gmail.com</t>
  </si>
  <si>
    <t>vashimkhan0624@gmail.com</t>
  </si>
  <si>
    <t>vishnukr4446@gmail.com</t>
  </si>
  <si>
    <t>sibandawellington77@gmail.com</t>
  </si>
  <si>
    <t>wilfreidmangakoagou@gmail.com</t>
  </si>
  <si>
    <t>kilamawilliam55@gmail.com</t>
  </si>
  <si>
    <t>mavugazaidi4@gmail.com</t>
  </si>
  <si>
    <t>zainabissah323@gmail.com</t>
  </si>
  <si>
    <t>oppongmagma@gmail.com</t>
  </si>
  <si>
    <t>iddrisuabdulhadi@gmail.com</t>
  </si>
  <si>
    <t>nantam135@gmail.com</t>
  </si>
  <si>
    <t>Abinj327@gmail.com</t>
  </si>
  <si>
    <t>expensivefofana@gmail.com</t>
  </si>
  <si>
    <t>abusesay629@gmail.com</t>
  </si>
  <si>
    <t>khanmunsbug1@gmail.com</t>
  </si>
  <si>
    <t>Starboidarkovybs@gmail.com</t>
  </si>
  <si>
    <t>nkurunziza@gmail.com</t>
  </si>
  <si>
    <t>ainembabazidevis10@gmail.com</t>
  </si>
  <si>
    <t>ajenicalt@gmail.com</t>
  </si>
  <si>
    <t>AKHILJOY6513@GMAIL.COM</t>
  </si>
  <si>
    <t>reenno14@gmail.com</t>
  </si>
  <si>
    <t>amugabe691@gmail.com</t>
  </si>
  <si>
    <t>arellanoallen37@gmail.com</t>
  </si>
  <si>
    <t>bekoeatta54@gmail.com</t>
  </si>
  <si>
    <t>ssebuggwawoandrew4@gmail.com</t>
  </si>
  <si>
    <t>anuragaadhi145@gmail.com</t>
  </si>
  <si>
    <t>Ashirafarinaitwe38@gmail.com</t>
  </si>
  <si>
    <t>asarudeenaone@gmail.com</t>
  </si>
  <si>
    <t>ashilaluvelil@gmail.com</t>
  </si>
  <si>
    <t>shresthayog182@gmail.com</t>
  </si>
  <si>
    <t>vireokobby@gmail.com</t>
  </si>
  <si>
    <t>aungyejb26395@gmail.com</t>
  </si>
  <si>
    <t>AvinashKorukonda3@GMAIL.COM</t>
  </si>
  <si>
    <t>hamedaziz991@gmail.com</t>
  </si>
  <si>
    <t>benjaminankomahene@gmail.com</t>
  </si>
  <si>
    <t>enyanbenjamin1@gmail.com</t>
  </si>
  <si>
    <t>amohberine7@gmail.com</t>
  </si>
  <si>
    <t>byewdaw@gmail.com</t>
  </si>
  <si>
    <t>pblankson248@gmail.com</t>
  </si>
  <si>
    <t>brandonkum84@gmail.com</t>
  </si>
  <si>
    <t>murungwenibrenda@yahoo.com</t>
  </si>
  <si>
    <t>bbih81655@gmail.com</t>
  </si>
  <si>
    <t>boyhanzy55@gmail.com</t>
  </si>
  <si>
    <t>cedricbokangrudeboy@gmail.con</t>
  </si>
  <si>
    <t>chathurikasewwandi95@gmail.com</t>
  </si>
  <si>
    <t>atuahenechristiana135@gmail.com</t>
  </si>
  <si>
    <t>affulchristopher11@gmail.com</t>
  </si>
  <si>
    <t>clarisefienmbu@gmail.com</t>
  </si>
  <si>
    <t>claudettembeh5@gmail.com</t>
  </si>
  <si>
    <t>comlef23@gmail.com</t>
  </si>
  <si>
    <t>curtisgscell990@gmail.com</t>
  </si>
  <si>
    <t>katodamiano3241@gmail.com</t>
  </si>
  <si>
    <t>deglejoshuastanley01@gmail.com</t>
  </si>
  <si>
    <t>kiwanukaderrick2@gmail.com</t>
  </si>
  <si>
    <t>derricksonsaviour@gmail.com</t>
  </si>
  <si>
    <t>dilwinjose130@gmail.com</t>
  </si>
  <si>
    <t>diranieomah@gmail.com</t>
  </si>
  <si>
    <t>ebenezerbrabi505@gmail.com</t>
  </si>
  <si>
    <t>edithacheampong17@gmail.com</t>
  </si>
  <si>
    <t>Mrsniipounds123@gmail.com</t>
  </si>
  <si>
    <t>mesason51@gmail.com</t>
  </si>
  <si>
    <t>fathertsm46@gmail.com</t>
  </si>
  <si>
    <t>kenasansel1957@gmail.com</t>
  </si>
  <si>
    <t>akuffohakenburg@gmail.com</t>
  </si>
  <si>
    <t>emmNavedelamankwahbuabeng1996@gmail.com</t>
  </si>
  <si>
    <t>amoanyikobina@gmail.com</t>
  </si>
  <si>
    <t>emmNavedelskygh@gmail.com</t>
  </si>
  <si>
    <t>boadi2064@gmail.com</t>
  </si>
  <si>
    <t>khobinalitmus4@gmail.com</t>
  </si>
  <si>
    <t>musiimeemma1917@gmail.com</t>
  </si>
  <si>
    <t>0501716357</t>
  </si>
  <si>
    <t>eriyamusoke654@gmail.com</t>
  </si>
  <si>
    <t>esnartkhonje@gmail.com</t>
  </si>
  <si>
    <t>ekwarteng604@gmail.com</t>
  </si>
  <si>
    <t>farhanmohamedkv@gmail.com</t>
  </si>
  <si>
    <t>kpakafatmata123@gmail.com</t>
  </si>
  <si>
    <t>francisategeka764@gmail.com</t>
  </si>
  <si>
    <t>millawalker94@gmail.com</t>
  </si>
  <si>
    <t>kwamenanacid45@gmail.com</t>
  </si>
  <si>
    <t>lumaforg@gmail.com</t>
  </si>
  <si>
    <t>grahammuchinikila@gmail.com</t>
  </si>
  <si>
    <t>mohammedhamaza67@gmail.com</t>
  </si>
  <si>
    <t>agudeyhans@gmail.com</t>
  </si>
  <si>
    <t>harrietnkansah22@gmail.com</t>
  </si>
  <si>
    <t>Hassanamumuni589@gmail.com</t>
  </si>
  <si>
    <t>henryedwards2526@gmail.com</t>
  </si>
  <si>
    <t>hashimhisham84@gmail.com</t>
  </si>
  <si>
    <t>dakowafatorma111@gmail.com</t>
  </si>
  <si>
    <t>extralarge011@gmail.com</t>
  </si>
  <si>
    <t>ibrahimsekamwa@gmail.com</t>
  </si>
  <si>
    <t>isaactilor@gmail.com</t>
  </si>
  <si>
    <t>Turayisha955@gmail.com</t>
  </si>
  <si>
    <t>ismailzerlin6@gmail.com</t>
  </si>
  <si>
    <t>nkamuhabwaivana@gmail.com</t>
  </si>
  <si>
    <t>Yigajames880@icloud.com</t>
  </si>
  <si>
    <t>jearicdc505@gmail.com</t>
  </si>
  <si>
    <t>jeevanmahla123@gmail.com</t>
  </si>
  <si>
    <t>jenniferarbah@gmail.com</t>
  </si>
  <si>
    <t>twenejephter2018@gmail.com</t>
  </si>
  <si>
    <t>sharmasuraj2080@gmail.com</t>
  </si>
  <si>
    <t>joabamanya50@gmail.com</t>
  </si>
  <si>
    <t>baotengjohn123@gmail.com</t>
  </si>
  <si>
    <t>antonyjohnson2003@gmail.com</t>
  </si>
  <si>
    <t>Josephatuahene777@gmail.com</t>
  </si>
  <si>
    <t>annane1220@gmail.com</t>
  </si>
  <si>
    <t>mpaulojoshua54@gmail.com</t>
  </si>
  <si>
    <t>yintina49@gmail.com</t>
  </si>
  <si>
    <t>skadiatu221@gmail.com</t>
  </si>
  <si>
    <t>Kassimmpaka961@gmail.com</t>
  </si>
  <si>
    <t>kimera.ivankato@gmail.com</t>
  </si>
  <si>
    <t>kellyhassanmarah@gmail.com</t>
  </si>
  <si>
    <t>mannettepretty@gmail.com</t>
  </si>
  <si>
    <t>nayebarekenneth21@gmail.com</t>
  </si>
  <si>
    <t>kerimpavlos9@gmail.com</t>
  </si>
  <si>
    <t>kingsleyfianko10@gmail.com</t>
  </si>
  <si>
    <t>korantengjoseph241@gmail.com</t>
  </si>
  <si>
    <t>hayfordkwt@gmail.com</t>
  </si>
  <si>
    <t>tiblatibtibz@gmail.com</t>
  </si>
  <si>
    <t>liwiekwoleonard@gmail.com</t>
  </si>
  <si>
    <t>leopoldangieh49@gmail.com</t>
  </si>
  <si>
    <t>tawaihlinda024@gmail.com</t>
  </si>
  <si>
    <t>linsabezinhle257@gmail.com</t>
  </si>
  <si>
    <t>lovejoynemasasi@gmail.com</t>
  </si>
  <si>
    <t>margretta18@gmail.com</t>
  </si>
  <si>
    <t>Katumwamarkmorgans@mail.com</t>
  </si>
  <si>
    <t>Agbeviademary77@gmail.com</t>
  </si>
  <si>
    <t>austinkays072@gmail.com</t>
  </si>
  <si>
    <t>miketinoticha@gmail.com</t>
  </si>
  <si>
    <t>farook.ar7@gmail.com</t>
  </si>
  <si>
    <t>muhammadkingwaybarrie@gmail.com</t>
  </si>
  <si>
    <t>noahmohamed371@gmail.com</t>
  </si>
  <si>
    <t>mhmdskashf@gmail.com</t>
  </si>
  <si>
    <t>Mohdabdullah848@gmail.com</t>
  </si>
  <si>
    <t>muhsin705.mm@gmail.com</t>
  </si>
  <si>
    <t>cristmorris0@gmail.com</t>
  </si>
  <si>
    <t>mukisamozez1@gmail.com</t>
  </si>
  <si>
    <t>noumanlatifattari338@gmail.com</t>
  </si>
  <si>
    <t>muniinaivan60@gmail.com</t>
  </si>
  <si>
    <t>munyaradzimuranga@gmail.com</t>
  </si>
  <si>
    <t>mkakooza8@gmai.com</t>
  </si>
  <si>
    <t>neypaing8564@gmail.com</t>
  </si>
  <si>
    <t>nadeshndiena@gmail.com</t>
  </si>
  <si>
    <t>nasrunasarudheenpc@gmail.com</t>
  </si>
  <si>
    <t>Ekumemabel4@gmail.com</t>
  </si>
  <si>
    <t>nehemiahjaryee744@gmail.com</t>
  </si>
  <si>
    <t>ethelfru8@gmail.com</t>
  </si>
  <si>
    <t>NikhilKallingal57@gmail.com</t>
  </si>
  <si>
    <t>nurudeennasara20@gmail.com</t>
  </si>
  <si>
    <t>babigumiraowen@gmail.com</t>
  </si>
  <si>
    <t>kundupatricia3@gmail.com</t>
  </si>
  <si>
    <t>lanshap@yahoo.com</t>
  </si>
  <si>
    <t>ahwirengpeter91@gmail.com</t>
  </si>
  <si>
    <t>magezirickypeterson@gmail.com</t>
  </si>
  <si>
    <t>petersahrellie@gmail.com</t>
  </si>
  <si>
    <t>barmie4eva@gmail.com</t>
  </si>
  <si>
    <t>dramaniprince13@gmail.com</t>
  </si>
  <si>
    <t>princeadusahkwako@gmail.com</t>
  </si>
  <si>
    <t>priscillamawusi@gmail.com</t>
  </si>
  <si>
    <t>prosperarthur01@gmail.com</t>
  </si>
  <si>
    <t>etamarachel74@gmail.com</t>
  </si>
  <si>
    <t>banguraramatu738@gmail.com</t>
  </si>
  <si>
    <t>kiru.pidatala@gmail.com</t>
  </si>
  <si>
    <t>mahlungerebecca@gmail.com</t>
  </si>
  <si>
    <t>rkumi061@gmail.com</t>
  </si>
  <si>
    <t>assahrenne321@gmail.com</t>
  </si>
  <si>
    <t>richarypakena@gmail.com</t>
  </si>
  <si>
    <t>richardboateng442@icloud.com</t>
  </si>
  <si>
    <t>mugisharichard044@gmail.com</t>
  </si>
  <si>
    <t>owusurichard1996@gmail.com</t>
  </si>
  <si>
    <t>524513507</t>
  </si>
  <si>
    <t>richardkshine757@gmail.com</t>
  </si>
  <si>
    <t>blocksma01@gmail.com</t>
  </si>
  <si>
    <t>richboah5@gmail.com</t>
  </si>
  <si>
    <t>shantelgir@gmail.com</t>
  </si>
  <si>
    <t>nformirita29@gmail.com</t>
  </si>
  <si>
    <t>rohithkrishnan3079@gmail.com</t>
  </si>
  <si>
    <t>ronkats73@gmail.com</t>
  </si>
  <si>
    <t>linomiles20@gmail.com</t>
  </si>
  <si>
    <t>rronaldossemanda717@gmail.com</t>
  </si>
  <si>
    <t>Rustumkhan94@gmail.com</t>
  </si>
  <si>
    <t>rmateyo3@gmail.com</t>
  </si>
  <si>
    <t>lubegajuniors9@gmail.com</t>
  </si>
  <si>
    <t>salmam8008162316@gmail.com</t>
  </si>
  <si>
    <t>Ibrahimyusifsankoh@gmail.com</t>
  </si>
  <si>
    <t>nuamahsampson06@hmail.com</t>
  </si>
  <si>
    <t>kigulisamson383@gmail.com</t>
  </si>
  <si>
    <t>qwamependrop@gmail.com</t>
  </si>
  <si>
    <t>sanjanacheeda2@gmail.com</t>
  </si>
  <si>
    <t>sanojkuttan305@gmail.com</t>
  </si>
  <si>
    <t>Saqlainbashir577@gmail.com</t>
  </si>
  <si>
    <t>adubeasarah095@gmail.com</t>
  </si>
  <si>
    <t>sarshanc1711@gmail.com</t>
  </si>
  <si>
    <t>shravanchauhan275@gmail.com</t>
  </si>
  <si>
    <t>shadrackkwarteng08@gmail.com</t>
  </si>
  <si>
    <t>tchariff@gmail.com</t>
  </si>
  <si>
    <t>chinaashingie.sc@gmail.com</t>
  </si>
  <si>
    <t>shubhadeeproy78@gmail.com</t>
  </si>
  <si>
    <t>Siasonsiama199@gmail.com</t>
  </si>
  <si>
    <t>asiimwesimon65@gmail.com</t>
  </si>
  <si>
    <t>mofascassic@gmail.com</t>
  </si>
  <si>
    <t>korantengnyarkosolomom@gmail.com</t>
  </si>
  <si>
    <t>Stephenkanyesigye22@gmail.com</t>
  </si>
  <si>
    <t>suzziobaapaboahema@gmail.com</t>
  </si>
  <si>
    <t>kiryaswamadu@gmail.com</t>
  </si>
  <si>
    <t>tanveer.tk233@gmail.com</t>
  </si>
  <si>
    <t>tatenda2224@gmail.com</t>
  </si>
  <si>
    <t>bundootengbeh82@gmail.com</t>
  </si>
  <si>
    <t>anitafoli3@gmail.com</t>
  </si>
  <si>
    <t>thersyaby26@gmail.com</t>
  </si>
  <si>
    <t>Thopparasu7@gmail.com</t>
  </si>
  <si>
    <t>itsmetom957@gmail.com</t>
  </si>
  <si>
    <t>vibinpunnad@gmail.com</t>
  </si>
  <si>
    <t>vishnudasnp248@gmail.com</t>
  </si>
  <si>
    <t>vivekperumandla05@gmail.com</t>
  </si>
  <si>
    <t>williamgill0007@gmail.com</t>
  </si>
  <si>
    <t>desren84@gmail.com</t>
  </si>
  <si>
    <t>kintuyahaya12@gmail.com</t>
  </si>
  <si>
    <t>Koffiyakta98@gmail.com</t>
  </si>
  <si>
    <t>abigailasare756@gmail.com</t>
  </si>
  <si>
    <t>fofanahabutalib@gmail.com</t>
  </si>
  <si>
    <t>admiremavhunga17@gmail.com</t>
  </si>
  <si>
    <t>aliduabass4@gmail.com</t>
  </si>
  <si>
    <t>amoakov84@gmail.com</t>
  </si>
  <si>
    <t>anthonyowusuanthony213@gmail.com</t>
  </si>
  <si>
    <t>sedolinelizzy@gmail.com</t>
  </si>
  <si>
    <t>beryllineokine@gmail.com</t>
  </si>
  <si>
    <t>naadorcy@gmail.com</t>
  </si>
  <si>
    <t>dorcasmensah9099@gmail.com</t>
  </si>
  <si>
    <t>komaduemmanuelkofi852@gmail.com</t>
  </si>
  <si>
    <t>oppongenoch7898@gmail.com</t>
  </si>
  <si>
    <t>chamkifa@gmail.com</t>
  </si>
  <si>
    <t>luckpalou@gmail.com</t>
  </si>
  <si>
    <t>oysteybabe@gmail.com</t>
  </si>
  <si>
    <t>mintahevans1985@gmail.com</t>
  </si>
  <si>
    <t>felixfrimpong00@gmail.com</t>
  </si>
  <si>
    <t>omerfotsing58@gmail.com</t>
  </si>
  <si>
    <t>giftydadzie256@gmail.com</t>
  </si>
  <si>
    <t>henryassey20@gmail.com</t>
  </si>
  <si>
    <t>Jafarabdallah9@gmail.com</t>
  </si>
  <si>
    <t>tatawjunita820@gmail.com</t>
  </si>
  <si>
    <t>azemkelvin96@gmail.com</t>
  </si>
  <si>
    <t>lannskoroma@gmail.com</t>
  </si>
  <si>
    <t>hemaan583@gmail.com</t>
  </si>
  <si>
    <t>munirumohammed11@gmail.com</t>
  </si>
  <si>
    <t>moinyabockarie4@gmail.com</t>
  </si>
  <si>
    <t>bestmansaye@gmail.com</t>
  </si>
  <si>
    <t>pkadyamusumap@gmail.com</t>
  </si>
  <si>
    <t>plierz23@gmail.com</t>
  </si>
  <si>
    <t>dontrydisvirgincheff@gmail.com</t>
  </si>
  <si>
    <t>sammyansah1@gmail.com</t>
  </si>
  <si>
    <t>shadrackotoo10@gmail.com</t>
  </si>
  <si>
    <t>btrudy76@gmail.com</t>
  </si>
  <si>
    <t>simontwene31@gmail.com</t>
  </si>
  <si>
    <t>Stanlomix@yahoo.com</t>
  </si>
  <si>
    <t>takundanashechagwedera260@gmail.com</t>
  </si>
  <si>
    <t>509443920</t>
  </si>
  <si>
    <t>ayongheh@gmail.com</t>
  </si>
  <si>
    <t>emmanuelansere615@gmail.com</t>
  </si>
  <si>
    <t>gideonjackson23@gmail.com</t>
  </si>
  <si>
    <t>kuffourgrace64@gmail.com</t>
  </si>
  <si>
    <t>tettehjennifer488@gmail.com</t>
  </si>
  <si>
    <t>attamjoshua@gmail.com</t>
  </si>
  <si>
    <t>maxwellawu04@gmail.com</t>
  </si>
  <si>
    <t>gujjarmohsin443@gmail.com</t>
  </si>
  <si>
    <t>naomiboat30@gmail.com</t>
  </si>
  <si>
    <t>kwabenasowanuako76@gmail.com</t>
  </si>
  <si>
    <t>owusuaapriscilla313@gmail.com</t>
  </si>
  <si>
    <t>mukunatanya0@gmail.com</t>
  </si>
  <si>
    <t>Philippines</t>
  </si>
  <si>
    <t>Togo</t>
  </si>
  <si>
    <t>cameroon</t>
  </si>
  <si>
    <t>Malawi</t>
  </si>
  <si>
    <t>CAMEROON</t>
  </si>
  <si>
    <t>Guinea</t>
  </si>
  <si>
    <t>Burundi</t>
  </si>
  <si>
    <t>Yamen</t>
  </si>
  <si>
    <t>Filipino</t>
  </si>
  <si>
    <t>iddabdud</t>
  </si>
  <si>
    <t>adarkwno</t>
  </si>
  <si>
    <t>jsamuean</t>
  </si>
  <si>
    <t>SAMUEL ANNOR BOAITEY</t>
  </si>
  <si>
    <t>kibkenet</t>
  </si>
  <si>
    <t>KENETH KIBIRIGE</t>
  </si>
  <si>
    <t>kubiandr</t>
  </si>
  <si>
    <t>KUBI,ANDREWS APPIAH </t>
  </si>
  <si>
    <t>rosadamu</t>
  </si>
  <si>
    <t>Adams,Rose</t>
  </si>
  <si>
    <t>stelasar</t>
  </si>
  <si>
    <t>Asare,Stella Nyarko</t>
  </si>
  <si>
    <t>noeliayo</t>
  </si>
  <si>
    <t>Ayong,Noeline Nuck</t>
  </si>
  <si>
    <t>bisophij</t>
  </si>
  <si>
    <t>Bio,Sophia</t>
  </si>
  <si>
    <t>ridadzid</t>
  </si>
  <si>
    <t>Dadzie,Richard</t>
  </si>
  <si>
    <t>durodori</t>
  </si>
  <si>
    <t>Durowaa,Doris</t>
  </si>
  <si>
    <t>jospatie</t>
  </si>
  <si>
    <t>Joso,Patience Nganje</t>
  </si>
  <si>
    <t>aliikama</t>
  </si>
  <si>
    <t>KAMARA,ALIE</t>
  </si>
  <si>
    <t>pkamhuru</t>
  </si>
  <si>
    <t>kkecarls</t>
  </si>
  <si>
    <t>Kendang,Carlson Esah</t>
  </si>
  <si>
    <t>skyeseli</t>
  </si>
  <si>
    <t>Kyerewaa,Selina</t>
  </si>
  <si>
    <t>makaflor</t>
  </si>
  <si>
    <t>Makamure,Florence Ottilia Tsitsi</t>
  </si>
  <si>
    <t>mambflor</t>
  </si>
  <si>
    <t>Mambo,Flora Nde</t>
  </si>
  <si>
    <t>mercyema</t>
  </si>
  <si>
    <t>Masuka,Mercy</t>
  </si>
  <si>
    <t>maththum</t>
  </si>
  <si>
    <t>Mathe,Thumelo Ethan</t>
  </si>
  <si>
    <t>tanakasm</t>
  </si>
  <si>
    <t>Mbawa,Tanaka Shantel</t>
  </si>
  <si>
    <t>mdutygwe</t>
  </si>
  <si>
    <t>Mdutshulwa,Gwendoline</t>
  </si>
  <si>
    <t>mensacon</t>
  </si>
  <si>
    <t>Mensah,Confidence</t>
  </si>
  <si>
    <t>moiddris</t>
  </si>
  <si>
    <t>MOHAMMED,IDDRISS</t>
  </si>
  <si>
    <t>mugandrn</t>
  </si>
  <si>
    <t>MUGISHA,ANDREW</t>
  </si>
  <si>
    <t>nymunemw</t>
  </si>
  <si>
    <t>Munemo,Nyasha Millicent</t>
  </si>
  <si>
    <t>firstmup</t>
  </si>
  <si>
    <t>Mupetiwa,First</t>
  </si>
  <si>
    <t>wgracech</t>
  </si>
  <si>
    <t>Nhau,Grace Chido</t>
  </si>
  <si>
    <t>nyikadzp</t>
  </si>
  <si>
    <t>Nyikadzino,Patson</t>
  </si>
  <si>
    <t>alberokr</t>
  </si>
  <si>
    <t>Okrah,Alberta Yuwaah</t>
  </si>
  <si>
    <t>tchaosei</t>
  </si>
  <si>
    <t>OSEI,CHARLES</t>
  </si>
  <si>
    <t>oserichm</t>
  </si>
  <si>
    <t>Osei,Richmond</t>
  </si>
  <si>
    <t>otooemml</t>
  </si>
  <si>
    <t>Otoo,Emmanuel</t>
  </si>
  <si>
    <t>owusukda</t>
  </si>
  <si>
    <t>OWUSU,DAVID</t>
  </si>
  <si>
    <t>seugrace</t>
  </si>
  <si>
    <t>Serwaa,Grace</t>
  </si>
  <si>
    <t>kojoache</t>
  </si>
  <si>
    <t>KOJO ACHEAMPONG,FRANCIS</t>
  </si>
  <si>
    <t>douglakw</t>
  </si>
  <si>
    <t>KWAYIE,DOUGLAS</t>
  </si>
  <si>
    <t>oemaxwel</t>
  </si>
  <si>
    <t>OFORI,MAXWELL</t>
  </si>
  <si>
    <t>sillahei</t>
  </si>
  <si>
    <t>SILLAH,IDRISSA</t>
  </si>
  <si>
    <t>shomuzha</t>
  </si>
  <si>
    <t>Shomuzhanga,Lissa</t>
  </si>
  <si>
    <t>BANYAS (Souq Sarab)</t>
  </si>
  <si>
    <t>Mouror 31 Signal</t>
  </si>
  <si>
    <t>Shakhbout City</t>
  </si>
  <si>
    <t>055 5274485</t>
  </si>
  <si>
    <t>050 6926337</t>
  </si>
  <si>
    <t>0526198187/+233242763275</t>
  </si>
  <si>
    <t>055 2991762</t>
  </si>
  <si>
    <t>052 3933072 / 233548250135</t>
  </si>
  <si>
    <t>055 9892421</t>
  </si>
  <si>
    <t>058 1643155</t>
  </si>
  <si>
    <t>058 2394661</t>
  </si>
  <si>
    <t>055 3316854</t>
  </si>
  <si>
    <t>052 9251286 / c 055 699 3769</t>
  </si>
  <si>
    <t>058 8759071</t>
  </si>
  <si>
    <t>058 1865126</t>
  </si>
  <si>
    <t>056 4268996</t>
  </si>
  <si>
    <t>054 4689609</t>
  </si>
  <si>
    <t>058 1469210</t>
  </si>
  <si>
    <t>058 2114069</t>
  </si>
  <si>
    <t>055 3705957</t>
  </si>
  <si>
    <t>056 2280865</t>
  </si>
  <si>
    <t>052 2264153</t>
  </si>
  <si>
    <t>055 7413170</t>
  </si>
  <si>
    <t>055 5041153</t>
  </si>
  <si>
    <t>obaaparose00@gmail.com</t>
  </si>
  <si>
    <t>stellanyarko888@gmail.com</t>
  </si>
  <si>
    <t>ayongnoelyne@gmail.com</t>
  </si>
  <si>
    <t>biosophia11@gmail.com</t>
  </si>
  <si>
    <t>fhreshehlement100@gmail.com</t>
  </si>
  <si>
    <t>akosuadoris5@gmail.com</t>
  </si>
  <si>
    <t>nganjepatience@gmail.com</t>
  </si>
  <si>
    <t>sharon.kanhuru@icloud.com</t>
  </si>
  <si>
    <t>kencarl4444@gmail.com</t>
  </si>
  <si>
    <t>sallyfoday1@gmail.com</t>
  </si>
  <si>
    <t>fotmakamure@gmail.com</t>
  </si>
  <si>
    <t>mamboflorande94@gmail.com</t>
  </si>
  <si>
    <t>masukamercy88@gmail.com</t>
  </si>
  <si>
    <t>thumelomathe0@gmail.com</t>
  </si>
  <si>
    <t>mbawashanteltanaka@gmail.com</t>
  </si>
  <si>
    <t>gwendolinemdutshulwa@gmail.com</t>
  </si>
  <si>
    <t>confidencemensah32@gmail.com</t>
  </si>
  <si>
    <t>mohammed552@gmail.com</t>
  </si>
  <si>
    <t>munemonyasha402@gmail.com</t>
  </si>
  <si>
    <t>firstmupetiwa@gmail.com</t>
  </si>
  <si>
    <t>gracechidon@gmail.com</t>
  </si>
  <si>
    <t>nyikadzinopatson@gmail.com</t>
  </si>
  <si>
    <t>yuwaahokrahalberta@gmail.com</t>
  </si>
  <si>
    <t>cosai3545@gmail.com</t>
  </si>
  <si>
    <t>richmondo158@gmail.com</t>
  </si>
  <si>
    <t>otooe4475@gmail.com</t>
  </si>
  <si>
    <t>agyapong@gmail.com</t>
  </si>
  <si>
    <t>graceadom2004@gmail.com</t>
  </si>
  <si>
    <t>acheampongfrancic7000@gmail.com</t>
  </si>
  <si>
    <t>douglas.kw15@gmail.com</t>
  </si>
  <si>
    <t>amugabe60@gmail.com</t>
  </si>
  <si>
    <t>Ckgbenatey@gmail.com</t>
  </si>
  <si>
    <t>Immaculatetangu2019@gmail.com</t>
  </si>
  <si>
    <t>adepapapabi494@gmail.com</t>
  </si>
  <si>
    <t>zainabiddrris@gmail.com</t>
  </si>
  <si>
    <t>N</t>
  </si>
  <si>
    <t>entettey</t>
  </si>
  <si>
    <t>ENOCK TETTEY</t>
  </si>
  <si>
    <t>isaackwa</t>
  </si>
  <si>
    <t>ISAAC KWADWO YEBOAH</t>
  </si>
  <si>
    <t>jodansoe</t>
  </si>
  <si>
    <t>JOSEPH KOFI DANSO YEBOAH</t>
  </si>
  <si>
    <t>aprinceo</t>
  </si>
  <si>
    <t>PRINCE OWUSU ANIM</t>
  </si>
  <si>
    <t>dprincer</t>
  </si>
  <si>
    <t>PRINCE RICHARD DARKO SRAHA</t>
  </si>
  <si>
    <t>anniipro</t>
  </si>
  <si>
    <t>PROSPER ANNI</t>
  </si>
  <si>
    <t>bowusura</t>
  </si>
  <si>
    <t>RABBI OWUSU</t>
  </si>
  <si>
    <t>sulaamar</t>
  </si>
  <si>
    <t>SULAIMAN JAY AMARA</t>
  </si>
  <si>
    <t>koomsoer</t>
  </si>
  <si>
    <t>ERIC KUM KOOMSON</t>
  </si>
  <si>
    <t>markumek</t>
  </si>
  <si>
    <t>MARTIN KUMEKPE</t>
  </si>
  <si>
    <t>kwlsimon</t>
  </si>
  <si>
    <t>SIMON KWAO</t>
  </si>
  <si>
    <t>kisssylv</t>
  </si>
  <si>
    <t>SYLVESTER KISSEIH</t>
  </si>
  <si>
    <t>enocktettey@gmail.com</t>
  </si>
  <si>
    <t>yeboahkwadwoisaac@gmail.com</t>
  </si>
  <si>
    <t>geniujoe608@gmail.com</t>
  </si>
  <si>
    <t>emrys.pe@gmail.com</t>
  </si>
  <si>
    <t>sraha.richard@yahoo.com</t>
  </si>
  <si>
    <t>owusarabbi87@gmail.com</t>
  </si>
  <si>
    <t>sulaimanjamamara585@gmail.com</t>
  </si>
  <si>
    <t>prisarpo</t>
  </si>
  <si>
    <t>PRINCE SARPONG</t>
  </si>
  <si>
    <t>yadamsad</t>
  </si>
  <si>
    <t>ADAMS SADICK</t>
  </si>
  <si>
    <t>mustissi</t>
  </si>
  <si>
    <t>ISSIFU MUSTAPHA</t>
  </si>
  <si>
    <t>oseithay</t>
  </si>
  <si>
    <t>HAYFORD OSEI</t>
  </si>
  <si>
    <t>fprinceo</t>
  </si>
  <si>
    <t>PRINCE OPOKU FRIMPONG</t>
  </si>
  <si>
    <t>emensahg</t>
  </si>
  <si>
    <t>ERIC MENSAH</t>
  </si>
  <si>
    <t>malkmaha</t>
  </si>
  <si>
    <t>MALIK MAHAMA</t>
  </si>
  <si>
    <t>selaryea</t>
  </si>
  <si>
    <t>SETH LARYEA</t>
  </si>
  <si>
    <t>jkissawk</t>
  </si>
  <si>
    <t>KASIM KISSAW</t>
  </si>
  <si>
    <t>issakmuz</t>
  </si>
  <si>
    <t>MUSTAPHA SABIT ISSAKA</t>
  </si>
  <si>
    <t>muhapibr</t>
  </si>
  <si>
    <t>MUHAMMED IBRAHIM</t>
  </si>
  <si>
    <t>ibramoro</t>
  </si>
  <si>
    <t>MORO IBRAHIM</t>
  </si>
  <si>
    <t>ananecle</t>
  </si>
  <si>
    <t>CLEMENT ANANE GEYI</t>
  </si>
  <si>
    <t>sarpong25prince@gmail.com</t>
  </si>
  <si>
    <t>anointedlymwest12@gmail.com</t>
  </si>
  <si>
    <t>princeopokufrimpong79@gmail.com</t>
  </si>
  <si>
    <t>ericmensahtekpor123@gmail.com</t>
  </si>
  <si>
    <t>malikmahama26@gmail.com</t>
  </si>
  <si>
    <t>iahfrank</t>
  </si>
  <si>
    <t>FRANK AHEN</t>
  </si>
  <si>
    <t>adamsdaniel131@gmail.com</t>
  </si>
  <si>
    <t>moghazy</t>
  </si>
  <si>
    <t>Ghazy,Mohamed </t>
  </si>
  <si>
    <t>madaoud</t>
  </si>
  <si>
    <t>Mohamed Daoud</t>
  </si>
  <si>
    <t>PIT Operator 24M</t>
  </si>
  <si>
    <t>rajaniu</t>
  </si>
  <si>
    <t>Rajani U</t>
  </si>
  <si>
    <t>sheshame</t>
  </si>
  <si>
    <t>Shameer,Sheikh Muhammad</t>
  </si>
  <si>
    <t>KULE,MIKA MUSIME</t>
  </si>
  <si>
    <t>SHRESTHA,RABIN</t>
  </si>
  <si>
    <t>charmakp</t>
  </si>
  <si>
    <t>AKPAKA,CHARLES</t>
  </si>
  <si>
    <t>annojust</t>
  </si>
  <si>
    <t>ANNOBIL,JUSTICE</t>
  </si>
  <si>
    <t>auguskam</t>
  </si>
  <si>
    <t>KAMANDA,AUGUSTINE</t>
  </si>
  <si>
    <t>danaaoda</t>
  </si>
  <si>
    <t>DANAA,DAVID</t>
  </si>
  <si>
    <t>emuhamia</t>
  </si>
  <si>
    <t>AHMED,MUHAMIN</t>
  </si>
  <si>
    <t>mukailka</t>
  </si>
  <si>
    <t>KASSIM,MUKAILA</t>
  </si>
  <si>
    <t>rzcolema</t>
  </si>
  <si>
    <t>COLEMAN,ROBERT</t>
  </si>
  <si>
    <t>babismar</t>
  </si>
  <si>
    <t>BAAH,BISMARK</t>
  </si>
  <si>
    <t>yawunsam</t>
  </si>
  <si>
    <t>AWUNI,SAMUEL</t>
  </si>
  <si>
    <t>Warehouse Associate 6W</t>
  </si>
  <si>
    <t>kiyembafaizal@hotmail.com</t>
  </si>
  <si>
    <t>sth.rn.08@gmail.com</t>
  </si>
  <si>
    <t>annobiljustice@gmail.com</t>
  </si>
  <si>
    <t>baahb3858@gmail.com</t>
  </si>
  <si>
    <t>samuelawuni75@gmail.com</t>
  </si>
  <si>
    <t>hudamm</t>
  </si>
  <si>
    <t>moazzam,huda</t>
  </si>
  <si>
    <t>asgizaza</t>
  </si>
  <si>
    <t>owusucle</t>
  </si>
  <si>
    <t>adomdani</t>
  </si>
  <si>
    <t>dgodfnsi</t>
  </si>
  <si>
    <t>nuhpiddr</t>
  </si>
  <si>
    <t>Ashiraf Gizaza</t>
  </si>
  <si>
    <t>Clement Owusu</t>
  </si>
  <si>
    <t>Godfred Kwaku Nsiah</t>
  </si>
  <si>
    <t>Iddrisu Nuhu</t>
  </si>
  <si>
    <t>LOVELACE NTIAMOAH</t>
  </si>
  <si>
    <t>ROCKSON ATENSU</t>
  </si>
  <si>
    <t>loventia</t>
  </si>
  <si>
    <t>atenrock</t>
  </si>
  <si>
    <t>stepheof</t>
  </si>
  <si>
    <t>wisacola</t>
  </si>
  <si>
    <t>ntiamoahlovelace90@icloud.com</t>
  </si>
  <si>
    <t>rocksonatensu24@gmail.com</t>
  </si>
  <si>
    <t>stephenroyalty3@gmail.com</t>
  </si>
  <si>
    <t>dripkobby7@gmail.com</t>
  </si>
  <si>
    <t>ashirafgizaza@gmail.com</t>
  </si>
  <si>
    <t>owusuc532@gmail.com</t>
  </si>
  <si>
    <t>adomadaniel15@gmail.com</t>
  </si>
  <si>
    <t>nsiahg19@gamil.com</t>
  </si>
  <si>
    <t>iddrissnuhu@iclod.com</t>
  </si>
  <si>
    <t>FAIZAL,KIYEMBA</t>
  </si>
  <si>
    <t>danabuak</t>
  </si>
  <si>
    <t>Daniel Abu Akparibo</t>
  </si>
  <si>
    <t>edwamans</t>
  </si>
  <si>
    <t>Edward Ibrahim Mansaray</t>
  </si>
  <si>
    <t>alusikor</t>
  </si>
  <si>
    <t>ALUSINE KOROMA</t>
  </si>
  <si>
    <t>roambili</t>
  </si>
  <si>
    <t>sarpbism</t>
  </si>
  <si>
    <t>BISMARK SARPONG</t>
  </si>
  <si>
    <t>mainaoso</t>
  </si>
  <si>
    <t>Charles Maina Osora</t>
  </si>
  <si>
    <t>cokipchu</t>
  </si>
  <si>
    <t>Cosmas Kipchumba</t>
  </si>
  <si>
    <t>biyeahe</t>
  </si>
  <si>
    <t>EDWIN BIYEAH</t>
  </si>
  <si>
    <t>kamaesth</t>
  </si>
  <si>
    <t>Esther Wairimu Kamau</t>
  </si>
  <si>
    <t>florndis</t>
  </si>
  <si>
    <t>Florence Nzulya Ndijya</t>
  </si>
  <si>
    <t>adnjames</t>
  </si>
  <si>
    <t>JAMES ADADE</t>
  </si>
  <si>
    <t>xjonyank</t>
  </si>
  <si>
    <t>JOHN NYANKEY</t>
  </si>
  <si>
    <t>lameckoe</t>
  </si>
  <si>
    <t>LAMECK KIPKURGAT KOECH</t>
  </si>
  <si>
    <t>lydiawwa</t>
  </si>
  <si>
    <t>muriipau</t>
  </si>
  <si>
    <t>Muriithi Pauline</t>
  </si>
  <si>
    <t>ukimtani</t>
  </si>
  <si>
    <t>NICHOLAS KIRWA KIMTAI</t>
  </si>
  <si>
    <t>nyabuniv</t>
  </si>
  <si>
    <t>Nivah Moraa Nyabuto</t>
  </si>
  <si>
    <t>pechikoz</t>
  </si>
  <si>
    <t>rejinaae</t>
  </si>
  <si>
    <t>Regina Aba Annan</t>
  </si>
  <si>
    <t>osnganga</t>
  </si>
  <si>
    <t>SUSAN WANJIKU NG'ANG'A</t>
  </si>
  <si>
    <t>meswsylv</t>
  </si>
  <si>
    <t>Sylvia Jelagat Meswo</t>
  </si>
  <si>
    <t>Swapna Vishwakarma</t>
  </si>
  <si>
    <t>swavishw</t>
  </si>
  <si>
    <t>Critical</t>
  </si>
  <si>
    <t>Non-Critical</t>
  </si>
  <si>
    <t>Birthday Month</t>
  </si>
  <si>
    <t>May</t>
  </si>
  <si>
    <t>tiacquah</t>
  </si>
  <si>
    <t>sattabob</t>
  </si>
  <si>
    <t>kyeqeben</t>
  </si>
  <si>
    <t>abkwaben</t>
  </si>
  <si>
    <t>ivinceas</t>
  </si>
  <si>
    <t>daudmaji</t>
  </si>
  <si>
    <t>takpalgo</t>
  </si>
  <si>
    <t>chaoseip</t>
  </si>
  <si>
    <t>stepagye</t>
  </si>
  <si>
    <t>sarpoatt</t>
  </si>
  <si>
    <t>zchowusu</t>
  </si>
  <si>
    <t>omamudka</t>
  </si>
  <si>
    <t>aglagopr</t>
  </si>
  <si>
    <t>thembjos</t>
  </si>
  <si>
    <t>umaymusa</t>
  </si>
  <si>
    <t>BRIGHT ATTA BOAHENE</t>
  </si>
  <si>
    <t>KWABENA ABOBIRE</t>
  </si>
  <si>
    <t>MAJID DAUDA</t>
  </si>
  <si>
    <t>GODWIN AKPALU</t>
  </si>
  <si>
    <t>CHARLES TONTO OWUSU</t>
  </si>
  <si>
    <t>PRINCE AGLAGOVI</t>
  </si>
  <si>
    <t>JOSEPH MUNEYI THEMBO</t>
  </si>
  <si>
    <t>sympathyyhaw13@gmail.com</t>
  </si>
  <si>
    <t>boahenbrighi26@gmail.com</t>
  </si>
  <si>
    <t>kemerenezerstephen92@gmail.com</t>
  </si>
  <si>
    <t>abobirekwabena@gmail.com</t>
  </si>
  <si>
    <t>niiguyguy87@gmail.com</t>
  </si>
  <si>
    <t>evabanks861@gmail.com</t>
  </si>
  <si>
    <t>godeinduplex173@gmail.com</t>
  </si>
  <si>
    <t>opokucharles508@gmail.com</t>
  </si>
  <si>
    <t>stephenagyei0208201269@gmail.com</t>
  </si>
  <si>
    <t>attasarpong@gmail.com</t>
  </si>
  <si>
    <t>charlestonto12@gmial.com</t>
  </si>
  <si>
    <t>muh.kassim741@gmail.com</t>
  </si>
  <si>
    <t>aglagovi.prince@gmail.com</t>
  </si>
  <si>
    <t>josephthembo46@gmail.com</t>
  </si>
  <si>
    <t>musaumarumubi8@gmail.com</t>
  </si>
  <si>
    <t>Jemutaiasca8@gmail.com</t>
  </si>
  <si>
    <t>gtautabs@gmail.com</t>
  </si>
  <si>
    <t>stevembun4219@gmail.com</t>
  </si>
  <si>
    <t>mkasiabedi@gmail.com</t>
  </si>
  <si>
    <t>faithchepkosgei909@gmail.com</t>
  </si>
  <si>
    <t>sentongoshafik95@gmail.com</t>
  </si>
  <si>
    <t>atindemonica412@outlook.com</t>
  </si>
  <si>
    <t>naserianmurdaa@gmail.com</t>
  </si>
  <si>
    <t>shrnmbg@gmail.com</t>
  </si>
  <si>
    <t>bjemuasc</t>
  </si>
  <si>
    <t>gittabit</t>
  </si>
  <si>
    <t>ustemain</t>
  </si>
  <si>
    <t>abedmkas</t>
  </si>
  <si>
    <t>chepkodf</t>
  </si>
  <si>
    <t>sentshaf</t>
  </si>
  <si>
    <t>taatinde</t>
  </si>
  <si>
    <t>murdnase</t>
  </si>
  <si>
    <t>psharonc</t>
  </si>
  <si>
    <t>Safal Panta</t>
  </si>
  <si>
    <t>safalpan</t>
  </si>
  <si>
    <t>canudamo</t>
  </si>
  <si>
    <t>Damodaran,Anu</t>
  </si>
  <si>
    <t>EFS - Vendor POC</t>
  </si>
  <si>
    <t>anudamodaran.m@gmail.com</t>
  </si>
  <si>
    <t>xainorog</t>
  </si>
  <si>
    <t>ROGERS AINOMUGISHA</t>
  </si>
  <si>
    <t>shaandhk</t>
  </si>
  <si>
    <t>SHAFIC ANDHI</t>
  </si>
  <si>
    <t>ayshedra</t>
  </si>
  <si>
    <t>SHEDRACK AYEBAZIBWE</t>
  </si>
  <si>
    <t>aijsimoj</t>
  </si>
  <si>
    <t>SIMON AIJUKA</t>
  </si>
  <si>
    <t>luswatst</t>
  </si>
  <si>
    <t>STEPHEN LUSWATA</t>
  </si>
  <si>
    <t>ssewante</t>
  </si>
  <si>
    <t>TONNY SSEWANTE</t>
  </si>
  <si>
    <t>muwvicen</t>
  </si>
  <si>
    <t>VICENT MUWONGE</t>
  </si>
  <si>
    <t>yusufoke</t>
  </si>
  <si>
    <t>YUSUF OKELLO</t>
  </si>
  <si>
    <t>turinawa</t>
  </si>
  <si>
    <t>AMOS TURINAWE</t>
  </si>
  <si>
    <t>tibainhd</t>
  </si>
  <si>
    <t>DAN TIBAINGANA</t>
  </si>
  <si>
    <t>faroukki</t>
  </si>
  <si>
    <t>FAROUK KIBALAMA</t>
  </si>
  <si>
    <t>abigaboi</t>
  </si>
  <si>
    <t>ONESMAS ABIGABA</t>
  </si>
  <si>
    <t>immasere</t>
  </si>
  <si>
    <t>MORIS MASEREKA</t>
  </si>
  <si>
    <t>achemuta</t>
  </si>
  <si>
    <t>ALICE CHEMUTAI</t>
  </si>
  <si>
    <t xml:space="preserve">Mishra,Aman </t>
  </si>
  <si>
    <t>anndila</t>
  </si>
  <si>
    <t>ANN NDILA KIKUNG'A</t>
  </si>
  <si>
    <t>affulben</t>
  </si>
  <si>
    <t>BENJAMIN AFFUL</t>
  </si>
  <si>
    <t>carkorir</t>
  </si>
  <si>
    <t>CAROLINE JELIMO KORIR</t>
  </si>
  <si>
    <t>mureiche</t>
  </si>
  <si>
    <t>CHEPTOO ORBA MUREI</t>
  </si>
  <si>
    <t>addlchri</t>
  </si>
  <si>
    <t>CHRISTIANA ADDO</t>
  </si>
  <si>
    <t>namukaba</t>
  </si>
  <si>
    <t>Barbra Christine NAMUKASA</t>
  </si>
  <si>
    <t>kyeicynt</t>
  </si>
  <si>
    <t>CYNTHIA KYEI BAFFOUR</t>
  </si>
  <si>
    <t>rseremda</t>
  </si>
  <si>
    <t>DAISY CHEPKEMBOI SEREM</t>
  </si>
  <si>
    <t>aloielia</t>
  </si>
  <si>
    <t>addevely</t>
  </si>
  <si>
    <t>Evelyn Addo</t>
  </si>
  <si>
    <t>fjefaith</t>
  </si>
  <si>
    <t>FAITH JEROP</t>
  </si>
  <si>
    <t>kimufrid</t>
  </si>
  <si>
    <t>FRIDAH JEPTEBKWENY KIMUNJOS</t>
  </si>
  <si>
    <t>gwangari</t>
  </si>
  <si>
    <t>GRACE WANJIRU WANGARI</t>
  </si>
  <si>
    <t>mjosepad</t>
  </si>
  <si>
    <t>JOSEPH ADDO</t>
  </si>
  <si>
    <t>boamejos</t>
  </si>
  <si>
    <t>JOSEPH BOAME</t>
  </si>
  <si>
    <t>chepkoil</t>
  </si>
  <si>
    <t>LOICE CHEPKOIR</t>
  </si>
  <si>
    <t>rumauree</t>
  </si>
  <si>
    <t>MAUREEN JEPCHUMBA RUTTO</t>
  </si>
  <si>
    <t>mjjepkem</t>
  </si>
  <si>
    <t>MERCY JEPKEMBOI</t>
  </si>
  <si>
    <t>kibenanc</t>
  </si>
  <si>
    <t>NANCY JEPTOO KIBET</t>
  </si>
  <si>
    <t>kwartnao</t>
  </si>
  <si>
    <t>NAOMI KWARTENG</t>
  </si>
  <si>
    <t>phoeboli</t>
  </si>
  <si>
    <t>PHOEBE OLINDO</t>
  </si>
  <si>
    <t>sydoneye</t>
  </si>
  <si>
    <t>SYDONIE EYE TANGE</t>
  </si>
  <si>
    <t>viappiat</t>
  </si>
  <si>
    <t>VIDA APPIAH</t>
  </si>
  <si>
    <t>sharmugw</t>
  </si>
  <si>
    <t>Sharif Ali</t>
  </si>
  <si>
    <t>jrosenyw</t>
  </si>
  <si>
    <t>ROSE NYANCHERA JAIRUS</t>
  </si>
  <si>
    <t>jwanjird</t>
  </si>
  <si>
    <t>Joy wanjiru</t>
  </si>
  <si>
    <t>ekyeipor</t>
  </si>
  <si>
    <t>PORTIA KYEI</t>
  </si>
  <si>
    <t>puchebiw</t>
  </si>
  <si>
    <t>PURITY CHEBIWOT</t>
  </si>
  <si>
    <t>kevin ssekalegga</t>
  </si>
  <si>
    <t>eamosamu</t>
  </si>
  <si>
    <t>Samuel Amoako</t>
  </si>
  <si>
    <t>harthufr</t>
  </si>
  <si>
    <t>FRANCIS ARTHUR</t>
  </si>
  <si>
    <t>cudjoeif</t>
  </si>
  <si>
    <t>FRANCIS CUDJOE</t>
  </si>
  <si>
    <t>pamoesse</t>
  </si>
  <si>
    <t>Prince Amo Essel</t>
  </si>
  <si>
    <t>elrashid,Hassan</t>
  </si>
  <si>
    <t>edtwinam</t>
  </si>
  <si>
    <t>EDGAR TWINAMATSIKO</t>
  </si>
  <si>
    <t>wilmande</t>
  </si>
  <si>
    <t>WILSON MANDELA</t>
  </si>
  <si>
    <t>gyamfinp</t>
  </si>
  <si>
    <t>PHILIP GYAMFI</t>
  </si>
  <si>
    <t>sasalifu</t>
  </si>
  <si>
    <t>SADICK SALIFU AZUMAH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</si>
  <si>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</si>
  <si>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</si>
  <si>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</si>
  <si>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</si>
  <si>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</si>
  <si>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</si>
  <si>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</si>
  <si>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</si>
  <si>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Dulsco Camp</t>
  </si>
  <si>
    <t>ainomugiha3@gmail.com</t>
  </si>
  <si>
    <t>stephenluwasta747@gmail.com</t>
  </si>
  <si>
    <t>tonnyssewante@gamil.com</t>
  </si>
  <si>
    <t>muwonge.muwonge@gmail.com</t>
  </si>
  <si>
    <t>okelloyusuf05@gmail.com</t>
  </si>
  <si>
    <t>turinaweamos4@gmail.com</t>
  </si>
  <si>
    <t>tibainganadan@gmail.com</t>
  </si>
  <si>
    <t>razzelki@gmail.com</t>
  </si>
  <si>
    <t>morisotah@gmail.com</t>
  </si>
  <si>
    <t>alicejemutai85@gmail.com</t>
  </si>
  <si>
    <t>annsueshem@gmail.com</t>
  </si>
  <si>
    <t>carolinekorir886@gmail.com</t>
  </si>
  <si>
    <t>orphajeptoo1988@gmail.com</t>
  </si>
  <si>
    <t>christinenamukasa.cn@gmail.com</t>
  </si>
  <si>
    <t>evewills1994@gmail.com</t>
  </si>
  <si>
    <t>kimunjosfridah@gmail.com</t>
  </si>
  <si>
    <t>shikyazlan@gmail.com</t>
  </si>
  <si>
    <t>Jaddo358@gmail.com</t>
  </si>
  <si>
    <t>josephboame02@gmail.com</t>
  </si>
  <si>
    <t>chepkorirloyce629@gmail.com</t>
  </si>
  <si>
    <t>jepchumbamaureen349@gmail.com</t>
  </si>
  <si>
    <t>Frank45du@gmail.com</t>
  </si>
  <si>
    <t>55 381 1764</t>
  </si>
  <si>
    <t>sharifuhalih23@gmail.com</t>
  </si>
  <si>
    <t>rnyanchera125@gmail.com</t>
  </si>
  <si>
    <t>Joywanjirumutinda@gmail.com</t>
  </si>
  <si>
    <t>Portiakyei440@gmail.com</t>
  </si>
  <si>
    <t>chebi.purty@gmail.com</t>
  </si>
  <si>
    <t>malkdd@gmail.com</t>
  </si>
  <si>
    <t>victorojuma349@gmail.com</t>
  </si>
  <si>
    <t>amoakosam@gmail.com</t>
  </si>
  <si>
    <t>esselmrprince@gmail.com</t>
  </si>
  <si>
    <t>mwesigyeedgar89@gmail.com</t>
  </si>
  <si>
    <t>azumahoesewas@gmail.com</t>
  </si>
  <si>
    <t>kalifa.hmoze09@gmail.com</t>
  </si>
  <si>
    <t>anicholas216@gmail.com</t>
  </si>
  <si>
    <t>baruahareonesmus4@gamil.com</t>
  </si>
  <si>
    <t>patrickochana5@gmail.com</t>
  </si>
  <si>
    <t>mugisric</t>
  </si>
  <si>
    <t>MUGISHA,RICHARD</t>
  </si>
  <si>
    <t>MAY</t>
  </si>
  <si>
    <t>aimansh</t>
  </si>
  <si>
    <t>Aiman Shadab Khan</t>
  </si>
  <si>
    <t>Stephy Joseph</t>
  </si>
  <si>
    <t>ABRAHAM SENIOR OPPONG</t>
  </si>
  <si>
    <t>tumwgben</t>
  </si>
  <si>
    <t>BENSON TUMWINE</t>
  </si>
  <si>
    <t>cmaforun</t>
  </si>
  <si>
    <t>CHANTAL MAFOR UNABI</t>
  </si>
  <si>
    <t>timfelig</t>
  </si>
  <si>
    <t>FELICIA TIMAH</t>
  </si>
  <si>
    <t>roedieme</t>
  </si>
  <si>
    <t>Roland Ediemejang Muankume</t>
  </si>
  <si>
    <t>mpandeal</t>
  </si>
  <si>
    <t>ALEX MPANDE</t>
  </si>
  <si>
    <t>brigtawu</t>
  </si>
  <si>
    <t>cathprom</t>
  </si>
  <si>
    <t>chepfanc</t>
  </si>
  <si>
    <t>FANCY CHEPKEMOI</t>
  </si>
  <si>
    <t>masinois</t>
  </si>
  <si>
    <t>ISAAC MASINDE</t>
  </si>
  <si>
    <t>ssemuyai</t>
  </si>
  <si>
    <t>IVAN SSEMUYABA</t>
  </si>
  <si>
    <t>qkejulie</t>
  </si>
  <si>
    <t>JULIET KENEMA</t>
  </si>
  <si>
    <t>umarkas</t>
  </si>
  <si>
    <t>Kassim Umar</t>
  </si>
  <si>
    <t>twenewka</t>
  </si>
  <si>
    <t>kufkamid</t>
  </si>
  <si>
    <t>KUFAM AMIDU</t>
  </si>
  <si>
    <t>nyasnoah</t>
  </si>
  <si>
    <t>ssettinp</t>
  </si>
  <si>
    <t>PETER SSETTINBA</t>
  </si>
  <si>
    <t>drichani</t>
  </si>
  <si>
    <t>RICHARD ANIM</t>
  </si>
  <si>
    <t>vsadimoh</t>
  </si>
  <si>
    <t>fynsarah</t>
  </si>
  <si>
    <t>Sarah Fynn Arthur</t>
  </si>
  <si>
    <t>ayukakos</t>
  </si>
  <si>
    <t>SCHOLASTIKA AYUK AKO</t>
  </si>
  <si>
    <t>kkengtis</t>
  </si>
  <si>
    <t>SCOLITITH KENG TIBA</t>
  </si>
  <si>
    <t>ciliatan</t>
  </si>
  <si>
    <t>TANDU CILIA NAMA</t>
  </si>
  <si>
    <t>netofikz</t>
  </si>
  <si>
    <t>gbnyiren</t>
  </si>
  <si>
    <t>rokrumon</t>
  </si>
  <si>
    <t>MONIKA OKRU</t>
  </si>
  <si>
    <t>owunanie</t>
  </si>
  <si>
    <t>NANIES OWUSU ANSAH</t>
  </si>
  <si>
    <t>naoyuohg</t>
  </si>
  <si>
    <t>NAOMI YUOH GHEA</t>
  </si>
  <si>
    <t>oforbpri</t>
  </si>
  <si>
    <t>PRINCE OFORI</t>
  </si>
  <si>
    <t>chinaabo</t>
  </si>
  <si>
    <t>ABOUH CHINARINE EFEUTLAKA</t>
  </si>
  <si>
    <t>bamehami</t>
  </si>
  <si>
    <t>AMINATA BAMEH MARAH</t>
  </si>
  <si>
    <t>owuevely</t>
  </si>
  <si>
    <t>ikomhari</t>
  </si>
  <si>
    <t>agyarjac</t>
  </si>
  <si>
    <t>andrmulv</t>
  </si>
  <si>
    <t>ANDREW MULUUTA</t>
  </si>
  <si>
    <t>kusiisa</t>
  </si>
  <si>
    <t>ISAAC KUSI MENSAH</t>
  </si>
  <si>
    <t>nsosteph</t>
  </si>
  <si>
    <t>NSOM STEPHANIE NABO</t>
  </si>
  <si>
    <t>rachmoya</t>
  </si>
  <si>
    <t>RACHEAL MOYAKO DIALE</t>
  </si>
  <si>
    <t>randniia</t>
  </si>
  <si>
    <t>RANDY NII ARYEETY</t>
  </si>
  <si>
    <t>mwesiron</t>
  </si>
  <si>
    <t>Ronnie Mwesigwa Matovu</t>
  </si>
  <si>
    <t>prerosel</t>
  </si>
  <si>
    <t>ROSELYN PRECIOUS KULIMA</t>
  </si>
  <si>
    <t>pauwkona</t>
  </si>
  <si>
    <t>ssjonatm</t>
  </si>
  <si>
    <t>larbiygl</t>
  </si>
  <si>
    <t>araalfra</t>
  </si>
  <si>
    <t>asamoahq</t>
  </si>
  <si>
    <t>kodjolaw</t>
  </si>
  <si>
    <t>adutwumt</t>
  </si>
  <si>
    <t>cjoheyia</t>
  </si>
  <si>
    <t>erameng</t>
  </si>
  <si>
    <t>ngabirco</t>
  </si>
  <si>
    <t>abiadcon</t>
  </si>
  <si>
    <t>fatawabd</t>
  </si>
  <si>
    <t>asargrav</t>
  </si>
  <si>
    <t>enanemma</t>
  </si>
  <si>
    <t>alusgidf</t>
  </si>
  <si>
    <t>letiowus</t>
  </si>
  <si>
    <t>dangbaso</t>
  </si>
  <si>
    <t>andohogi</t>
  </si>
  <si>
    <t>wiafstep</t>
  </si>
  <si>
    <t>vjoasare</t>
  </si>
  <si>
    <t>kinenray</t>
  </si>
  <si>
    <t>PAULINA KONAMAH BOATENG</t>
  </si>
  <si>
    <t>Jonathan Ssali</t>
  </si>
  <si>
    <t>Gloria Larbi Yeboah</t>
  </si>
  <si>
    <t>FRANCIS ARAALI MUTEGEKI</t>
  </si>
  <si>
    <t>BENJAMIN ASAMOAH</t>
  </si>
  <si>
    <t>Lawson Kodjo Osabutey</t>
  </si>
  <si>
    <t>Tony Adutwum Duah</t>
  </si>
  <si>
    <t>John Eyiah</t>
  </si>
  <si>
    <t>Constance Abiadoo Bentum</t>
  </si>
  <si>
    <t>Fataw Abdulai</t>
  </si>
  <si>
    <t>Grace Asare</t>
  </si>
  <si>
    <t>Emmanuel Enang Nkwonji</t>
  </si>
  <si>
    <t>Leticia Owusu</t>
  </si>
  <si>
    <t>Daniel Basonege</t>
  </si>
  <si>
    <t>Gifty Andoh</t>
  </si>
  <si>
    <t>Stephen Wiafe</t>
  </si>
  <si>
    <t>Josep Asare Yalley</t>
  </si>
  <si>
    <t>Raymond Kinene</t>
  </si>
  <si>
    <t>Sierra Leonean</t>
  </si>
  <si>
    <t>anasomoh</t>
  </si>
  <si>
    <t>Anas Mohammad Habeeb,Mohammad</t>
  </si>
  <si>
    <t>mdanas007.ma@gmail.com</t>
  </si>
  <si>
    <t>kaijudit</t>
  </si>
  <si>
    <t>JUDITH KABUGHO</t>
  </si>
  <si>
    <t>thxnakop</t>
  </si>
  <si>
    <t>Theresa Nako Petiafo</t>
  </si>
  <si>
    <t>abdababa</t>
  </si>
  <si>
    <t>Abdulai Babah Turay</t>
  </si>
  <si>
    <t>obiarrey</t>
  </si>
  <si>
    <t>Benedict Obi Arrey</t>
  </si>
  <si>
    <t>kuncarol</t>
  </si>
  <si>
    <t>CAROLINE WANJA</t>
  </si>
  <si>
    <t>ngcicilx</t>
  </si>
  <si>
    <t>cynttanu</t>
  </si>
  <si>
    <t>jebenowu</t>
  </si>
  <si>
    <t>Ebenezer Owusu</t>
  </si>
  <si>
    <t>remmanda</t>
  </si>
  <si>
    <t>Emmanuel Dapaa</t>
  </si>
  <si>
    <t>frsagyem</t>
  </si>
  <si>
    <t>Freda Agyemang</t>
  </si>
  <si>
    <t>janengit</t>
  </si>
  <si>
    <t>Jane Njeri Gitau</t>
  </si>
  <si>
    <t>ngumaryw</t>
  </si>
  <si>
    <t>Mary wambui nguru</t>
  </si>
  <si>
    <t>reginodj</t>
  </si>
  <si>
    <t>Odjam Regina Narkie</t>
  </si>
  <si>
    <t>tarkopet</t>
  </si>
  <si>
    <t>Peterson Tarko</t>
  </si>
  <si>
    <t>adorrabq</t>
  </si>
  <si>
    <t>Rabbi Ador</t>
  </si>
  <si>
    <t>rtinoten</t>
  </si>
  <si>
    <t>Ralph Tinotenda Maindidze</t>
  </si>
  <si>
    <t>kakramen</t>
  </si>
  <si>
    <t>Ransford Kakra Mensah</t>
  </si>
  <si>
    <t>appsolom</t>
  </si>
  <si>
    <t>Solomon Appiah Kubi</t>
  </si>
  <si>
    <t>marymubw</t>
  </si>
  <si>
    <t>WAUSI,MARY MUTIO</t>
  </si>
  <si>
    <t>Kinuthia,Caroline Wachera</t>
  </si>
  <si>
    <t>abdalomc</t>
  </si>
  <si>
    <t>ABDALLA OMAR</t>
  </si>
  <si>
    <t>amoahabe</t>
  </si>
  <si>
    <t>Abednego Amoah</t>
  </si>
  <si>
    <t>chancink</t>
  </si>
  <si>
    <t>CHANCELINE INKIE MBI</t>
  </si>
  <si>
    <t>fuhnclov</t>
  </si>
  <si>
    <t>CLOVIS FUH NEBA</t>
  </si>
  <si>
    <t>emmaunea</t>
  </si>
  <si>
    <t>EMMAUNEL AYENSU</t>
  </si>
  <si>
    <t>sgiftyaw</t>
  </si>
  <si>
    <t>Gifty Awuah Ghanaian</t>
  </si>
  <si>
    <t>prempegi</t>
  </si>
  <si>
    <t>Gifty Prempeh</t>
  </si>
  <si>
    <t>isabarim</t>
  </si>
  <si>
    <t>ISAAC BARIMAH TWUM</t>
  </si>
  <si>
    <t>wlajeffr</t>
  </si>
  <si>
    <t>Jeffrey Laryea Kwei Kumah</t>
  </si>
  <si>
    <t>kevndung</t>
  </si>
  <si>
    <t>Kevin Ndungu Kosgei</t>
  </si>
  <si>
    <t>mitabifo</t>
  </si>
  <si>
    <t>MICHAEL TABIFOR</t>
  </si>
  <si>
    <t>waltunoa</t>
  </si>
  <si>
    <t xml:space="preserve">Noah Walt Kwaku Amoaben </t>
  </si>
  <si>
    <t>nyasuflo</t>
  </si>
  <si>
    <t>Nyasu Florence Ladu Ezbon</t>
  </si>
  <si>
    <t>saberhet</t>
  </si>
  <si>
    <t>SAMIAL BERHE TEKLEHAYMANOT</t>
  </si>
  <si>
    <t>alisalsu</t>
  </si>
  <si>
    <t>Suleiman Ali Saleh</t>
  </si>
  <si>
    <t>tshomuzh</t>
  </si>
  <si>
    <t>THERESA SHOMUZHANGA</t>
  </si>
  <si>
    <t>South Sudan</t>
  </si>
  <si>
    <t>Ethopian</t>
  </si>
  <si>
    <t>harickda</t>
  </si>
  <si>
    <t>fnjuliet</t>
  </si>
  <si>
    <t>nanziril</t>
  </si>
  <si>
    <t>musahrap</t>
  </si>
  <si>
    <t>mwansamw</t>
  </si>
  <si>
    <t>oahabdi</t>
  </si>
  <si>
    <t>kipngehi</t>
  </si>
  <si>
    <t>janewanm</t>
  </si>
  <si>
    <t>johnngek</t>
  </si>
  <si>
    <t>chirviol</t>
  </si>
  <si>
    <t>ashrajin</t>
  </si>
  <si>
    <t>ASHISH RAJINDER KUMAR</t>
  </si>
  <si>
    <t>djoegich</t>
  </si>
  <si>
    <t>DENNIS JOE GICHUHI</t>
  </si>
  <si>
    <t>nyfridax</t>
  </si>
  <si>
    <t>Fridah Kwamboka</t>
  </si>
  <si>
    <t>agyeklin</t>
  </si>
  <si>
    <t>KLINSMAN AGYEI</t>
  </si>
  <si>
    <t>tysonasm</t>
  </si>
  <si>
    <t>MAC TYSON ANCHE NGWAFONG</t>
  </si>
  <si>
    <t>pyisikib</t>
  </si>
  <si>
    <t>PILATE YISIKIBA MBENKUM</t>
  </si>
  <si>
    <t>ssebamom</t>
  </si>
  <si>
    <t>Ssebamobe Mike</t>
  </si>
  <si>
    <t>9 hours</t>
  </si>
  <si>
    <t>Baniyas camp</t>
  </si>
  <si>
    <t>TBS</t>
  </si>
  <si>
    <t>Indian</t>
  </si>
  <si>
    <t>UGANDA</t>
  </si>
  <si>
    <t>anolyatu</t>
  </si>
  <si>
    <t>Anolyne Atukwatse</t>
  </si>
  <si>
    <t>chebesha</t>
  </si>
  <si>
    <t>Sharon Chebet</t>
  </si>
  <si>
    <t>bushirna</t>
  </si>
  <si>
    <t>Nassonko Bushirah</t>
  </si>
  <si>
    <t>jepkirtf</t>
  </si>
  <si>
    <t>Faith Jepkirui</t>
  </si>
  <si>
    <t>vivianjb</t>
  </si>
  <si>
    <t>Vivian chepchumba</t>
  </si>
  <si>
    <t>maurrono</t>
  </si>
  <si>
    <t>ysheilaj</t>
  </si>
  <si>
    <t>Sheila jepchumba yator</t>
  </si>
  <si>
    <t>chkwinni</t>
  </si>
  <si>
    <t>Winnie Chepchichir</t>
  </si>
  <si>
    <t>jemutmer</t>
  </si>
  <si>
    <t>Mercy jemutai</t>
  </si>
  <si>
    <t>ericaffg</t>
  </si>
  <si>
    <t>Erica Afful</t>
  </si>
  <si>
    <t>Ahmedrashidabdi2@gmail.com</t>
  </si>
  <si>
    <t>Ceciliahomwando89@gmail.com</t>
  </si>
  <si>
    <t>wamboij871@gmail.com</t>
  </si>
  <si>
    <t>johnngesh580@gmail.com</t>
  </si>
  <si>
    <t>vchepkemboi03@gmail.com</t>
  </si>
  <si>
    <t>ashishnayyar94@gmail.com</t>
  </si>
  <si>
    <t>Dennisjoe699@gmail.com</t>
  </si>
  <si>
    <t>Nyafridah9@gmail.com</t>
  </si>
  <si>
    <t>ngwafonganche@gmail.com</t>
  </si>
  <si>
    <t>Pilateyisi@yahoo.com</t>
  </si>
  <si>
    <t>ssebanobcmike@gmail.com</t>
  </si>
  <si>
    <t>fjepkirui0@gmail.com</t>
  </si>
  <si>
    <t>971 52 238 7141</t>
  </si>
  <si>
    <t>jepchumbasheila32@gmail.com</t>
  </si>
  <si>
    <t>254 700 940760</t>
  </si>
  <si>
    <t>jemutaimercy060@gmail.com</t>
  </si>
  <si>
    <t>971 54 485 9369</t>
  </si>
  <si>
    <t>affulerica26@gmail.com</t>
  </si>
  <si>
    <t>khaztanv</t>
  </si>
  <si>
    <t>SAMUEL OLUWALE LANGLEY</t>
  </si>
  <si>
    <t>GARVIN MARK ALIGAWEESA</t>
  </si>
  <si>
    <t>LAURA AMBIRAKUM ANJOYONG</t>
  </si>
  <si>
    <t xml:space="preserve">MARTHA APOLOT </t>
  </si>
  <si>
    <t>VICENTIA ELLEN IDUN</t>
  </si>
  <si>
    <t>WENDY POKUAAH</t>
  </si>
  <si>
    <t xml:space="preserve">GLORIA ADU </t>
  </si>
  <si>
    <t>CECILIA CHISHIMBA</t>
  </si>
  <si>
    <t>ANITA OFORIWAA ADU</t>
  </si>
  <si>
    <t>JOYCE AMA ABBAN</t>
  </si>
  <si>
    <t>OWUSU AKYEA OPARE</t>
  </si>
  <si>
    <t>OSEI ERNEST</t>
  </si>
  <si>
    <t>KEZIAH OYE</t>
  </si>
  <si>
    <t>Christiana Asamoah Boatemaa</t>
  </si>
  <si>
    <t>Veronica Tetteh</t>
  </si>
  <si>
    <t>kisaeliz</t>
  </si>
  <si>
    <t>Elizabeth,Kisakye</t>
  </si>
  <si>
    <t>13/10/2026</t>
  </si>
  <si>
    <t>233 53 079 2415</t>
  </si>
  <si>
    <t>233 53 193 1472</t>
  </si>
  <si>
    <t>wendypokuaah190@gmail.com</t>
  </si>
  <si>
    <t>gloriaadu256@gmail.com</t>
  </si>
  <si>
    <t>chishimbacecili93@gmail.com</t>
  </si>
  <si>
    <t>anitaoforiwaa477@gmail.com</t>
  </si>
  <si>
    <t>maameamamansahabban@gmail.com</t>
  </si>
  <si>
    <t>oseiernet019@gmail.com</t>
  </si>
  <si>
    <t>billsonkeziah@gmail.com</t>
  </si>
  <si>
    <t>Christianaasamoah27@gmail.com</t>
  </si>
  <si>
    <t>Ver41937@gmail.com</t>
  </si>
  <si>
    <t>angoyonglaura@gmail.com</t>
  </si>
  <si>
    <t>marthaapolo1234@gmail.com</t>
  </si>
  <si>
    <t>ZAMBIA</t>
  </si>
  <si>
    <t>aboaerne</t>
  </si>
  <si>
    <t>ABOAGYE ERNEST</t>
  </si>
  <si>
    <t>hannmuru</t>
  </si>
  <si>
    <t>Ann Murugi</t>
  </si>
  <si>
    <t>daviboag</t>
  </si>
  <si>
    <t>BOATENG DAVID</t>
  </si>
  <si>
    <t>jboatenv</t>
  </si>
  <si>
    <t>BOATENG JOSEPH</t>
  </si>
  <si>
    <t>depporah</t>
  </si>
  <si>
    <t>Depporah Nyamusi</t>
  </si>
  <si>
    <t>opokderi</t>
  </si>
  <si>
    <t>Eric Opoku</t>
  </si>
  <si>
    <t>FATU F SARCKOH BONARWOLO</t>
  </si>
  <si>
    <t>ansahpro</t>
  </si>
  <si>
    <t>OWUSU ANSAH PRINCE</t>
  </si>
  <si>
    <t>ndagirsh</t>
  </si>
  <si>
    <t>Shams Nagagire</t>
  </si>
  <si>
    <t>jeptanui</t>
  </si>
  <si>
    <t>cchrisas</t>
  </si>
  <si>
    <t>oykeziah</t>
  </si>
  <si>
    <t>tewveron</t>
  </si>
  <si>
    <t>anitofoc</t>
  </si>
  <si>
    <t>cecchish</t>
  </si>
  <si>
    <t>garvmark</t>
  </si>
  <si>
    <t>glortadu</t>
  </si>
  <si>
    <t>joycamaa</t>
  </si>
  <si>
    <t>ambirlau</t>
  </si>
  <si>
    <t>maapolot</t>
  </si>
  <si>
    <t>0233427</t>
  </si>
  <si>
    <t>kerneose</t>
  </si>
  <si>
    <t>gakyeaop</t>
  </si>
  <si>
    <t>samoluwa</t>
  </si>
  <si>
    <t>ellvicen</t>
  </si>
  <si>
    <t>wendpoku</t>
  </si>
  <si>
    <t>Zambian</t>
  </si>
  <si>
    <t>amkkamar</t>
  </si>
  <si>
    <t>mambbfra</t>
  </si>
  <si>
    <t>bwalhell</t>
  </si>
  <si>
    <t>opariyar</t>
  </si>
  <si>
    <t>sahajame</t>
  </si>
  <si>
    <t>jfsheila</t>
  </si>
  <si>
    <t>conteeun</t>
  </si>
  <si>
    <t>nyazacha</t>
  </si>
  <si>
    <t>TANAKA LESLIE NYAMVURA</t>
  </si>
  <si>
    <t>BENEDICTA ESI RAMSON</t>
  </si>
  <si>
    <t>EMMANUEL MBAZIIRA</t>
  </si>
  <si>
    <t>ALORO ALEX</t>
  </si>
  <si>
    <t>KALIBBALA BRIAN</t>
  </si>
  <si>
    <t>SANDE BENJAMIN</t>
  </si>
  <si>
    <t>KISOLO JOHN</t>
  </si>
  <si>
    <t>KISOLO KEZIRON ISAAC</t>
  </si>
  <si>
    <t>KIBUUKA JAMES</t>
  </si>
  <si>
    <t>SSEMUGAGGA CHARLES</t>
  </si>
  <si>
    <t>KALULE RASHID</t>
  </si>
  <si>
    <t>ATEGEKA FREDRICK</t>
  </si>
  <si>
    <t>NGABIRANO FRED</t>
  </si>
  <si>
    <t>AL FALAH ST</t>
  </si>
  <si>
    <t xml:space="preserve">567513028    </t>
  </si>
  <si>
    <t xml:space="preserve">567845128    </t>
  </si>
  <si>
    <t xml:space="preserve">567542967    </t>
  </si>
  <si>
    <t xml:space="preserve">567897380    </t>
  </si>
  <si>
    <t xml:space="preserve">567635082    </t>
  </si>
  <si>
    <t xml:space="preserve">568766889    </t>
  </si>
  <si>
    <t xml:space="preserve">567087872    </t>
  </si>
  <si>
    <t xml:space="preserve">567440015    </t>
  </si>
  <si>
    <t xml:space="preserve">567755698    </t>
  </si>
  <si>
    <t xml:space="preserve">566766947    </t>
  </si>
  <si>
    <t xml:space="preserve">tanakanyamvura45@gmail.com </t>
  </si>
  <si>
    <t xml:space="preserve">benedictaesiramson@gmail.com </t>
  </si>
  <si>
    <t xml:space="preserve">emmanuelmbaziira240@gmail.com </t>
  </si>
  <si>
    <t>aloroalex53@gmail.com</t>
  </si>
  <si>
    <t>kalibbalabraim@gmail.com</t>
  </si>
  <si>
    <t>sandebenjamin634@gmail.com</t>
  </si>
  <si>
    <t>kjohn3650@gmail.com</t>
  </si>
  <si>
    <t>ninedotes@gmail.com</t>
  </si>
  <si>
    <t>jameskibuuka001@gmail.com</t>
  </si>
  <si>
    <t>ssemuggacharles049@gmail.com</t>
  </si>
  <si>
    <t>kalulerashid041@gmail.com</t>
  </si>
  <si>
    <t>ategeka29@gmail.com</t>
  </si>
  <si>
    <t>ngabiranofred62@gmail.com</t>
  </si>
  <si>
    <t>GHANA</t>
  </si>
  <si>
    <t xml:space="preserve">UGANDA </t>
  </si>
  <si>
    <t>lestanak</t>
  </si>
  <si>
    <t>esiraben</t>
  </si>
  <si>
    <t>embaziir</t>
  </si>
  <si>
    <t>ialoalex</t>
  </si>
  <si>
    <t>brikalib</t>
  </si>
  <si>
    <t>sabenjau</t>
  </si>
  <si>
    <t>jokisolo</t>
  </si>
  <si>
    <t>kezirkis</t>
  </si>
  <si>
    <t>kibujame</t>
  </si>
  <si>
    <t>ssecharl</t>
  </si>
  <si>
    <t>raskkalu</t>
  </si>
  <si>
    <t>ategefre</t>
  </si>
  <si>
    <t>dngafred</t>
  </si>
  <si>
    <t>kemeelij</t>
  </si>
  <si>
    <t>ijameasa</t>
  </si>
  <si>
    <t>ELIJAH KEMEI</t>
  </si>
  <si>
    <t>ASABA JAMES</t>
  </si>
  <si>
    <t>MARTINE MUDIMI WONIALA</t>
  </si>
  <si>
    <t>HADIJA MOHAMMED</t>
  </si>
  <si>
    <t>jeniffer wanjiku</t>
  </si>
  <si>
    <t>ADOMBILLA AWINIMI</t>
  </si>
  <si>
    <t>MILLICENT BOADI</t>
  </si>
  <si>
    <t>JELSY CHEPKOGEY</t>
  </si>
  <si>
    <t>ESTHER MUMBE NZOMO</t>
  </si>
  <si>
    <t>PINHAS MUHUTHIA</t>
  </si>
  <si>
    <t>KIWEESI IAN</t>
  </si>
  <si>
    <t>MUHIMBISE JACKSON</t>
  </si>
  <si>
    <t>marimudi</t>
  </si>
  <si>
    <t>kunorahk</t>
  </si>
  <si>
    <t>modhadij</t>
  </si>
  <si>
    <t>jgichuhi</t>
  </si>
  <si>
    <t>adombill</t>
  </si>
  <si>
    <t>milldboa</t>
  </si>
  <si>
    <t>chepkoge</t>
  </si>
  <si>
    <t>nestherm</t>
  </si>
  <si>
    <t>muhpinha</t>
  </si>
  <si>
    <t>iankiwee</t>
  </si>
  <si>
    <t>muhimbis</t>
  </si>
  <si>
    <t>kisegerwaedwand75@gmail.com</t>
  </si>
  <si>
    <t>mudimijoneswonial@gmail.com</t>
  </si>
  <si>
    <t>norahkuludhi@gmail.com</t>
  </si>
  <si>
    <t>mhadija154@gmail.com</t>
  </si>
  <si>
    <t>elijahkemeikoech@gmail.com</t>
  </si>
  <si>
    <t>jeniffergichuhi89@gmail.com</t>
  </si>
  <si>
    <t>samuelazumahazotwini@gmail.com</t>
  </si>
  <si>
    <t>missybruce3@gmail.com</t>
  </si>
  <si>
    <t>jelsychepkogey94@gmail.com</t>
  </si>
  <si>
    <t>esthernzomo701@gmail.com</t>
  </si>
  <si>
    <t>pinhasgithaga@gmail.com</t>
  </si>
  <si>
    <t>ruhamyajames1@gmail.com</t>
  </si>
  <si>
    <t>iankiweesi13@gmail.com</t>
  </si>
  <si>
    <t>jacksonmuhimbise416@gmail.com</t>
  </si>
  <si>
    <t>nsaluall</t>
  </si>
  <si>
    <t xml:space="preserve">SALUDO DIMAFELIX,ALLYZA ASHLEY </t>
  </si>
  <si>
    <t>allyzaashleyd@gmail.com</t>
  </si>
  <si>
    <t>ssegilbe</t>
  </si>
  <si>
    <t>andebayi</t>
  </si>
  <si>
    <t>adebugar</t>
  </si>
  <si>
    <t>tadekizi</t>
  </si>
  <si>
    <t>kasobfra</t>
  </si>
  <si>
    <t>keizokre</t>
  </si>
  <si>
    <t>isandyam</t>
  </si>
  <si>
    <t>Gilbert Ssembogga</t>
  </si>
  <si>
    <t>Bayingana Anderson</t>
  </si>
  <si>
    <t>Rahumata Adebuga</t>
  </si>
  <si>
    <t>Tadeo Kizito</t>
  </si>
  <si>
    <t>Francis Kasobya</t>
  </si>
  <si>
    <t>Reuben Keizo Kisembo</t>
  </si>
  <si>
    <t>Isaac ndyamuhaki</t>
  </si>
  <si>
    <t>hakimssemboga@gmail.com</t>
  </si>
  <si>
    <t>bayinganaanderson@gmail.com</t>
  </si>
  <si>
    <t>tymata2000@gmail.com</t>
  </si>
  <si>
    <t>lilk122756@gmail.com</t>
  </si>
  <si>
    <t>buqembefrincis32@gmail.com</t>
  </si>
  <si>
    <t>kimkeizo121@gmail.com</t>
  </si>
  <si>
    <t>isaacndyanuhaki@gmail.com</t>
  </si>
  <si>
    <t>Tumusiime Frank</t>
  </si>
  <si>
    <t>franktumusiime12@gmail.com</t>
  </si>
  <si>
    <t>nabasaeriah@gmail.com</t>
  </si>
  <si>
    <t>andrewkasagga8@mail.com</t>
  </si>
  <si>
    <t>nabaeria</t>
  </si>
  <si>
    <t>tamawand</t>
  </si>
  <si>
    <t>tumufran</t>
  </si>
  <si>
    <t>March</t>
  </si>
  <si>
    <t>August</t>
  </si>
  <si>
    <t>January</t>
  </si>
  <si>
    <t>November</t>
  </si>
  <si>
    <t>September</t>
  </si>
  <si>
    <t>February</t>
  </si>
  <si>
    <t>June</t>
  </si>
  <si>
    <t>3XL</t>
  </si>
  <si>
    <t>July</t>
  </si>
  <si>
    <t>October</t>
  </si>
  <si>
    <t>April</t>
  </si>
  <si>
    <t>2XL</t>
  </si>
  <si>
    <t>December</t>
  </si>
  <si>
    <t>abanebar</t>
  </si>
  <si>
    <t>ABAHO,NEBART</t>
  </si>
  <si>
    <t>kasasabd</t>
  </si>
  <si>
    <t>ABDUL,KASASA</t>
  </si>
  <si>
    <t>katojavi</t>
  </si>
  <si>
    <t>JAVIIRA,KATO</t>
  </si>
  <si>
    <t>muwofaha</t>
  </si>
  <si>
    <t>MUWONGE,FAHAD</t>
  </si>
  <si>
    <t>huslssen</t>
  </si>
  <si>
    <t>SSENYONGA,HUSAMA</t>
  </si>
  <si>
    <t>twinamas</t>
  </si>
  <si>
    <t>TWINAMASIKO,COLLINS</t>
  </si>
  <si>
    <t>Muhangi Rodgers</t>
  </si>
  <si>
    <t>Justus Wasswa Kakulu</t>
  </si>
  <si>
    <t>Joel Bubolo</t>
  </si>
  <si>
    <t>Ayubu Mukama</t>
  </si>
  <si>
    <t>William Kadumbula</t>
  </si>
  <si>
    <t>James Asiimwe</t>
  </si>
  <si>
    <t>Ibrahim Atuhairwe</t>
  </si>
  <si>
    <t>Akankwatsa Brian</t>
  </si>
  <si>
    <t>Mubiru Rajeshi</t>
  </si>
  <si>
    <t>Fred Bakisula</t>
  </si>
  <si>
    <t>Ashiraf Abu</t>
  </si>
  <si>
    <t>Muhammad Kinobe</t>
  </si>
  <si>
    <t>Non- Critical</t>
  </si>
  <si>
    <t>Dulsco Al Razeen Camp Abu Dubai</t>
  </si>
  <si>
    <t xml:space="preserve">567787064    </t>
  </si>
  <si>
    <t xml:space="preserve">505448042    </t>
  </si>
  <si>
    <t xml:space="preserve">567476930    </t>
  </si>
  <si>
    <t xml:space="preserve">509072629    </t>
  </si>
  <si>
    <t xml:space="preserve">574078591    </t>
  </si>
  <si>
    <t>rodgers@gmail.com</t>
  </si>
  <si>
    <t>justuswassawa@gmail.com</t>
  </si>
  <si>
    <t>kayembjoel86@gmail.com</t>
  </si>
  <si>
    <t>nyanyade3@gmail.com</t>
  </si>
  <si>
    <t>wkadumbula@gmail.com</t>
  </si>
  <si>
    <t>asiimwet972@gmail.com</t>
  </si>
  <si>
    <t>atupilly18@gmail.com</t>
  </si>
  <si>
    <t>brainakankwatsa687@gmail.com</t>
  </si>
  <si>
    <t>nakasindeyuduya267@gmail.com</t>
  </si>
  <si>
    <t>bakshamer10@gmail.com</t>
  </si>
  <si>
    <t>ashirafabu@gmail.com</t>
  </si>
  <si>
    <t>kinobemuhammad@gmail.com</t>
  </si>
  <si>
    <t>muhanrod</t>
  </si>
  <si>
    <t>wasjustu</t>
  </si>
  <si>
    <t>jobubolo</t>
  </si>
  <si>
    <t>mukamaay</t>
  </si>
  <si>
    <t>kadumbul</t>
  </si>
  <si>
    <t>asiimwja</t>
  </si>
  <si>
    <t>ibratuha</t>
  </si>
  <si>
    <t>akanbria</t>
  </si>
  <si>
    <t>mubirura</t>
  </si>
  <si>
    <t>bakisurf</t>
  </si>
  <si>
    <t>ashiraab</t>
  </si>
  <si>
    <t>imkinobe</t>
  </si>
  <si>
    <t>Katyal,Varun</t>
  </si>
  <si>
    <t>Mishra,Aman</t>
  </si>
  <si>
    <t>gismaiki</t>
  </si>
  <si>
    <t>Ismail Kiweewa</t>
  </si>
  <si>
    <t>davawaya</t>
  </si>
  <si>
    <t>Davis Wayabira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</si>
  <si>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</si>
  <si>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</si>
  <si>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</si>
  <si>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</si>
  <si>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</si>
  <si>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</si>
  <si>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</si>
  <si>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</si>
  <si>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 xml:space="preserve">555538344    </t>
  </si>
  <si>
    <t>ismailoubaya@gmail.com</t>
  </si>
  <si>
    <t xml:space="preserve">5670686181    </t>
  </si>
  <si>
    <t>d3198825@gmail.com</t>
  </si>
  <si>
    <t xml:space="preserve">5276691486    </t>
  </si>
  <si>
    <t>btugume59@gmail.com</t>
  </si>
  <si>
    <t xml:space="preserve">567565677    </t>
  </si>
  <si>
    <t>tuasiirweemmanuel4@gmail.com</t>
  </si>
  <si>
    <t xml:space="preserve">567887021    </t>
  </si>
  <si>
    <t>mkizza9@gmail.com</t>
  </si>
  <si>
    <t xml:space="preserve">508711467    </t>
  </si>
  <si>
    <t>nasoziaido10@gmail.com</t>
  </si>
  <si>
    <t>GLORIA QUANSAH</t>
  </si>
  <si>
    <t>JOSEPHINE NKUMBU CHI</t>
  </si>
  <si>
    <t>globquan</t>
  </si>
  <si>
    <t>knkumbuj</t>
  </si>
  <si>
    <t>CYRIL DELA AMAVIE</t>
  </si>
  <si>
    <t>bbenjowu</t>
  </si>
  <si>
    <t>mnengnfl</t>
  </si>
  <si>
    <t>FLAVIN NENG NKHAN</t>
  </si>
  <si>
    <t>artigawi</t>
  </si>
  <si>
    <t>WISDOM ARTIGAH</t>
  </si>
  <si>
    <t>DUFIE MARY</t>
  </si>
  <si>
    <t>MAIVA TSAGUE DONFACK EPSE NDONGO</t>
  </si>
  <si>
    <t>SANDRA AHIAKOR</t>
  </si>
  <si>
    <t>MAGDALENE NYARKOA ASANT</t>
  </si>
  <si>
    <t>FERAND WERENGA AMANG</t>
  </si>
  <si>
    <t>HERMAN KIBUUKA</t>
  </si>
  <si>
    <t>SAMUEL KASSAH</t>
  </si>
  <si>
    <t>SULAH LUBWAMA</t>
  </si>
  <si>
    <t>ELIJAH MUKISA WABWIRE</t>
  </si>
  <si>
    <t>RICHARD TURYASINGURA</t>
  </si>
  <si>
    <t>momatovu</t>
  </si>
  <si>
    <t>MATOVUMOHAMMAD</t>
  </si>
  <si>
    <t>LUWUNGE JAMES</t>
  </si>
  <si>
    <t>BOGERE ABDU</t>
  </si>
  <si>
    <t>HUSSEIN OBANDYO</t>
  </si>
  <si>
    <t>NAJJIBU SHARRIFU</t>
  </si>
  <si>
    <t>OKELLO FRED</t>
  </si>
  <si>
    <t>KAYIRA MOSES</t>
  </si>
  <si>
    <t>KAZIBWA SIRAGI</t>
  </si>
  <si>
    <t>DOUGLAS ALEXANDA BIYUNGU</t>
  </si>
  <si>
    <t>MISUSERA DAVID LUBWAMA</t>
  </si>
  <si>
    <t>MUGENYI RAYMOND</t>
  </si>
  <si>
    <t>GUMOSHABE JONAN</t>
  </si>
  <si>
    <t>SALIMU MUGWANA</t>
  </si>
  <si>
    <t>xaijueli</t>
  </si>
  <si>
    <t xml:space="preserve">AIJUKA ELIYA </t>
  </si>
  <si>
    <t>zkasabda</t>
  </si>
  <si>
    <t xml:space="preserve">ABDALLAH KASSIM </t>
  </si>
  <si>
    <t>ASANTIANO MICHAEL MWANGULE</t>
  </si>
  <si>
    <t>AFIDHU SWAMADU RAMADHANI</t>
  </si>
  <si>
    <t>EMMANUEL JOSEPH KALEMBO</t>
  </si>
  <si>
    <t>HAMISI FUNDI MUSSA</t>
  </si>
  <si>
    <t>bakabdal</t>
  </si>
  <si>
    <t>ABDALLAH ABDALLAH ISSA</t>
  </si>
  <si>
    <t>RAKIB ZINGIRA</t>
  </si>
  <si>
    <t>ALLAN DDUMBA SSENTAMU</t>
  </si>
  <si>
    <t>ASHIRAF KIYIMBA</t>
  </si>
  <si>
    <t>FRED BAKUNDANA</t>
  </si>
  <si>
    <t>jkaboggo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</si>
  <si>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</si>
  <si>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</si>
  <si>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</si>
  <si>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</si>
  <si>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</si>
  <si>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</si>
  <si>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</si>
  <si>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</si>
  <si>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</si>
  <si>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QuessCorp</t>
  </si>
  <si>
    <t>mtsagued</t>
  </si>
  <si>
    <t>ahiakosa</t>
  </si>
  <si>
    <t>magdanya</t>
  </si>
  <si>
    <t>ferawerk</t>
  </si>
  <si>
    <t>hekibuuk</t>
  </si>
  <si>
    <t>samukasz</t>
  </si>
  <si>
    <t>lubsulah</t>
  </si>
  <si>
    <t>elimukis</t>
  </si>
  <si>
    <t>turyaric</t>
  </si>
  <si>
    <t>zluwunge</t>
  </si>
  <si>
    <t>bogerabd</t>
  </si>
  <si>
    <t>obanhuss</t>
  </si>
  <si>
    <t>sharrifn</t>
  </si>
  <si>
    <t>freokelc</t>
  </si>
  <si>
    <t>kayimose</t>
  </si>
  <si>
    <t>kazibwas</t>
  </si>
  <si>
    <t>douglalx</t>
  </si>
  <si>
    <t>damisuse</t>
  </si>
  <si>
    <t>ramugeny</t>
  </si>
  <si>
    <t>gumoshab</t>
  </si>
  <si>
    <t>mugwanas</t>
  </si>
  <si>
    <t>asantimb</t>
  </si>
  <si>
    <t>ramaafid</t>
  </si>
  <si>
    <t>emmanajo</t>
  </si>
  <si>
    <t>xfunhami</t>
  </si>
  <si>
    <t>zinrakib</t>
  </si>
  <si>
    <t>ddumalla</t>
  </si>
  <si>
    <t>kiyimash</t>
  </si>
  <si>
    <t>afrbakun</t>
  </si>
  <si>
    <t>maivatasgue1@gmail.com</t>
  </si>
  <si>
    <t>sandraahiakor229@gmail.com</t>
  </si>
  <si>
    <t>manenyarkoaasante@gmail.com</t>
  </si>
  <si>
    <t>ferandamang45@gmail.com</t>
  </si>
  <si>
    <t>kibuukahermanz442@gmail.com</t>
  </si>
  <si>
    <t>samuelkassah@gmail.com</t>
  </si>
  <si>
    <t>lubwamasulah93@gmail.com</t>
  </si>
  <si>
    <t>emukisa191@gmail.com</t>
  </si>
  <si>
    <t>turyasiwgura@gmail.com</t>
  </si>
  <si>
    <t>beyondjhesocus628@gmail.com</t>
  </si>
  <si>
    <t>luwungejames@gmail.com</t>
  </si>
  <si>
    <t>bogereabdulk@gmail.com</t>
  </si>
  <si>
    <t>www.obandyo27@gmail.com</t>
  </si>
  <si>
    <t>sharifnajib16@gmail.com</t>
  </si>
  <si>
    <t>yonixdon3@gmail.com</t>
  </si>
  <si>
    <t>kayiirah80@gmail.com</t>
  </si>
  <si>
    <t>ka21ba290@gmail.com</t>
  </si>
  <si>
    <t>christforallfoundationuganda@gmail.com</t>
  </si>
  <si>
    <t>davidlubwama34@gmail.com</t>
  </si>
  <si>
    <t>raymondmugenyi414@gmail.com</t>
  </si>
  <si>
    <t>johangumoshabe398@gmail.com</t>
  </si>
  <si>
    <t>mugwanasalimu@gmail.com</t>
  </si>
  <si>
    <t>astrob657@gmail.com</t>
  </si>
  <si>
    <t>kassimabdullah403@gmail.com</t>
  </si>
  <si>
    <t>asantianmichael@gmail.com</t>
  </si>
  <si>
    <t>afidhuramadhani2002@gmail.com</t>
  </si>
  <si>
    <t>emmanueljoseph@gmail.com</t>
  </si>
  <si>
    <t>hasisimussa070@gmail.com</t>
  </si>
  <si>
    <t>abduallahbakari266@gmail.com</t>
  </si>
  <si>
    <t>rakibzingira@gmail.com</t>
  </si>
  <si>
    <t>adegrof331@gmail.com</t>
  </si>
  <si>
    <t>kiyimbaashirafkinf@gmial.com</t>
  </si>
  <si>
    <t>brownfred12@gmail.com</t>
  </si>
  <si>
    <t>kaboggozajora1@gmail.com</t>
  </si>
  <si>
    <t>kaawawatrades@gmail.com</t>
  </si>
  <si>
    <t>sekito@gmail.com</t>
  </si>
  <si>
    <t>kaweesifrank52@gmail.com</t>
  </si>
  <si>
    <t>josephssekandi@gmil.com</t>
  </si>
  <si>
    <t>memudeel@yahoo.com</t>
  </si>
  <si>
    <t>Shabiya 10 Bus stop (Near Cake Gallery)</t>
  </si>
  <si>
    <t>Shabiya 12  Bus Stop (Near Malabar Gold And Diamond)</t>
  </si>
  <si>
    <t>MUSSAFAH 24</t>
  </si>
  <si>
    <t>ZIMBABWE</t>
  </si>
  <si>
    <t>TANZANIA</t>
  </si>
  <si>
    <t xml:space="preserve">9 Hours </t>
  </si>
  <si>
    <t>ALEXANDER NARTEY KUSI</t>
  </si>
  <si>
    <t>PRINCESS MELVINA YALLEY</t>
  </si>
  <si>
    <t>HENRY KOFI</t>
  </si>
  <si>
    <t>UMARUH MABIRIZI</t>
  </si>
  <si>
    <t>PASWELL GYAMFI</t>
  </si>
  <si>
    <t>GONZAGA MIKE SSEBUTINDE</t>
  </si>
  <si>
    <t>FON VALDEZ TAMSANG</t>
  </si>
  <si>
    <t>TAPIWA JURU</t>
  </si>
  <si>
    <t>FRANCIS ANIM</t>
  </si>
  <si>
    <t>FAROUK KYOBE</t>
  </si>
  <si>
    <t>KALULE GERALD</t>
  </si>
  <si>
    <t>OCHOM JOHN CHARLES</t>
  </si>
  <si>
    <t>ALPHA ATHANASIO KINYAPALA</t>
  </si>
  <si>
    <t>RedTag (Al Najda St)</t>
  </si>
  <si>
    <t>Souq Sarab (Zone D)</t>
  </si>
  <si>
    <t>Big Mart Mussafah 38</t>
  </si>
  <si>
    <t>alexerkn18@gmail.com</t>
  </si>
  <si>
    <t>pricessmelvinayalley@gmail.com</t>
  </si>
  <si>
    <t>henrydoe098@gmail.com</t>
  </si>
  <si>
    <t>umaruhmabirizi@gmail.com</t>
  </si>
  <si>
    <t>doritynbim01@gmail.com</t>
  </si>
  <si>
    <t>MmikesebutindeI@GMAIL.COM</t>
  </si>
  <si>
    <t>fonvaldez282@gmail.com</t>
  </si>
  <si>
    <t>tapiwajuru3@gmail.com</t>
  </si>
  <si>
    <t>animf1234@gmail.com</t>
  </si>
  <si>
    <t>faroukyobe729@gmail.com</t>
  </si>
  <si>
    <t>geraldjamirkalue@gmail.com</t>
  </si>
  <si>
    <t>ochomchalres05@gmail.com</t>
  </si>
  <si>
    <t>alphaathansio@gmail.com</t>
  </si>
  <si>
    <t>LIBERIA</t>
  </si>
  <si>
    <t>naralexu</t>
  </si>
  <si>
    <t>melvprin</t>
  </si>
  <si>
    <t>lkofhenr</t>
  </si>
  <si>
    <t>umarmabi</t>
  </si>
  <si>
    <t>paswellx</t>
  </si>
  <si>
    <t>gmikesse</t>
  </si>
  <si>
    <t>valdezfo</t>
  </si>
  <si>
    <t>jurutapi</t>
  </si>
  <si>
    <t>ganifran</t>
  </si>
  <si>
    <t>faroukyj</t>
  </si>
  <si>
    <t>kalugerk</t>
  </si>
  <si>
    <t>ocpjohnc</t>
  </si>
  <si>
    <t>alphaatk</t>
  </si>
  <si>
    <t>Agyemang,Samuel</t>
  </si>
  <si>
    <t>Al Raha Male camp</t>
  </si>
  <si>
    <t>Malemuhg</t>
  </si>
  <si>
    <t>CATHERINE PROMISE NAMale</t>
  </si>
  <si>
    <t>getaMale</t>
  </si>
  <si>
    <t>AUH Baniyas Female camp</t>
  </si>
  <si>
    <t>ALICE NJAMBI WANJIKU</t>
  </si>
  <si>
    <t>AUDIA JERUTO</t>
  </si>
  <si>
    <t>EVERLYNE MBULA</t>
  </si>
  <si>
    <t>FAITH JEPNGETICH NGIROIN</t>
  </si>
  <si>
    <t>FAITH JEROTICH</t>
  </si>
  <si>
    <t>FELIX MENSAH NKRUMAH</t>
  </si>
  <si>
    <t>GRASHA CHEROP</t>
  </si>
  <si>
    <t>Jane Jepkirui</t>
  </si>
  <si>
    <t>JEPCHIRCHIR VALENTINE</t>
  </si>
  <si>
    <t>JOYCE CHEROP CHERUIYOT</t>
  </si>
  <si>
    <t>MAXIMILAR JEPCHUM</t>
  </si>
  <si>
    <t>Clinton Amukhoywa</t>
  </si>
  <si>
    <t>MERCY JERUTO MIHESO</t>
  </si>
  <si>
    <t>MICHELLE MUSUNGU</t>
  </si>
  <si>
    <t>MOKA EKWALLA KWEDI</t>
  </si>
  <si>
    <t>PATRICIA ASARE</t>
  </si>
  <si>
    <t>RUTH JEMUTAI BITTOK</t>
  </si>
  <si>
    <t>RUTH JEPKERMBOI</t>
  </si>
  <si>
    <t>RUTH JEPLETING</t>
  </si>
  <si>
    <t>SANDRA NAMARA</t>
  </si>
  <si>
    <t>Sharon Jepkemboi</t>
  </si>
  <si>
    <t>STELLAH JEROP</t>
  </si>
  <si>
    <t>SYLYN CHEROP KITUR</t>
  </si>
  <si>
    <t>Fullera Issaka</t>
  </si>
  <si>
    <t xml:space="preserve">Grace Kaaley Commey </t>
  </si>
  <si>
    <t>Al Quoz female camp</t>
  </si>
  <si>
    <t>GreenHub</t>
  </si>
  <si>
    <t>971 585625243</t>
  </si>
  <si>
    <t>254 768686993</t>
  </si>
  <si>
    <t>254 797446610</t>
  </si>
  <si>
    <t>254 110457768</t>
  </si>
  <si>
    <t>917 509947973</t>
  </si>
  <si>
    <t>971 523820969</t>
  </si>
  <si>
    <t>917 505144738</t>
  </si>
  <si>
    <t>971 503211598</t>
  </si>
  <si>
    <t>971 569619076</t>
  </si>
  <si>
    <t>254 757025801</t>
  </si>
  <si>
    <t>917 588536596</t>
  </si>
  <si>
    <t>971 506958467</t>
  </si>
  <si>
    <t>971 523992677</t>
  </si>
  <si>
    <t>971 582071064</t>
  </si>
  <si>
    <t>254 796185159</t>
  </si>
  <si>
    <t>254 754040805</t>
  </si>
  <si>
    <t>254 715000000</t>
  </si>
  <si>
    <t>njambialicel16@gmail.com</t>
  </si>
  <si>
    <t>jerutoaudia@gmail.com</t>
  </si>
  <si>
    <t>everlynfavour</t>
  </si>
  <si>
    <t>faithngiroin@gmail.com</t>
  </si>
  <si>
    <t>faithjerotich881@gmail.com</t>
  </si>
  <si>
    <t>fnkumah380gmail.com</t>
  </si>
  <si>
    <t>jenjepkirui@gmail.com</t>
  </si>
  <si>
    <t>valchiri63@gmail.com</t>
  </si>
  <si>
    <t>maximillarjepchumba</t>
  </si>
  <si>
    <t>mjeruto19@gmail.com</t>
  </si>
  <si>
    <t>michellemusungu@gmail.com</t>
  </si>
  <si>
    <t>mokacharles50@gmail.com</t>
  </si>
  <si>
    <t>asarepatricia677@gmail.com</t>
  </si>
  <si>
    <t>rbittok95@gmail.com</t>
  </si>
  <si>
    <t>jepkemboiruth003@gmail.com</t>
  </si>
  <si>
    <t>jepletingr140@gmail.com</t>
  </si>
  <si>
    <t>sharonjepkemboi63@gmail.com</t>
  </si>
  <si>
    <t>Cameron</t>
  </si>
  <si>
    <t>jepchval</t>
  </si>
  <si>
    <t>micmusun</t>
  </si>
  <si>
    <t>bmaximki</t>
  </si>
  <si>
    <t>alicewan</t>
  </si>
  <si>
    <t>jerutaum</t>
  </si>
  <si>
    <t>evermbul</t>
  </si>
  <si>
    <t>faitdngi</t>
  </si>
  <si>
    <t>jerodfai</t>
  </si>
  <si>
    <t>nkrfelix</t>
  </si>
  <si>
    <t>cheropeg</t>
  </si>
  <si>
    <t>jepkirja</t>
  </si>
  <si>
    <t>chjoycec</t>
  </si>
  <si>
    <t>amukclin</t>
  </si>
  <si>
    <t>memiheso</t>
  </si>
  <si>
    <t>mokkwedh</t>
  </si>
  <si>
    <t>asarpate</t>
  </si>
  <si>
    <t>bittorut</t>
  </si>
  <si>
    <t>rutjepke</t>
  </si>
  <si>
    <t>jeplerut</t>
  </si>
  <si>
    <t>sandrnam</t>
  </si>
  <si>
    <t>jepsharo</t>
  </si>
  <si>
    <t>jerstelt</t>
  </si>
  <si>
    <t>ikitusyl</t>
  </si>
  <si>
    <t>fuissaka</t>
  </si>
  <si>
    <t>commeygs</t>
  </si>
  <si>
    <t>Muhammad Narshad</t>
  </si>
  <si>
    <t>niwjames</t>
  </si>
  <si>
    <t>sserusro</t>
  </si>
  <si>
    <t>muzamirm</t>
  </si>
  <si>
    <t>mugerwsi</t>
  </si>
  <si>
    <t>kivuanto</t>
  </si>
  <si>
    <t>frmayeng</t>
  </si>
  <si>
    <t>habertmu</t>
  </si>
  <si>
    <t>yamikani</t>
  </si>
  <si>
    <t>tchilemb</t>
  </si>
  <si>
    <t>blewyson</t>
  </si>
  <si>
    <t>winthala</t>
  </si>
  <si>
    <t>lngongch</t>
  </si>
  <si>
    <t>echubobo</t>
  </si>
  <si>
    <t>batefrid</t>
  </si>
  <si>
    <t>eliasabu</t>
  </si>
  <si>
    <t>wilfwood</t>
  </si>
  <si>
    <t>gideboak</t>
  </si>
  <si>
    <t>sselugya</t>
  </si>
  <si>
    <t>vwillgeo</t>
  </si>
  <si>
    <t>nbashali</t>
  </si>
  <si>
    <t>banjatab</t>
  </si>
  <si>
    <t>JAMES NIWARINDA</t>
  </si>
  <si>
    <t>RONALD SSERUKEERA</t>
  </si>
  <si>
    <t>MUZAMIRU MWANJE</t>
  </si>
  <si>
    <t>SIMON MUGERWA</t>
  </si>
  <si>
    <t>ANTONY KAVNUNBI LUTAAYA</t>
  </si>
  <si>
    <t>FRANK MAYENGO</t>
  </si>
  <si>
    <t>HABERT MUHINDO</t>
  </si>
  <si>
    <t>YAMIKANI CHRIS KAYUNI</t>
  </si>
  <si>
    <t>JOSEPH CHILEMBA</t>
  </si>
  <si>
    <t>WYSON BLESSINGS MULINGA</t>
  </si>
  <si>
    <t>WILLIAM NTHALA</t>
  </si>
  <si>
    <t>LEONARD NGONG CHACK</t>
  </si>
  <si>
    <t>BORIS ECHUBOU NANA</t>
  </si>
  <si>
    <t>FRIDA BATE ENOW</t>
  </si>
  <si>
    <t>GIDEON WANJALA WEYAULA</t>
  </si>
  <si>
    <t>GIDEON BOAKYE ABABIO</t>
  </si>
  <si>
    <t>SADAT SSELUGYA</t>
  </si>
  <si>
    <t>GEORGE WILLIAM SSEBUMPENJE</t>
  </si>
  <si>
    <t>ALI BASHIR KASAGA</t>
  </si>
  <si>
    <t>BANJATA B JAH</t>
  </si>
  <si>
    <t>Shabiya 11 Bus Stop ( Al Sultan Bakeries)</t>
  </si>
  <si>
    <t>MALAWI</t>
  </si>
  <si>
    <t>niwarmiru.00@gmail.com</t>
  </si>
  <si>
    <t>rolnadsserukeera39@gmail.com</t>
  </si>
  <si>
    <t>muzarmiru.99@gmail.com</t>
  </si>
  <si>
    <t>simormiru.00@gmail.com</t>
  </si>
  <si>
    <t>antonykivumbi@gmail.com</t>
  </si>
  <si>
    <t>mayengofrank2@gmail.com</t>
  </si>
  <si>
    <t>habertmuhindo955@gmail.com</t>
  </si>
  <si>
    <t>yamirmiru.99@gmail.com</t>
  </si>
  <si>
    <t>josermiru.99@gmail.com</t>
  </si>
  <si>
    <t>wysormiru.99@gmail.com</t>
  </si>
  <si>
    <t>willrmiru.99@gmail.com</t>
  </si>
  <si>
    <t>ngongleonard7@gmail.com</t>
  </si>
  <si>
    <t>gideonababio97@gmail.com</t>
  </si>
  <si>
    <t>sadatsselugya73@gmail.com</t>
  </si>
  <si>
    <t>princegeorgekagim@gmail.com</t>
  </si>
  <si>
    <t>banjatajah@gmail.com</t>
  </si>
  <si>
    <t>Emmanuel Kamalizeni</t>
  </si>
  <si>
    <t>Vincent Amati</t>
  </si>
  <si>
    <t>Derrick Kabuye</t>
  </si>
  <si>
    <t>Francis Afema</t>
  </si>
  <si>
    <t>Quraish Ssematimba</t>
  </si>
  <si>
    <t>Henry Kahunde</t>
  </si>
  <si>
    <t>Buggo Lawrence</t>
  </si>
  <si>
    <t>VINCENT.AMATI45@GMIAL.COM</t>
  </si>
  <si>
    <t>DERRICK.KABUYE@GMIAL.COM</t>
  </si>
  <si>
    <t>FRANCIS.AFEMA@GMIAL.COM</t>
  </si>
  <si>
    <t>QURAISH.SSEMATIMBA@GMIAL.COM</t>
  </si>
  <si>
    <t>HENRY.KAHUNDE@GMIAL.COM</t>
  </si>
  <si>
    <t>BUGGO.LAWRENCE0@GMIAL.COM</t>
  </si>
  <si>
    <t>LifeLineHospital(ElectraStr-MuroorRd)</t>
  </si>
  <si>
    <t>DulscoICAD-1BusStop</t>
  </si>
  <si>
    <t>AlSalamaHospital(TouristClubArea)</t>
  </si>
  <si>
    <t>0505911814/233545122316</t>
  </si>
  <si>
    <t>AHMEDRASHIDABDI</t>
  </si>
  <si>
    <t>AlRahaMalecamp</t>
  </si>
  <si>
    <t>ShinningTower(Khalidiyah)</t>
  </si>
  <si>
    <t>Ajeem,Syed</t>
  </si>
  <si>
    <t>AlHaliaHospital(HamdanStr)</t>
  </si>
  <si>
    <t>AlecTilowakuti</t>
  </si>
  <si>
    <t>FilliCafé(AirPortRd)</t>
  </si>
  <si>
    <t>SierraLeone</t>
  </si>
  <si>
    <t>AmbiliaRop</t>
  </si>
  <si>
    <t>SierraLeonean</t>
  </si>
  <si>
    <t>AscaJemutai</t>
  </si>
  <si>
    <t>AbuDhabiMall(TouristClubArea)</t>
  </si>
  <si>
    <t>BRENDANYIRENDASINGINI</t>
  </si>
  <si>
    <t>BrendaRubaya</t>
  </si>
  <si>
    <t>BrightBonah</t>
  </si>
  <si>
    <t>BRIGHTONTAWUYANARGWO</t>
  </si>
  <si>
    <t>CHARLESOKRAH</t>
  </si>
  <si>
    <t>CHARLESOSEI-POKU</t>
  </si>
  <si>
    <t>ChristianaYamigmahSampana</t>
  </si>
  <si>
    <t>CongratesMoforkengNdanze</t>
  </si>
  <si>
    <t>CosmaNgabirano</t>
  </si>
  <si>
    <t>DanielBoahen</t>
  </si>
  <si>
    <t>DanielKwekuTamah</t>
  </si>
  <si>
    <t>DanielOwusu</t>
  </si>
  <si>
    <t>DanielTeye-KwasiAngmortey</t>
  </si>
  <si>
    <t>DerickLacapDayrit</t>
  </si>
  <si>
    <t>DhakshinamoorthySundaramoorthy</t>
  </si>
  <si>
    <t>EliasKaduwa</t>
  </si>
  <si>
    <t>EmmanuelBrobbey</t>
  </si>
  <si>
    <t>EmmanuelFofie</t>
  </si>
  <si>
    <t>EmmanuelGyamfiOpoku</t>
  </si>
  <si>
    <t>EmmanuelMensah</t>
  </si>
  <si>
    <t>EmmanuelObaseEkweni</t>
  </si>
  <si>
    <t>EnockAsante</t>
  </si>
  <si>
    <t>EricAmengor</t>
  </si>
  <si>
    <t>EricYawBruku</t>
  </si>
  <si>
    <t>EsmailaChambanAwawou</t>
  </si>
  <si>
    <t>EVELYNOWUSUAMENSAH</t>
  </si>
  <si>
    <t>EverlyneMills</t>
  </si>
  <si>
    <t>AbuDhabiCo-operativeSociety(COOP)KhalidiyahElectraRoad</t>
  </si>
  <si>
    <t>FaithChepkosgei</t>
  </si>
  <si>
    <t>FrancisMambwe</t>
  </si>
  <si>
    <t>FrancisOkai</t>
  </si>
  <si>
    <t>GeorginaAsiamah</t>
  </si>
  <si>
    <t>GERALDMUBIRU</t>
  </si>
  <si>
    <t>553819641‬</t>
  </si>
  <si>
    <t>GideonAlusineMannah</t>
  </si>
  <si>
    <t>AbuDhabiCentralBusStation(oppositeGrandMillenniumHotel&amp;InfrontofBankofAfrica)</t>
  </si>
  <si>
    <t>GloryAkumawah</t>
  </si>
  <si>
    <t>GoodluckEugenShiyo</t>
  </si>
  <si>
    <t>GraceManjengwa</t>
  </si>
  <si>
    <t>HARICKDANSO</t>
  </si>
  <si>
    <t>Baniyascamp</t>
  </si>
  <si>
    <t>HishamhashimHashimonEssaKutty</t>
  </si>
  <si>
    <t>IbrahimAConteh</t>
  </si>
  <si>
    <t>JACOBELAGYARE</t>
  </si>
  <si>
    <t>JafarAbdallah</t>
  </si>
  <si>
    <t>Janewanguiwambui</t>
  </si>
  <si>
    <t>JaneWanjikuMwiiro</t>
  </si>
  <si>
    <t>JaypeeLopez</t>
  </si>
  <si>
    <t>BankofBaroda(HamdanStr)</t>
  </si>
  <si>
    <t>JISHNUKIDANGAYATHBALAKRISHNAN</t>
  </si>
  <si>
    <t>JoanaAliceAgyekum</t>
  </si>
  <si>
    <t>JohnNdung'UMwaura</t>
  </si>
  <si>
    <t>Johnngerekiarie</t>
  </si>
  <si>
    <t>JohnpaulJeckinzKarugaba</t>
  </si>
  <si>
    <t>JonnathanOseiTutu</t>
  </si>
  <si>
    <t>JosephGanaDohmovat</t>
  </si>
  <si>
    <t>JOSEPHOBLIEANANG</t>
  </si>
  <si>
    <t>JosephOsei</t>
  </si>
  <si>
    <t>JulietNanyombi</t>
  </si>
  <si>
    <t>JulietOkyere</t>
  </si>
  <si>
    <t>Kamhuru,SharonShingirirai</t>
  </si>
  <si>
    <t>KATETWENEWAA</t>
  </si>
  <si>
    <t>KYEMSTEPHENEBENEZER</t>
  </si>
  <si>
    <t>LamissiAbatala</t>
  </si>
  <si>
    <t>LeeyntengMarienette</t>
  </si>
  <si>
    <t>LeonardKofie</t>
  </si>
  <si>
    <t>LillianNanziri</t>
  </si>
  <si>
    <t>LindaSallyAbit</t>
  </si>
  <si>
    <t>LloydQuaye</t>
  </si>
  <si>
    <t>LydiaWangari</t>
  </si>
  <si>
    <t>MAMUDUKASSIM</t>
  </si>
  <si>
    <t>MARIONCONTEH</t>
  </si>
  <si>
    <t>Marionconteh143@gmail.com</t>
  </si>
  <si>
    <t>MARTINAGABA</t>
  </si>
  <si>
    <t>MARTINMWANGU</t>
  </si>
  <si>
    <t>MaryEssumang</t>
  </si>
  <si>
    <t>MaryNamutebi</t>
  </si>
  <si>
    <t>MawandaAndrewKasagga</t>
  </si>
  <si>
    <t>DulscoCamp</t>
  </si>
  <si>
    <t>MkasiMwalimuAbedi</t>
  </si>
  <si>
    <t>MuhammadAdil</t>
  </si>
  <si>
    <t>MUHAMMEDKIWANUKAMale</t>
  </si>
  <si>
    <t>MuhammedPurakkal</t>
  </si>
  <si>
    <t>MusaNkataMwebe</t>
  </si>
  <si>
    <t>NabasaEriah</t>
  </si>
  <si>
    <t>NaserianNaiponiMurdaa</t>
  </si>
  <si>
    <t>NdutuMbellaGilbert</t>
  </si>
  <si>
    <t>NELSONNDIMAKO</t>
  </si>
  <si>
    <t>NOAHADARKWAH</t>
  </si>
  <si>
    <t>NOAHNYASHABUNU</t>
  </si>
  <si>
    <t>NoemiTongoPosas</t>
  </si>
  <si>
    <t>NureniSalifu</t>
  </si>
  <si>
    <t>OnacisBrew</t>
  </si>
  <si>
    <t>PeterMwakuniChikodza</t>
  </si>
  <si>
    <t>PeterNti</t>
  </si>
  <si>
    <t>PhumuzileNdlovu</t>
  </si>
  <si>
    <t>PrinceNyanson</t>
  </si>
  <si>
    <t>PrinceOhenebaJackson</t>
  </si>
  <si>
    <t>RafeekTheruvathVeettil</t>
  </si>
  <si>
    <t>RAHANRAJRAJEEVAN</t>
  </si>
  <si>
    <t>RaphaelMusah</t>
  </si>
  <si>
    <t>RichmondNyame</t>
  </si>
  <si>
    <t>RocksonAwusiJunior</t>
  </si>
  <si>
    <t>RuthJacklineEshun</t>
  </si>
  <si>
    <t>SabinaPariyar</t>
  </si>
  <si>
    <t>SADIQMOHAMMED</t>
  </si>
  <si>
    <t>SAHRELISHAJAMES</t>
  </si>
  <si>
    <t>SamwelMwangiKamau</t>
  </si>
  <si>
    <t>SandrtaNalubegaKasozi</t>
  </si>
  <si>
    <t>SANJUTHOMAS</t>
  </si>
  <si>
    <t>SELVAK.M.MOSAS</t>
  </si>
  <si>
    <t>SriLanka</t>
  </si>
  <si>
    <t>SenzoNcube</t>
  </si>
  <si>
    <t>ShafikSentongo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</si>
  <si>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</si>
  <si>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</si>
  <si>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</si>
  <si>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</si>
  <si>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</si>
  <si>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</si>
  <si>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</si>
  <si>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STEPHENSEETA</t>
  </si>
  <si>
    <t>STEVEMBUGUAMAINA</t>
  </si>
  <si>
    <t>SuzzyFoli</t>
  </si>
  <si>
    <t>TabiPeterTabi</t>
  </si>
  <si>
    <t>TabithaMonicaAtinde</t>
  </si>
  <si>
    <t>TABITHAWANJIRAGITAU</t>
  </si>
  <si>
    <t>TashingaWiddyDumba</t>
  </si>
  <si>
    <t>TheophilusTorgbor</t>
  </si>
  <si>
    <t>TofikNegash</t>
  </si>
  <si>
    <t>TOMTUHAISE</t>
  </si>
  <si>
    <t>UMARUMUSAMUBI</t>
  </si>
  <si>
    <t>UNISAA.CONTEH</t>
  </si>
  <si>
    <t>VeraAnyangweBih</t>
  </si>
  <si>
    <t>VICTORIAQUAYSON</t>
  </si>
  <si>
    <t>VINCENTASHITEY</t>
  </si>
  <si>
    <t>Violachepkemboichirchir</t>
  </si>
  <si>
    <t>VISHNURAJBABYRAJAN</t>
  </si>
  <si>
    <t>WILLIAMMASOLE</t>
  </si>
  <si>
    <t>YAKUBUABONEKA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</si>
  <si>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</si>
  <si>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</si>
  <si>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</si>
  <si>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</si>
  <si>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</si>
  <si>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</si>
  <si>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</si>
  <si>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</si>
  <si>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kamalize</t>
  </si>
  <si>
    <t>amativin</t>
  </si>
  <si>
    <t>derrkabu</t>
  </si>
  <si>
    <t>frapafem</t>
  </si>
  <si>
    <t>ssqurais</t>
  </si>
  <si>
    <t>kahuhenx</t>
  </si>
  <si>
    <t>vbulawre</t>
  </si>
  <si>
    <t>otchaste</t>
  </si>
  <si>
    <t>Steven Bills Otchan</t>
  </si>
  <si>
    <t>btayebwe</t>
  </si>
  <si>
    <t>Benon Tayebwe</t>
  </si>
  <si>
    <t>bakawesa</t>
  </si>
  <si>
    <t>Bashiri Kawesa</t>
  </si>
  <si>
    <t>vincphir</t>
  </si>
  <si>
    <t>Vincent Phiri</t>
  </si>
  <si>
    <t>ngraciou</t>
  </si>
  <si>
    <t>Gracious Pamhwanya Nyirenda</t>
  </si>
  <si>
    <t>almsukwf</t>
  </si>
  <si>
    <t>Alex Msukwa</t>
  </si>
  <si>
    <t>STEVENBILLS@GMIAL.COM</t>
  </si>
  <si>
    <t>BENON.TAYEBWE@GMIAL.COM</t>
  </si>
  <si>
    <t>BASHIRI.KAWESA9@GMIAL.COM</t>
  </si>
  <si>
    <t>VINCENTPHIRI@GMIAL.COM</t>
  </si>
  <si>
    <t>GRACIOUSPAMHWANYA@GMIAL.COM</t>
  </si>
  <si>
    <t>ALEXMSUKWA1@GMIAL.COM</t>
  </si>
  <si>
    <t>UGANDA </t>
  </si>
  <si>
    <t>malingum</t>
  </si>
  <si>
    <t>Malingumu Jackson</t>
  </si>
  <si>
    <t>MALINGUMU.JACKSON@GMIAL.COM</t>
  </si>
  <si>
    <t>busnabuw</t>
  </si>
  <si>
    <t>gchancel</t>
  </si>
  <si>
    <t>Chanceline Fongwi Muluh</t>
  </si>
  <si>
    <t>Abdel Koudous Njitari Mah</t>
  </si>
  <si>
    <t>Abdourahamane Camara</t>
  </si>
  <si>
    <t>ABDURASHID KIWANUKA</t>
  </si>
  <si>
    <t>ABDULMALIK IDDRISU</t>
  </si>
  <si>
    <t>ACQUAH TIMOTHY</t>
  </si>
  <si>
    <t>Ahmed Tidjan Mefire Nchankou</t>
  </si>
  <si>
    <t>AMIDU KAMARA</t>
  </si>
  <si>
    <t>AMON ABAASA</t>
  </si>
  <si>
    <t>ATTA AGYEKUM SARPONG</t>
  </si>
  <si>
    <t>Bernadette Tarrio Chimhau</t>
  </si>
  <si>
    <t>ALAN SHIJU SHIJU</t>
  </si>
  <si>
    <t>Alex Owusu</t>
  </si>
  <si>
    <t>Allafha Ali</t>
  </si>
  <si>
    <t>Lilian Njuguna</t>
  </si>
  <si>
    <t>Maxmillila Jeruto</t>
  </si>
  <si>
    <t>Traicy Chebet Maina</t>
  </si>
  <si>
    <t>Venick Kemuma Mokua</t>
  </si>
  <si>
    <t xml:space="preserve">al razeen </t>
  </si>
  <si>
    <t xml:space="preserve">al raha </t>
  </si>
  <si>
    <t>971 543851894</t>
  </si>
  <si>
    <t>254 740655212</t>
  </si>
  <si>
    <t>971 567862428</t>
  </si>
  <si>
    <t>971 506256612</t>
  </si>
  <si>
    <t>NYAMBURANJUGUNA18011@GMAIL.COM</t>
  </si>
  <si>
    <t>Maxmillabaliat6gmail. Com</t>
  </si>
  <si>
    <t>tracymaina93@gmail.com</t>
  </si>
  <si>
    <t>venickkumuma@gmail.com</t>
  </si>
  <si>
    <t>Kenyan</t>
  </si>
  <si>
    <t>njugulil</t>
  </si>
  <si>
    <t>maxmijer</t>
  </si>
  <si>
    <t>utraicym</t>
  </si>
  <si>
    <t>venemoku</t>
  </si>
  <si>
    <t>musittez</t>
  </si>
  <si>
    <t>MUSITAFA TEZIKUBA</t>
  </si>
  <si>
    <t>musitafatezikuba@gmail.com</t>
  </si>
  <si>
    <t>aliokorw</t>
  </si>
  <si>
    <t>ALICE KORWOR</t>
  </si>
  <si>
    <t>ritjuoke</t>
  </si>
  <si>
    <t>RITA JUO KEDZE</t>
  </si>
  <si>
    <t>osaeasam</t>
  </si>
  <si>
    <t>SAMUEL OSAE ASHONG</t>
  </si>
  <si>
    <t>violjepk</t>
  </si>
  <si>
    <t>Violah Jepkemei</t>
  </si>
  <si>
    <t>annwamum</t>
  </si>
  <si>
    <t>ANN WAMBUI MUHIAH</t>
  </si>
  <si>
    <t>al razeen</t>
  </si>
  <si>
    <t>254 748 696877</t>
  </si>
  <si>
    <t>muhiahannie@gmail.com</t>
  </si>
  <si>
    <t>wadianan</t>
  </si>
  <si>
    <t>DIANA NDULU WAMBUA</t>
  </si>
  <si>
    <t>971 582047883</t>
  </si>
  <si>
    <t>wambuadiana510@gmail.com</t>
  </si>
  <si>
    <t>elizmung</t>
  </si>
  <si>
    <t>ELIZABETH NDUNGE MUNGUTI</t>
  </si>
  <si>
    <t>kibevely</t>
  </si>
  <si>
    <t>jeropfar</t>
  </si>
  <si>
    <t>Transfer Out</t>
  </si>
  <si>
    <t>254 795983659</t>
  </si>
  <si>
    <t>jeropfaith152@gmail.com</t>
  </si>
  <si>
    <t>basmagan</t>
  </si>
  <si>
    <t>BASHIR MAGANDA</t>
  </si>
  <si>
    <t>bashirmaganda@gmail.com</t>
  </si>
  <si>
    <t>huzamita</t>
  </si>
  <si>
    <t>HUZAIFAH MITALA</t>
  </si>
  <si>
    <t>huzifmitala@gmail.com</t>
  </si>
  <si>
    <t>awudkale</t>
  </si>
  <si>
    <t>AWUDU KALENZI</t>
  </si>
  <si>
    <t>awudukalenzi01@gmail.com</t>
  </si>
  <si>
    <t>mwakagod</t>
  </si>
  <si>
    <t>GODWIN MWAKA</t>
  </si>
  <si>
    <t>godwinmwaka@gmail.com</t>
  </si>
  <si>
    <t>javahmai</t>
  </si>
  <si>
    <t>Javanes Kingori Maina</t>
  </si>
  <si>
    <t>javanesmaina2020@gmail.com</t>
  </si>
  <si>
    <t>971 551942978</t>
  </si>
  <si>
    <t>Wendy Wanja KINYAGA</t>
  </si>
  <si>
    <t>asad ullah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</si>
  <si>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</si>
  <si>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</si>
  <si>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</si>
  <si>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</si>
  <si>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</si>
  <si>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</si>
  <si>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</si>
  <si>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</si>
  <si>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</si>
  <si>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</si>
  <si>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</si>
  <si>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</si>
  <si>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</si>
  <si>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</si>
  <si>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</si>
  <si>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</si>
  <si>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</si>
  <si>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</si>
  <si>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Al razeen</t>
  </si>
  <si>
    <t xml:space="preserve">Al raha </t>
  </si>
  <si>
    <t>254 725 080113</t>
  </si>
  <si>
    <t>971 582603297</t>
  </si>
  <si>
    <t>971 58 993 6921</t>
  </si>
  <si>
    <t>971 562917597</t>
  </si>
  <si>
    <t>254 110 251257</t>
  </si>
  <si>
    <t>254 716 627089</t>
  </si>
  <si>
    <t>254 791 419736</t>
  </si>
  <si>
    <t>254 799 212684</t>
  </si>
  <si>
    <t>971 563874868</t>
  </si>
  <si>
    <t>254 742207607</t>
  </si>
  <si>
    <t>917 586800413</t>
  </si>
  <si>
    <t>971 524768276</t>
  </si>
  <si>
    <t>254 704911179</t>
  </si>
  <si>
    <t>917 589022936</t>
  </si>
  <si>
    <t>254 790 974292</t>
  </si>
  <si>
    <t>254 112126623</t>
  </si>
  <si>
    <t>971 59781011</t>
  </si>
  <si>
    <t>971 545873774</t>
  </si>
  <si>
    <t>254 794867985</t>
  </si>
  <si>
    <t>256 783 622503</t>
  </si>
  <si>
    <t>wendywanja017@gmail.com</t>
  </si>
  <si>
    <t>asadcom878@gmail.com</t>
  </si>
  <si>
    <t>brendakoech03@gmail.com</t>
  </si>
  <si>
    <t>nmonicah038@gmail.com</t>
  </si>
  <si>
    <t>violahchepkiru@gmail.com</t>
  </si>
  <si>
    <t>winfredwayua77@gmail.com</t>
  </si>
  <si>
    <t>audreyweyao90@gmail.com</t>
  </si>
  <si>
    <t>brendawambui705@gmail.com</t>
  </si>
  <si>
    <t>jeronodiana886@gmail.com</t>
  </si>
  <si>
    <t>elisecolonel407@gmail.com</t>
  </si>
  <si>
    <t>eunimugacha254@gmail.com</t>
  </si>
  <si>
    <t>faithkurgat@gmail.com</t>
  </si>
  <si>
    <t>jawama254@gmail.com</t>
  </si>
  <si>
    <t>joanchepngetich924@gmail.com</t>
  </si>
  <si>
    <t>edwinkiplimobmet@gmail.com</t>
  </si>
  <si>
    <t>njeerimungailizabeth@gmail.com</t>
  </si>
  <si>
    <t>fimigee04@gmail.com</t>
  </si>
  <si>
    <t>joseweke1@mail.com</t>
  </si>
  <si>
    <t>lawrenciousm99@gmail.com</t>
  </si>
  <si>
    <t>mkagoya4@gmail.com</t>
  </si>
  <si>
    <t>SEIRA LEONE</t>
  </si>
  <si>
    <t>SSEMAKULA SAM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</si>
  <si>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</si>
  <si>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</si>
  <si>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</si>
  <si>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</si>
  <si>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</si>
  <si>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</si>
  <si>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</si>
  <si>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</si>
  <si>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</si>
  <si>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</si>
  <si>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</si>
  <si>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</si>
  <si>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</si>
  <si>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</si>
  <si>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</si>
  <si>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 xml:space="preserve">564748777  </t>
  </si>
  <si>
    <t xml:space="preserve">568787872    </t>
  </si>
  <si>
    <t xml:space="preserve">564754874    </t>
  </si>
  <si>
    <t xml:space="preserve">5648845488    </t>
  </si>
  <si>
    <t xml:space="preserve">5648748745    </t>
  </si>
  <si>
    <t xml:space="preserve">5647748745    </t>
  </si>
  <si>
    <t xml:space="preserve">5647845784    </t>
  </si>
  <si>
    <t xml:space="preserve">5487457457    </t>
  </si>
  <si>
    <t xml:space="preserve">5987634415    </t>
  </si>
  <si>
    <t xml:space="preserve">5991060560    </t>
  </si>
  <si>
    <t xml:space="preserve">5990854444    </t>
  </si>
  <si>
    <t xml:space="preserve">5677604840   </t>
  </si>
  <si>
    <t xml:space="preserve">543828292    </t>
  </si>
  <si>
    <t>brianmatekte2@gmail.com</t>
  </si>
  <si>
    <t>nsubugaarnold@gmail.com</t>
  </si>
  <si>
    <t>chawezigereshom@gmail.com</t>
  </si>
  <si>
    <t>hetherwicksaka@gmail.com</t>
  </si>
  <si>
    <t>aliwailagala@gmail.com</t>
  </si>
  <si>
    <t>godfreyssentumbawe@gmail.com</t>
  </si>
  <si>
    <t>mudashirunsaamu@gmail.com</t>
  </si>
  <si>
    <t>andrewmuntungi@gmail.com</t>
  </si>
  <si>
    <t>danielkamwathendo@gmail.com</t>
  </si>
  <si>
    <t>fredosangulaya@gmail.com</t>
  </si>
  <si>
    <t>josuaangel@gmail.com</t>
  </si>
  <si>
    <t>mwesigwa52@gmail.com</t>
  </si>
  <si>
    <t>martinlwawga7@gmail.com</t>
  </si>
  <si>
    <t>magemepaul025@gmail.com</t>
  </si>
  <si>
    <t>pbmateke</t>
  </si>
  <si>
    <t>fsangula</t>
  </si>
  <si>
    <t>razaxmo</t>
  </si>
  <si>
    <t>Mohammad Khalid Raza</t>
  </si>
  <si>
    <t>andleemu</t>
  </si>
  <si>
    <t>jacobkip</t>
  </si>
  <si>
    <t>shadraat</t>
  </si>
  <si>
    <t>rmuthosi</t>
  </si>
  <si>
    <t>kipkosgj</t>
  </si>
  <si>
    <t>fredrimw</t>
  </si>
  <si>
    <t>kimutcol</t>
  </si>
  <si>
    <t>jhabshai</t>
  </si>
  <si>
    <t>efhayfor</t>
  </si>
  <si>
    <t>islmehez</t>
  </si>
  <si>
    <t>eindrakr</t>
  </si>
  <si>
    <t>kanyoalb</t>
  </si>
  <si>
    <t>sanjajev</t>
  </si>
  <si>
    <t>ssaamike</t>
  </si>
  <si>
    <t>kiremkel</t>
  </si>
  <si>
    <t>denmbium</t>
  </si>
  <si>
    <t>lewmaina</t>
  </si>
  <si>
    <t>cosmkibe</t>
  </si>
  <si>
    <t>chucopet</t>
  </si>
  <si>
    <t>tabiayuj</t>
  </si>
  <si>
    <t>ukipetej</t>
  </si>
  <si>
    <t>mautfra</t>
  </si>
  <si>
    <t>rjwanjir</t>
  </si>
  <si>
    <t>wedwinki</t>
  </si>
  <si>
    <t>shadraob</t>
  </si>
  <si>
    <t>hossamdj</t>
  </si>
  <si>
    <t>Lee Muriuki Ndeke</t>
  </si>
  <si>
    <t>Jacob Kipketer</t>
  </si>
  <si>
    <t>Shadrack Atela</t>
  </si>
  <si>
    <t>SIMON KINYANJUI Muthoni</t>
  </si>
  <si>
    <t>MATHEW KIMELI KIPKOSGEI</t>
  </si>
  <si>
    <t>FREDRICK MWENDWA MWANIKI</t>
  </si>
  <si>
    <t>Collins Kimutai</t>
  </si>
  <si>
    <t>Habeeb Shaik</t>
  </si>
  <si>
    <t>Hayford Effah</t>
  </si>
  <si>
    <t>Mehebub Islam</t>
  </si>
  <si>
    <t>Indra Kumar Ray</t>
  </si>
  <si>
    <t>Albert Kanyoro</t>
  </si>
  <si>
    <t>SANJAY JERALD</t>
  </si>
  <si>
    <t>Kelvin Munene Kirema</t>
  </si>
  <si>
    <t>Dennis Mbiu</t>
  </si>
  <si>
    <t>Lewis Maina</t>
  </si>
  <si>
    <t>Cosmas Kirwa Kibet</t>
  </si>
  <si>
    <t>Peter Njoroge Chuchi</t>
  </si>
  <si>
    <t>Arrey Tabiayuk Brandon</t>
  </si>
  <si>
    <t>JORAM KIPETER</t>
  </si>
  <si>
    <t>FRANCIS OKECHI MAUTI</t>
  </si>
  <si>
    <t>JOSEPH NJUGUNA WANJIRU</t>
  </si>
  <si>
    <t>Edwin Kimani Wandui</t>
  </si>
  <si>
    <t>Shadrack Obi</t>
  </si>
  <si>
    <t>MD Monir Hossain</t>
  </si>
  <si>
    <t>muhzirfa</t>
  </si>
  <si>
    <t xml:space="preserve">Irfan,Muhammad </t>
  </si>
  <si>
    <t>kinyawen</t>
  </si>
  <si>
    <t>ullazasa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</si>
  <si>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</si>
  <si>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</si>
  <si>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</si>
  <si>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</si>
  <si>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</si>
  <si>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</si>
  <si>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</si>
  <si>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</si>
  <si>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</si>
  <si>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</si>
  <si>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</si>
  <si>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</si>
  <si>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</si>
  <si>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</si>
  <si>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</si>
  <si>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</si>
  <si>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</si>
  <si>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</si>
  <si>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</si>
  <si>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</si>
  <si>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</si>
  <si>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</si>
  <si>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</si>
  <si>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</si>
  <si>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</si>
  <si>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</si>
  <si>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</si>
  <si>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</si>
  <si>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</si>
  <si>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</si>
  <si>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</si>
  <si>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kwailaga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</si>
  <si>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</si>
  <si>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</si>
  <si>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</si>
  <si>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</si>
  <si>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</si>
  <si>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</si>
  <si>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</si>
  <si>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</si>
  <si>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appiador</t>
  </si>
  <si>
    <t>bremwang</t>
  </si>
  <si>
    <t>kourever</t>
  </si>
  <si>
    <t>Everline Nyamoita Ouru</t>
  </si>
  <si>
    <t>fanqgise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</si>
  <si>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</si>
  <si>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</si>
  <si>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</si>
  <si>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</si>
  <si>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</si>
  <si>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</si>
  <si>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</si>
  <si>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</si>
  <si>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</si>
  <si>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</si>
  <si>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mumonicv</t>
  </si>
  <si>
    <t>jopkolin</t>
  </si>
  <si>
    <t>JOPKOEECH,LINDAH</t>
  </si>
  <si>
    <t>catelenw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</si>
  <si>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</si>
  <si>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</si>
  <si>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</si>
  <si>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</si>
  <si>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</si>
  <si>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</si>
  <si>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</si>
  <si>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</si>
  <si>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</si>
  <si>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</si>
  <si>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</si>
  <si>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</si>
  <si>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</si>
  <si>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</si>
  <si>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</si>
  <si>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</si>
  <si>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</si>
  <si>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</si>
  <si>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</si>
  <si>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</si>
  <si>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</si>
  <si>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</si>
  <si>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</si>
  <si>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</si>
  <si>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</si>
  <si>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</si>
  <si>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</si>
  <si>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</si>
  <si>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patrisir</t>
  </si>
  <si>
    <t>Patrick BARZILAI SIRGOI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</si>
  <si>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</si>
  <si>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</si>
  <si>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</si>
  <si>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</si>
  <si>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</si>
  <si>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</si>
  <si>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</si>
  <si>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</si>
  <si>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 xml:space="preserve">503793432    </t>
  </si>
  <si>
    <t>kyleoc902@gmail.com</t>
  </si>
  <si>
    <t>abubakaeswidiq5@gmail.com</t>
  </si>
  <si>
    <t xml:space="preserve">0577994697    </t>
  </si>
  <si>
    <t>johnodeke@gmail.com</t>
  </si>
  <si>
    <t xml:space="preserve">509512901    </t>
  </si>
  <si>
    <t>muyombaalex@gmail.com</t>
  </si>
  <si>
    <t xml:space="preserve">567606154  </t>
  </si>
  <si>
    <t>gigsmoses99@gmail.com</t>
  </si>
  <si>
    <t>ogwangdavid1992@gmail.com</t>
  </si>
  <si>
    <t xml:space="preserve">567006246   </t>
  </si>
  <si>
    <t>simwendetim95@gmail.com</t>
  </si>
  <si>
    <t xml:space="preserve">567089037    </t>
  </si>
  <si>
    <t>devisssebbugga256@gmail.com</t>
  </si>
  <si>
    <t xml:space="preserve">585487487    </t>
  </si>
  <si>
    <t>bmuhereza84@gmail.com</t>
  </si>
  <si>
    <t>254 99059743</t>
  </si>
  <si>
    <t>kellywambui3@gmail.com</t>
  </si>
  <si>
    <t>254724170567</t>
  </si>
  <si>
    <t>agyemangmercy@gmail.com</t>
  </si>
  <si>
    <t>254 728 651832</t>
  </si>
  <si>
    <t>karoneinancy39@gmail.com</t>
  </si>
  <si>
    <t>254 769954307</t>
  </si>
  <si>
    <t>pnkirote78@gmail.com</t>
  </si>
  <si>
    <t>254 112 586151</t>
  </si>
  <si>
    <t>silaipatrick@gmail.com</t>
  </si>
  <si>
    <t>971 56 795 7407</t>
  </si>
  <si>
    <t>Saminakhatoon6529@gmail.com</t>
  </si>
  <si>
    <t>971 50 208 5967</t>
  </si>
  <si>
    <t>1.chepkoechsheila821@gmail.com</t>
  </si>
  <si>
    <t>971 528894663</t>
  </si>
  <si>
    <t>sofiamohammed226@gmail.com</t>
  </si>
  <si>
    <t>971 50 932 6321</t>
  </si>
  <si>
    <t>susankanyiw@gmail.com</t>
  </si>
  <si>
    <t>ALLAN MUBANGIZI</t>
  </si>
  <si>
    <t>allanmub</t>
  </si>
  <si>
    <t>jumakamb</t>
  </si>
  <si>
    <t>ukargjoh</t>
  </si>
  <si>
    <t>ibrnafig</t>
  </si>
  <si>
    <t>JOHN KARGBO</t>
  </si>
  <si>
    <t>Nafiu Ibrahim</t>
  </si>
  <si>
    <t xml:space="preserve">JEROP FAITH </t>
  </si>
  <si>
    <t>JOSEPHATE KUSASIRA</t>
  </si>
  <si>
    <t>SUMAN SAG</t>
  </si>
  <si>
    <t>MISAEL STEVEN BULIANI</t>
  </si>
  <si>
    <t>NAHABWE RODGERS</t>
  </si>
  <si>
    <t>Josephatekusasira@gmail.com</t>
  </si>
  <si>
    <t>ssagsuman@gmail.com</t>
  </si>
  <si>
    <t>misaelbuliani@gmail.com</t>
  </si>
  <si>
    <t>nahabwerodgers@gmail.com</t>
  </si>
  <si>
    <t>jkusasir</t>
  </si>
  <si>
    <t>sagsumaq</t>
  </si>
  <si>
    <t>misaelst</t>
  </si>
  <si>
    <t>rpnahabw</t>
  </si>
  <si>
    <t>Critical /Non-Critical</t>
  </si>
  <si>
    <t>Working Hours</t>
  </si>
  <si>
    <t>Jobl evel</t>
  </si>
  <si>
    <t>Tenure end</t>
  </si>
  <si>
    <t>denjeria</t>
  </si>
  <si>
    <t>Denin Jeril</t>
  </si>
  <si>
    <t>Makenge,Brian Chacha</t>
  </si>
  <si>
    <t>aomali</t>
  </si>
  <si>
    <t>Ahmed,Ali</t>
  </si>
  <si>
    <t>ediradim</t>
  </si>
  <si>
    <t xml:space="preserve">Geo,Edilbert Geo Antony </t>
  </si>
  <si>
    <t xml:space="preserve">July </t>
  </si>
  <si>
    <t>chachabf</t>
  </si>
  <si>
    <t>Religion</t>
  </si>
  <si>
    <t>Non-Muslim</t>
  </si>
  <si>
    <t>Muslim</t>
  </si>
  <si>
    <t xml:space="preserve">Ikome Mbah,Harikia </t>
  </si>
  <si>
    <t>HELLEN tanasho BWALYA</t>
  </si>
  <si>
    <t>Hillary kipropkipngetich</t>
  </si>
  <si>
    <t>thembik</t>
  </si>
  <si>
    <t>Kuchicha,Thembi</t>
  </si>
  <si>
    <t>kuchichathembelani1@gmail.com</t>
  </si>
  <si>
    <t>kyeisolomon004@gmail.com</t>
  </si>
  <si>
    <t>ashifzah</t>
  </si>
  <si>
    <t>AHAMED,ASHIF</t>
  </si>
  <si>
    <t>arathikx</t>
  </si>
  <si>
    <t>KARICHERY,ARATHI </t>
  </si>
  <si>
    <t>arathikaricheri@gmail.com</t>
  </si>
  <si>
    <t>thomtonp</t>
  </si>
  <si>
    <t>THOMAS JOSEPH,TONY</t>
  </si>
  <si>
    <t>tonyuae97@gmail.com</t>
  </si>
  <si>
    <t>halzaabi</t>
  </si>
  <si>
    <t>Alzaabi,Hamad</t>
  </si>
  <si>
    <t>Mid Shift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</si>
  <si>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</si>
  <si>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</si>
  <si>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</si>
  <si>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</si>
  <si>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</si>
  <si>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</si>
  <si>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De Guzman,Gaylord Baliwag</t>
  </si>
  <si>
    <t>El Ghoul,Abdallah</t>
  </si>
  <si>
    <t>Joshi,Anirudh</t>
  </si>
  <si>
    <t>Manojlovic,Sandra</t>
  </si>
  <si>
    <t>Sachdeva,Neeraj</t>
  </si>
  <si>
    <t>GUYON,Loubna</t>
  </si>
  <si>
    <t>Safety Coordinator</t>
  </si>
  <si>
    <t>Adecco - WFS Admin</t>
  </si>
  <si>
    <t>Workforce Staffing Coordinator</t>
  </si>
  <si>
    <t>Non-Inventory Receiver (NIR)</t>
  </si>
  <si>
    <t>adamssadick960@gmail.com</t>
  </si>
  <si>
    <t>cosbysly@gmail.com</t>
  </si>
  <si>
    <t>charlesakpaka3@gmail.com</t>
  </si>
  <si>
    <t>andreydasilver22@gmail.com</t>
  </si>
  <si>
    <t>tnbpain84@gmail.com</t>
  </si>
  <si>
    <t>juniordolla9@gmail.com</t>
  </si>
  <si>
    <t>bikramdhakal8264@gmail.com</t>
  </si>
  <si>
    <t>ajaythakur123ajay@gmail.com</t>
  </si>
  <si>
    <t>Sundaybruce21@gmail.com</t>
  </si>
  <si>
    <t>colemanrobert913@gamil.com</t>
  </si>
  <si>
    <t>daviddanaa12@gmail.com</t>
  </si>
  <si>
    <t>emmawanambwa027@gmail.com</t>
  </si>
  <si>
    <t>francisarthur246@gmail.com</t>
  </si>
  <si>
    <t>powerfcudloe007@gmiaail.com</t>
  </si>
  <si>
    <t>franknuwahereza6@gmail.com</t>
  </si>
  <si>
    <t>ssempajoe1@gmail.com</t>
  </si>
  <si>
    <t>baileypro6@gmail.com</t>
  </si>
  <si>
    <t>nabongoisaac@gmail.com</t>
  </si>
  <si>
    <t>ktmbjhn9@gmail.com</t>
  </si>
  <si>
    <t>joramhenry.rikk@gmail.com</t>
  </si>
  <si>
    <t>irumbajoshua352@gmail.com</t>
  </si>
  <si>
    <t>joshuaokula@gmail.com</t>
  </si>
  <si>
    <t>augustinekamanda56@gmail.com</t>
  </si>
  <si>
    <t>munkailakassim774@gmail.com</t>
  </si>
  <si>
    <t>turyamurebakenneth71@gmail.com</t>
  </si>
  <si>
    <t>musimemika@gmal.com</t>
  </si>
  <si>
    <t>weeremarcus2@gmail.com</t>
  </si>
  <si>
    <t>abigaba.onesmas2@gamil.com</t>
  </si>
  <si>
    <t>gyamfi.gyamfi@gmail.com</t>
  </si>
  <si>
    <t>andhi.andhi@gmail.com</t>
  </si>
  <si>
    <t>ayebazibwe.ayebazibwe@gmail.com</t>
  </si>
  <si>
    <t>aijukasimonnedorah@gmail.com</t>
  </si>
  <si>
    <t>romaramantic@gmail.com</t>
  </si>
  <si>
    <t>kinongotimothy@gmail.com</t>
  </si>
  <si>
    <t>wmandela990@gmail.com</t>
  </si>
  <si>
    <t>wilsonmumbere78@gmail.com</t>
  </si>
  <si>
    <t>Ansari,Ammar Abdullah</t>
  </si>
  <si>
    <t>geo22edilbert@gmail.com</t>
  </si>
  <si>
    <t>awuahgifty@gmail.com</t>
  </si>
  <si>
    <t>971 52 436 2669</t>
  </si>
  <si>
    <t>ndunge729@gmail.com</t>
  </si>
  <si>
    <t>Cynthiakyeib@gmail.com</t>
  </si>
  <si>
    <t>254 702 744246</t>
  </si>
  <si>
    <t>chepchirchirwinnie92@gmail.com</t>
  </si>
  <si>
    <t>254 713 932421</t>
  </si>
  <si>
    <t>depporahsamwel@gmail.com</t>
  </si>
  <si>
    <t>Elizabethakuoko176@gmail.com</t>
  </si>
  <si>
    <t>Francisaraali01@gmail.com</t>
  </si>
  <si>
    <t>klinsmanagyei2001@gmail.com</t>
  </si>
  <si>
    <t>EMMANUEL.KAMALIZENI6@GMIAL.COM</t>
  </si>
  <si>
    <t>CENTRAL BUS STAION</t>
  </si>
  <si>
    <t>LIFELINE HOSPITAL</t>
  </si>
  <si>
    <t>ismchasy</t>
  </si>
  <si>
    <t>Ismail,Syed</t>
  </si>
  <si>
    <t>OWUSU,BENJAMIN</t>
  </si>
  <si>
    <t>WOODE BROWN,WILFRED</t>
  </si>
  <si>
    <t>ABUBAKARI,ELIASU</t>
  </si>
  <si>
    <t>Tanui,Cynthia Jepkoech</t>
  </si>
  <si>
    <t>Jogi,Juma Kambi</t>
  </si>
  <si>
    <t>Mwangi,Brenda Wangui</t>
  </si>
  <si>
    <t>Rono,Maureen Chebet</t>
  </si>
  <si>
    <t>MUTUA,MONICA MUEN</t>
  </si>
  <si>
    <t>Ngethe,Cicilia Wairimu</t>
  </si>
  <si>
    <t>Appiah,Dorcas Niamah</t>
  </si>
  <si>
    <t>Fang,Giselle Fuen</t>
  </si>
  <si>
    <t>Ssaabwe,Mike</t>
  </si>
  <si>
    <t>Jeptanui,Violah</t>
  </si>
  <si>
    <t>MUCHERU,CATELEN WANJIRA</t>
  </si>
  <si>
    <t>NABUWEMBO,BUSHILAH</t>
  </si>
  <si>
    <t>KIBAGE,EVELYN</t>
  </si>
  <si>
    <t>ALOI,ELIAS</t>
  </si>
  <si>
    <t>chakkumm</t>
  </si>
  <si>
    <t>Chakkumkandath,Midhun</t>
  </si>
  <si>
    <t>ayikissa</t>
  </si>
  <si>
    <t>Issah,Ayishatu</t>
  </si>
  <si>
    <t>aljneibi</t>
  </si>
  <si>
    <t>Aljneibi,Khalid</t>
  </si>
  <si>
    <t>Login</t>
  </si>
  <si>
    <t xml:space="preserve">Agency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</si>
</sst>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.00_);_(* \(#,##0.00\);_(* &quot;-&quot;??_);_(@_)"/>
    <numFmt numFmtId="165" formatCode="yyyy\-mm\-dd;@"/>
    <numFmt numFmtId="166" formatCode="[$-F400]h:mm:ss\ AM/PM"/>
    <numFmt numFmtId="167" formatCode="[$-409]d\-mmm\-yy;@"/>
    <numFmt numFmtId="168" formatCode="[$-409]dd\-mmm\-yy;@"/>
    <numFmt numFmtId="169" formatCode="[$-F800]dddd\,\ mmmm\ dd\,\ yyyy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Arial Unicode MS"/>
    </font>
    <font>
      <b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Aptos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F0000"/>
      </patternFill>
    </fill>
    <fill>
      <patternFill patternType="solid">
        <fgColor theme="7" tint="0.79998168889431442"/>
        <bgColor auto="1"/>
      </patternFill>
    </fill>
    <fill>
      <patternFill patternType="solid">
        <fgColor rgb="FF7030A0"/>
        <bgColor theme="0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FF0000"/>
      </patternFill>
    </fill>
    <fill>
      <patternFill patternType="solid">
        <fgColor rgb="FFFFC000"/>
        <bgColor auto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7" fillId="0" borderId="0"/>
    <xf numFmtId="0" fontId="11" fillId="0" borderId="0"/>
    <xf numFmtId="0" fontId="15" fillId="0" borderId="0" applyNumberFormat="0" applyFill="0" applyBorder="0" applyAlignment="0" applyProtection="0"/>
    <xf numFmtId="0" fontId="22" fillId="0" borderId="0"/>
    <xf numFmtId="0" fontId="26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0" borderId="0" applyBorder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1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left" vertical="center"/>
    </xf>
    <xf numFmtId="0" fontId="9" fillId="3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49" fontId="12" fillId="4" borderId="1" xfId="2" applyNumberFormat="1" applyFont="1" applyFill="1" applyBorder="1" applyAlignment="1">
      <alignment horizontal="center"/>
    </xf>
    <xf numFmtId="49" fontId="9" fillId="3" borderId="3" xfId="2" applyNumberFormat="1" applyFont="1" applyFill="1" applyBorder="1" applyAlignment="1">
      <alignment vertical="center"/>
    </xf>
    <xf numFmtId="49" fontId="1" fillId="3" borderId="1" xfId="2" applyNumberFormat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49" fontId="9" fillId="3" borderId="1" xfId="2" applyNumberFormat="1" applyFont="1" applyFill="1" applyBorder="1" applyAlignment="1">
      <alignment vertical="center"/>
    </xf>
    <xf numFmtId="0" fontId="1" fillId="3" borderId="1" xfId="1" applyFont="1" applyFill="1" applyBorder="1"/>
    <xf numFmtId="0" fontId="1" fillId="3" borderId="4" xfId="1" applyFont="1" applyFill="1" applyBorder="1"/>
    <xf numFmtId="49" fontId="1" fillId="3" borderId="1" xfId="2" applyNumberFormat="1" applyFont="1" applyFill="1" applyBorder="1"/>
    <xf numFmtId="49" fontId="0" fillId="3" borderId="1" xfId="2" applyNumberFormat="1" applyFont="1" applyFill="1" applyBorder="1"/>
    <xf numFmtId="0" fontId="0" fillId="3" borderId="1" xfId="1" applyFont="1" applyFill="1" applyBorder="1"/>
    <xf numFmtId="0" fontId="14" fillId="0" borderId="1" xfId="1" applyFont="1" applyBorder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8" fontId="5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7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14" fontId="18" fillId="7" borderId="1" xfId="0" applyNumberFormat="1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169" fontId="20" fillId="10" borderId="1" xfId="0" applyNumberFormat="1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49" fontId="1" fillId="3" borderId="4" xfId="2" applyNumberFormat="1" applyFont="1" applyFill="1" applyBorder="1" applyAlignment="1">
      <alignment horizontal="left"/>
    </xf>
    <xf numFmtId="49" fontId="1" fillId="3" borderId="4" xfId="2" applyNumberFormat="1" applyFont="1" applyFill="1" applyBorder="1"/>
    <xf numFmtId="0" fontId="14" fillId="20" borderId="0" xfId="0" applyFont="1" applyFill="1" applyAlignment="1">
      <alignment horizontal="center" vertical="center"/>
    </xf>
    <xf numFmtId="0" fontId="14" fillId="21" borderId="0" xfId="7" applyFont="1" applyFill="1" applyAlignment="1">
      <alignment horizontal="center" vertical="center"/>
    </xf>
    <xf numFmtId="0" fontId="1" fillId="21" borderId="0" xfId="7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7" quotePrefix="1" applyFont="1" applyBorder="1" applyAlignment="1">
      <alignment horizontal="center" vertical="center" wrapText="1"/>
    </xf>
    <xf numFmtId="0" fontId="1" fillId="22" borderId="1" xfId="7" applyFill="1" applyBorder="1" applyAlignment="1">
      <alignment horizontal="center" vertical="center"/>
    </xf>
    <xf numFmtId="0" fontId="1" fillId="22" borderId="1" xfId="5" applyFont="1" applyFill="1" applyBorder="1" applyAlignment="1">
      <alignment horizontal="center" vertical="center"/>
    </xf>
    <xf numFmtId="0" fontId="1" fillId="22" borderId="1" xfId="6" applyFont="1" applyFill="1" applyBorder="1" applyAlignment="1">
      <alignment horizontal="center" vertical="center"/>
    </xf>
    <xf numFmtId="0" fontId="0" fillId="22" borderId="1" xfId="6" applyFont="1" applyFill="1" applyBorder="1" applyAlignment="1">
      <alignment horizontal="center" vertical="center"/>
    </xf>
    <xf numFmtId="0" fontId="1" fillId="0" borderId="1" xfId="7" applyBorder="1" applyAlignment="1">
      <alignment horizontal="center" vertical="center"/>
    </xf>
    <xf numFmtId="0" fontId="0" fillId="0" borderId="1" xfId="7" applyFont="1" applyBorder="1" applyAlignment="1">
      <alignment horizontal="center" vertical="center"/>
    </xf>
    <xf numFmtId="0" fontId="1" fillId="23" borderId="1" xfId="7" applyFill="1" applyBorder="1" applyAlignment="1">
      <alignment horizontal="center" vertical="center"/>
    </xf>
    <xf numFmtId="0" fontId="0" fillId="23" borderId="1" xfId="7" applyFont="1" applyFill="1" applyBorder="1" applyAlignment="1">
      <alignment horizontal="center" vertical="center"/>
    </xf>
    <xf numFmtId="0" fontId="1" fillId="24" borderId="1" xfId="7" applyFill="1" applyBorder="1" applyAlignment="1">
      <alignment horizontal="center" vertical="center"/>
    </xf>
    <xf numFmtId="0" fontId="14" fillId="24" borderId="1" xfId="7" applyFont="1" applyFill="1" applyBorder="1" applyAlignment="1">
      <alignment horizontal="center" vertical="center"/>
    </xf>
    <xf numFmtId="0" fontId="1" fillId="25" borderId="1" xfId="7" applyFill="1" applyBorder="1" applyAlignment="1">
      <alignment horizontal="center" vertical="center"/>
    </xf>
    <xf numFmtId="0" fontId="1" fillId="3" borderId="1" xfId="7" applyFill="1" applyBorder="1" applyAlignment="1">
      <alignment horizontal="center" vertical="center"/>
    </xf>
    <xf numFmtId="0" fontId="1" fillId="26" borderId="1" xfId="7" applyFill="1" applyBorder="1" applyAlignment="1">
      <alignment horizontal="center" vertical="center"/>
    </xf>
    <xf numFmtId="0" fontId="1" fillId="27" borderId="1" xfId="7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" fillId="0" borderId="5" xfId="7" applyBorder="1" applyAlignment="1">
      <alignment horizontal="center" vertical="center"/>
    </xf>
    <xf numFmtId="0" fontId="14" fillId="23" borderId="1" xfId="7" applyFont="1" applyFill="1" applyBorder="1" applyAlignment="1">
      <alignment horizontal="center" vertical="center"/>
    </xf>
    <xf numFmtId="0" fontId="14" fillId="25" borderId="1" xfId="7" applyFont="1" applyFill="1" applyBorder="1" applyAlignment="1">
      <alignment horizontal="center" vertical="center"/>
    </xf>
    <xf numFmtId="0" fontId="1" fillId="23" borderId="1" xfId="6" applyFont="1" applyFill="1" applyBorder="1" applyAlignment="1">
      <alignment horizontal="center" vertical="center"/>
    </xf>
    <xf numFmtId="0" fontId="1" fillId="24" borderId="1" xfId="6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3" fillId="6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67" fontId="4" fillId="0" borderId="8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28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3" fillId="2" borderId="1" xfId="8" applyFont="1" applyFill="1" applyBorder="1" applyAlignment="1">
      <alignment horizontal="center" vertical="center"/>
    </xf>
    <xf numFmtId="164" fontId="4" fillId="0" borderId="1" xfId="8" applyFont="1" applyBorder="1" applyAlignment="1">
      <alignment horizontal="center" vertical="center"/>
    </xf>
    <xf numFmtId="164" fontId="4" fillId="0" borderId="1" xfId="8" applyFont="1" applyBorder="1" applyAlignment="1">
      <alignment horizontal="center" vertical="center" wrapText="1"/>
    </xf>
    <xf numFmtId="164" fontId="4" fillId="0" borderId="8" xfId="8" applyFont="1" applyBorder="1" applyAlignment="1">
      <alignment horizontal="center" vertical="center"/>
    </xf>
    <xf numFmtId="164" fontId="0" fillId="0" borderId="0" xfId="8" applyFont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 wrapText="1"/>
    </xf>
    <xf numFmtId="164" fontId="4" fillId="0" borderId="6" xfId="8" applyFont="1" applyBorder="1" applyAlignment="1">
      <alignment horizontal="center" vertical="center"/>
    </xf>
    <xf numFmtId="168" fontId="4" fillId="0" borderId="8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 wrapText="1"/>
    </xf>
    <xf numFmtId="166" fontId="4" fillId="0" borderId="8" xfId="0" applyNumberFormat="1" applyFont="1" applyBorder="1" applyAlignment="1">
      <alignment horizontal="center" vertical="center"/>
    </xf>
    <xf numFmtId="1" fontId="29" fillId="0" borderId="1" xfId="9" applyNumberFormat="1" applyFont="1" applyFill="1" applyBorder="1" applyAlignment="1">
      <alignment horizontal="center" vertical="center"/>
    </xf>
    <xf numFmtId="1" fontId="29" fillId="0" borderId="1" xfId="8" applyNumberFormat="1" applyFont="1" applyFill="1" applyBorder="1" applyAlignment="1">
      <alignment horizontal="center" vertical="center"/>
    </xf>
    <xf numFmtId="164" fontId="29" fillId="0" borderId="1" xfId="8" applyFont="1" applyFill="1" applyBorder="1" applyAlignment="1">
      <alignment horizontal="center" vertical="center"/>
    </xf>
    <xf numFmtId="168" fontId="5" fillId="0" borderId="1" xfId="9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4" fontId="4" fillId="0" borderId="7" xfId="8" applyFont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/>
    </xf>
  </cellXfs>
  <cellStyles count="10">
    <cellStyle name="Bad" xfId="6" builtinId="27"/>
    <cellStyle name="Comma" xfId="8" builtinId="3"/>
    <cellStyle name="Good" xfId="5" builtinId="26"/>
    <cellStyle name="Hyperlink" xfId="3" builtinId="8"/>
    <cellStyle name="Normal" xfId="0" builtinId="0"/>
    <cellStyle name="Normal 2" xfId="1" xr:uid="{8B50DCAE-52D3-4960-AC27-FC5487296905}"/>
    <cellStyle name="Normal 3" xfId="4" xr:uid="{7A4EF80D-DBFD-4AC7-BC2C-A215BFCF75BC}"/>
    <cellStyle name="Normal 4" xfId="7" xr:uid="{F7371CF3-3C6F-4D3B-93BF-39F367EF4E43}"/>
    <cellStyle name="Normal_Sheet1" xfId="2" xr:uid="{A1FE82F6-7879-405D-A60E-040CA8B99AEB}"/>
    <cellStyle name="Percent" xfId="9" builtinId="5"/>
  </cellStyles>
  <dxfs count="37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835460EA-D95A-414C-827F-67D5286648DA}">
      <tableStyleElement type="firstRowStripe" dxfId="373"/>
    </tableStyle>
    <tableStyle name="Table Style 2" pivot="0" count="2" xr9:uid="{5A8CF197-6469-45BB-B040-378F6C031A92}">
      <tableStyleElement type="headerRow" dxfId="372"/>
      <tableStyleElement type="firstRowStripe" dxfId="3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hamreh/Downloads/employeeList-AUH1%20(28).csv" TargetMode="External"/><Relationship Id="rId2" Type="http://schemas.openxmlformats.org/officeDocument/2006/relationships/externalLinkPath" Target="file:///C:\Users\mhamreh\Downloads\employeeList-AUH1%20(28).csv" TargetMode="External"/><Relationship Id="rId1" Type="http://schemas.openxmlformats.org/officeDocument/2006/relationships/externalLinkPath" Target="/Users/mhamreh/Downloads/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ulrazek, Mohamed" refreshedDate="45513.780016319448" createdVersion="7" refreshedVersion="7" minRefreshableVersion="3" recordCount="653" xr:uid="{896511A2-5DCC-443C-BA3F-5295CA5B0DBE}">
  <cacheSource type="worksheet">
    <worksheetSource ref="C2:M2" sheet="Roster"/>
  </cacheSource>
  <cacheFields count="28">
    <cacheField name="Psoft ID" numFmtId="1">
      <sharedItems containsSemiMixedTypes="0" containsString="0" containsNumber="1" containsInteger="1" minValue="102205456" maxValue="203741324"/>
    </cacheField>
    <cacheField name="Amazon ID" numFmtId="0">
      <sharedItems/>
    </cacheField>
    <cacheField name="Employee Name" numFmtId="0">
      <sharedItems/>
    </cacheField>
    <cacheField name="DOJ" numFmtId="168">
      <sharedItems containsSemiMixedTypes="0" containsNonDate="0" containsDate="1" containsString="0" minDate="2017-05-13T00:00:00" maxDate="2024-07-30T00:00:00"/>
    </cacheField>
    <cacheField name="Employment Type" numFmtId="165">
      <sharedItems/>
    </cacheField>
    <cacheField name="Building" numFmtId="0">
      <sharedItems/>
    </cacheField>
    <cacheField name="Cost Center" numFmtId="0">
      <sharedItems containsSemiMixedTypes="0" containsString="0" containsNumber="1" containsInteger="1" minValue="1181" maxValue="1551"/>
    </cacheField>
    <cacheField name="Shift" numFmtId="166">
      <sharedItems/>
    </cacheField>
    <cacheField name="OFF" numFmtId="166">
      <sharedItems/>
    </cacheField>
    <cacheField name="OFF2" numFmtId="166">
      <sharedItems/>
    </cacheField>
    <cacheField name="Job Title" numFmtId="165">
      <sharedItems/>
    </cacheField>
    <cacheField name="Is Away team? (Y/N)" numFmtId="165">
      <sharedItems/>
    </cacheField>
    <cacheField name="Department" numFmtId="166">
      <sharedItems count="6">
        <s v="CRET"/>
        <s v="ICQA"/>
        <s v="Inbound"/>
        <s v="Warehouse Deals"/>
        <s v="Outbound"/>
        <s v="Sort Center"/>
      </sharedItems>
    </cacheField>
    <cacheField name="AUH1 start date" numFmtId="168">
      <sharedItems containsSemiMixedTypes="0" containsNonDate="0" containsDate="1" containsString="0" minDate="2024-08-05T00:00:00" maxDate="2024-08-26T00:00:00"/>
    </cacheField>
    <cacheField name="Process Path" numFmtId="165">
      <sharedItems containsBlank="1"/>
    </cacheField>
    <cacheField name="Type" numFmtId="0">
      <sharedItems/>
    </cacheField>
    <cacheField name="Pickup point" numFmtId="0">
      <sharedItems containsNonDate="0" containsString="0" containsBlank="1"/>
    </cacheField>
    <cacheField name="Locker Number" numFmtId="0">
      <sharedItems containsString="0" containsBlank="1" containsNumber="1" containsInteger="1" minValue="1" maxValue="1805"/>
    </cacheField>
    <cacheField name="Floor" numFmtId="0">
      <sharedItems containsBlank="1"/>
    </cacheField>
    <cacheField name="Phone number" numFmtId="0">
      <sharedItems containsBlank="1"/>
    </cacheField>
    <cacheField name="Home county" numFmtId="0">
      <sharedItems containsBlank="1"/>
    </cacheField>
    <cacheField name="3P" numFmtId="0">
      <sharedItems/>
    </cacheField>
    <cacheField name="Line Manager Login" numFmtId="165">
      <sharedItems containsBlank="1"/>
    </cacheField>
    <cacheField name="Line Manager" numFmtId="165">
      <sharedItems containsBlank="1"/>
    </cacheField>
    <cacheField name="Gender" numFmtId="165">
      <sharedItems containsBlank="1"/>
    </cacheField>
    <cacheField name="Tshirt Size" numFmtId="165">
      <sharedItems containsBlank="1"/>
    </cacheField>
    <cacheField name="Job level" numFmtId="0">
      <sharedItems containsSemiMixedTypes="0" containsString="0" containsNumber="1" containsInteger="1" minValue="1" maxValue="99"/>
    </cacheField>
    <cacheField name="Site syst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">
  <r>
    <n v="203469401"/>
    <s v="pmwauraj"/>
    <s v="John Ndung'U Mwaura 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29"/>
    <s v="Mezzanine Level"/>
    <e v="#N/A"/>
    <s v="Kenya"/>
    <s v="Adecco"/>
    <s v="anshafik"/>
    <s v="Shafik,Andrew Adel"/>
    <s v="Male "/>
    <s v="NA"/>
    <n v="99"/>
    <s v="AUH1"/>
  </r>
  <r>
    <n v="203469402"/>
    <s v="samotabi"/>
    <s v="Samuel Essel Otabil 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30"/>
    <s v="Mezzanine Level"/>
    <e v="#N/A"/>
    <s v="Ghana"/>
    <s v="Adecco"/>
    <s v="anshafik"/>
    <s v="Shafik,Andrew Adel"/>
    <s v="Male "/>
    <s v="NA"/>
    <n v="99"/>
    <s v="AUH1"/>
  </r>
  <r>
    <n v="203469449"/>
    <s v="daniboah"/>
    <s v="Daniel Boahen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32"/>
    <s v="Mezzanine Level"/>
    <e v="#N/A"/>
    <s v="Ghana"/>
    <s v="Adecco"/>
    <s v="anshafik"/>
    <s v="Shafik,Andrew Adel"/>
    <s v="Male "/>
    <s v="NA"/>
    <n v="99"/>
    <s v="AUH1"/>
  </r>
  <r>
    <n v="203469398"/>
    <s v="twdiogra"/>
    <s v="Diogratias Ngunang Tche"/>
    <d v="2024-06-13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151"/>
    <s v="Mezzanine Level"/>
    <e v="#N/A"/>
    <s v="Cameroon"/>
    <s v="Adecco"/>
    <s v="anshafik"/>
    <s v="Shafik,Andrew Adel"/>
    <s v="Male "/>
    <s v="NA"/>
    <n v="99"/>
    <s v="AUH1"/>
  </r>
  <r>
    <n v="203469399"/>
    <s v="everxmil"/>
    <s v="Everlyne Mills"/>
    <d v="2024-06-13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1"/>
    <s v="Mezzanine Level"/>
    <e v="#N/A"/>
    <s v="Ghana"/>
    <s v="Adecco"/>
    <s v="anshafik"/>
    <s v="Shafik,Andrew Adel"/>
    <s v="Female "/>
    <s v="NA"/>
    <n v="99"/>
    <s v="AUH1"/>
  </r>
  <r>
    <n v="203469397"/>
    <s v="mfredmut"/>
    <s v="Fred Muteesa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27"/>
    <s v="Mezzanine Level"/>
    <e v="#N/A"/>
    <s v="Uganda"/>
    <s v="Adecco"/>
    <s v="anshafik"/>
    <s v="Shafik,Andrew Adel"/>
    <s v="Male "/>
    <s v="NA"/>
    <n v="99"/>
    <s v="AUH1"/>
  </r>
  <r>
    <n v="203469400"/>
    <s v="jglakuma"/>
    <s v="Glory Akumawah"/>
    <d v="2024-06-13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2"/>
    <s v="Mezzanine Level"/>
    <e v="#N/A"/>
    <s v="Ghana"/>
    <s v="Adecco"/>
    <s v="anshafik"/>
    <s v="Shafik,Andrew Adel"/>
    <s v="Female "/>
    <s v="NA"/>
    <n v="99"/>
    <s v="AUH1"/>
  </r>
  <r>
    <n v="203469395"/>
    <s v="mwiiroja"/>
    <s v="Jane Wanjiku Mwiiro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49"/>
    <s v="Mezzanine Level"/>
    <e v="#N/A"/>
    <s v="Kenya"/>
    <s v="Adecco"/>
    <s v="anshafik"/>
    <s v="Shafik,Andrew Adel"/>
    <s v="Female "/>
    <s v="NA"/>
    <n v="99"/>
    <s v="AUH1"/>
  </r>
  <r>
    <n v="203469396"/>
    <s v="namutmar"/>
    <s v="Mary Namutebi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50"/>
    <s v="Mezzanine Level"/>
    <e v="#N/A"/>
    <s v="Uganda"/>
    <s v="Adecco"/>
    <s v="anshafik"/>
    <s v="Shafik,Andrew Adel"/>
    <s v="Female "/>
    <s v="NA"/>
    <n v="99"/>
    <s v="AUH1"/>
  </r>
  <r>
    <n v="203469404"/>
    <s v="musakmwe"/>
    <s v="Musa Nkata Mwebe   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31"/>
    <s v="Mezzanine Level"/>
    <e v="#N/A"/>
    <s v="Uganda"/>
    <s v="Adecco"/>
    <s v="anshafik"/>
    <s v="Shafik,Andrew Adel"/>
    <s v="Male "/>
    <s v="NA"/>
    <n v="99"/>
    <s v="AUH1"/>
  </r>
  <r>
    <n v="203469406"/>
    <s v="ncusilet"/>
    <s v="Silethemba Ncube"/>
    <d v="2024-06-13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554"/>
    <s v="Mezzanine Level"/>
    <e v="#N/A"/>
    <s v="Zimbabwe"/>
    <s v="Adecco"/>
    <s v="anshafik"/>
    <s v="Shafik,Andrew Adel"/>
    <s v="Male "/>
    <s v="NA"/>
    <n v="99"/>
    <s v="AUH1"/>
  </r>
  <r>
    <n v="203469458"/>
    <s v="ndanzyco"/>
    <s v="Congrates Moforkeng Ndanze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35"/>
    <s v="Mezzanine Level"/>
    <e v="#N/A"/>
    <s v="Cameroon"/>
    <s v="Adecco"/>
    <s v="anshafik"/>
    <s v="Shafik,Andrew Adel"/>
    <s v="Male"/>
    <s v="NA"/>
    <n v="99"/>
    <s v="AUH1"/>
  </r>
  <r>
    <n v="203469452"/>
    <s v="emmbrobb"/>
    <s v="Emmanuel Brobbey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33"/>
    <s v="Mezzanine Level"/>
    <e v="#N/A"/>
    <s v="Ghana"/>
    <s v="Adecco"/>
    <s v="anshafik"/>
    <s v="Shafik,Andrew Adel"/>
    <s v="Male"/>
    <s v="M"/>
    <n v="99"/>
    <s v="AUH1"/>
  </r>
  <r>
    <n v="203469996"/>
    <s v="kwiocwin"/>
    <s v="Rehema Kwiocwiny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57"/>
    <s v="Mezzanine Level"/>
    <e v="#N/A"/>
    <s v="Tanzania"/>
    <s v="Adecco"/>
    <s v="anshafik"/>
    <s v="Shafik,Andrew Adel"/>
    <s v="Female"/>
    <s v="NA"/>
    <n v="99"/>
    <s v="AUH1"/>
  </r>
  <r>
    <n v="203035218"/>
    <s v="musahsal"/>
    <s v="Salifu Musah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20"/>
    <s v="Mezzanine Level"/>
    <e v="#N/A"/>
    <s v="Ghana"/>
    <s v="Adecco"/>
    <s v="anshafik"/>
    <s v="Shafik,Andrew Adel"/>
    <s v="Male"/>
    <s v="NA"/>
    <n v="99"/>
    <s v="AUH1"/>
  </r>
  <r>
    <n v="203469455"/>
    <s v="sandrtka"/>
    <s v="Sandrta Nalubega Kasozi"/>
    <d v="2024-06-13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556"/>
    <s v="Mezzanine Level"/>
    <e v="#N/A"/>
    <s v="Uganda"/>
    <s v="Adecco"/>
    <s v="anshafik"/>
    <s v="Shafik,Andrew Adel"/>
    <s v="Female"/>
    <s v="M"/>
    <n v="99"/>
    <s v="AUH1"/>
  </r>
  <r>
    <n v="203469451"/>
    <s v="stellnao"/>
    <s v="Stella Nakkazi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55"/>
    <s v="Mezzanine Level"/>
    <e v="#N/A"/>
    <s v="Uganda"/>
    <s v="Adecco"/>
    <s v="anshafik"/>
    <s v="Shafik,Andrew Adel"/>
    <s v="Female"/>
    <s v="M"/>
    <n v="99"/>
    <s v="AUH1"/>
  </r>
  <r>
    <n v="203469997"/>
    <s v="chnabatt"/>
    <s v="Charity Nabatte"/>
    <d v="2024-06-13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518"/>
    <s v="Mezzanine Level"/>
    <e v="#N/A"/>
    <s v="Uganda"/>
    <s v="Adecco"/>
    <s v="fraczekk"/>
    <s v="Fraczek, Kamil"/>
    <m/>
    <m/>
    <n v="99"/>
    <s v="AUH1"/>
  </r>
  <r>
    <n v="203470579"/>
    <s v="fzizinga"/>
    <s v="Zizinga Faizal"/>
    <d v="2024-06-13T00:00:00"/>
    <s v="Temporary"/>
    <s v="AUH1"/>
    <n v="1299"/>
    <s v="Day Shift"/>
    <s v="Saturday"/>
    <s v="Sunday"/>
    <s v="Warehouse Associate (AUH)"/>
    <s v="N"/>
    <x v="1"/>
    <d v="2024-08-11T00:00:00"/>
    <m/>
    <s v="Direct"/>
    <m/>
    <n v="1020"/>
    <s v="Mezzanine Level"/>
    <e v="#N/A"/>
    <s v="Uganda"/>
    <s v="Adecco"/>
    <s v="fraczekk"/>
    <s v="Fraczek, Kamil"/>
    <m/>
    <m/>
    <n v="99"/>
    <s v="AUH1"/>
  </r>
  <r>
    <n v="203470082"/>
    <s v="pyaeomau"/>
    <s v="Pyae Phyo Maung"/>
    <d v="2024-06-13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019"/>
    <s v="Mezzanine Level"/>
    <e v="#N/A"/>
    <s v="Myanmar"/>
    <s v="Adecco"/>
    <s v="fraczekk"/>
    <s v="Fraczek, Kamil"/>
    <m/>
    <m/>
    <n v="99"/>
    <s v="AUH1"/>
  </r>
  <r>
    <n v="203469891"/>
    <s v="veqquans"/>
    <s v="Veronica Quansah"/>
    <d v="2024-06-13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517"/>
    <s v="Mezzanine Level"/>
    <e v="#N/A"/>
    <s v="Ghana"/>
    <s v="Adecco"/>
    <s v="fraczekk"/>
    <s v="Fraczek, Kamil"/>
    <m/>
    <m/>
    <n v="99"/>
    <s v="AUH1"/>
  </r>
  <r>
    <n v="203522267"/>
    <s v="narkumap"/>
    <s v="Naresh Kumar"/>
    <d v="2024-06-20T00:00:00"/>
    <s v="Temporary"/>
    <s v="AUH1"/>
    <n v="1299"/>
    <s v="Day Shift"/>
    <s v="Saturday"/>
    <s v="Sunday"/>
    <s v="Warehouse Associate (AUH)"/>
    <s v="N"/>
    <x v="1"/>
    <d v="2024-08-11T00:00:00"/>
    <m/>
    <s v="Direct"/>
    <m/>
    <n v="1022"/>
    <s v="Mezzanine Level"/>
    <e v="#N/A"/>
    <s v="India"/>
    <s v="Adecco"/>
    <s v="fraczekk"/>
    <s v="Fraczek, Kamil"/>
    <m/>
    <m/>
    <n v="99"/>
    <s v="AUH1"/>
  </r>
  <r>
    <n v="203522265"/>
    <s v="safbishn"/>
    <s v="Sahil Bishnu"/>
    <d v="2024-06-20T00:00:00"/>
    <s v="Temporary"/>
    <s v="AUH1"/>
    <n v="1299"/>
    <s v="Day Shift"/>
    <s v="Monday"/>
    <s v="Tuesday"/>
    <s v="Warehouse Associate (AUH)"/>
    <s v="N"/>
    <x v="1"/>
    <d v="2024-08-11T00:00:00"/>
    <m/>
    <s v="Direct"/>
    <m/>
    <n v="1021"/>
    <s v="Mezzanine Level"/>
    <e v="#N/A"/>
    <s v="India"/>
    <s v="Adecco"/>
    <s v="fraczekk"/>
    <s v="Fraczek, Kamil"/>
    <m/>
    <m/>
    <n v="99"/>
    <s v="AUH1"/>
  </r>
  <r>
    <n v="203522266"/>
    <s v="sapyakan"/>
    <s v="Sapinatou Yakan A Ngon"/>
    <d v="2024-06-20T00:00:00"/>
    <s v="Temporary"/>
    <s v="AUH1"/>
    <n v="1299"/>
    <s v="Day Shift"/>
    <s v="Thursday"/>
    <s v="Friday"/>
    <s v="Warehouse Associate (AUH)"/>
    <s v="N"/>
    <x v="1"/>
    <d v="2024-08-11T00:00:00"/>
    <m/>
    <s v="Direct"/>
    <m/>
    <n v="1519"/>
    <s v="Mezzanine Level"/>
    <e v="#N/A"/>
    <s v="Cameroon"/>
    <s v="Adecco"/>
    <s v="fraczekk"/>
    <s v="Fraczek, Kamil"/>
    <m/>
    <m/>
    <n v="99"/>
    <s v="AUH1"/>
  </r>
  <r>
    <n v="203522906"/>
    <s v="sherchik"/>
    <s v="Sheriz Chikombe "/>
    <d v="2024-06-20T00:00:00"/>
    <s v="Temporary"/>
    <s v="AUH1"/>
    <n v="1299"/>
    <s v="Day Shift"/>
    <s v="Sunday"/>
    <s v="Monday"/>
    <s v="Warehouse Associate (AUH)"/>
    <s v="N"/>
    <x v="1"/>
    <d v="2024-08-11T00:00:00"/>
    <m/>
    <s v="Direct"/>
    <m/>
    <n v="1520"/>
    <s v="Mezzanine Level"/>
    <e v="#N/A"/>
    <s v="Cameroon"/>
    <s v="Adecco"/>
    <s v="fraczekk"/>
    <s v="Fraczek, Kamil"/>
    <m/>
    <m/>
    <n v="99"/>
    <s v="AUH1"/>
  </r>
  <r>
    <n v="203522892"/>
    <s v="umagmili"/>
    <s v="Milinda Umasha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9"/>
    <s v="Ground Level"/>
    <e v="#N/A"/>
    <s v="Ghana"/>
    <s v="Adecco"/>
    <m/>
    <m/>
    <m/>
    <m/>
    <n v="99"/>
    <s v="AUH1"/>
  </r>
  <r>
    <n v="203555789"/>
    <s v="kwakglaw"/>
    <s v="Lawrence Kwaku"/>
    <d v="2024-06-27T00:00:00"/>
    <s v="Temporary"/>
    <s v="AUH1"/>
    <n v="1299"/>
    <s v="Day Shift"/>
    <s v="Monday"/>
    <s v="Tuesday"/>
    <s v="Warehouse Associate (AUH)"/>
    <s v="N"/>
    <x v="2"/>
    <d v="2024-08-11T00:00:00"/>
    <s v="Receive Dock"/>
    <s v="Direct"/>
    <m/>
    <n v="20"/>
    <s v="Ground Level"/>
    <e v="#N/A"/>
    <s v="Ghana"/>
    <s v="Adecco"/>
    <s v="jangelad"/>
    <s v="Julia Angela Deligero"/>
    <s v="Male"/>
    <s v="NA"/>
    <n v="99"/>
    <s v="AUH1"/>
  </r>
  <r>
    <n v="203682331"/>
    <s v="franokai"/>
    <s v="Francis Okai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136"/>
    <s v="Mezzanine Level"/>
    <e v="#N/A"/>
    <s v="Ghana"/>
    <s v="Adecco"/>
    <s v="anshafik"/>
    <s v="Shafik,Andrew Adel"/>
    <s v="Male"/>
    <s v="NA"/>
    <n v="99"/>
    <s v="AUH1"/>
  </r>
  <r>
    <n v="203687851"/>
    <s v="nbalakji"/>
    <s v="JISHNU KIDANGAYATH BALAKRISHNAN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37"/>
    <s v="Mezzanine Level"/>
    <e v="#N/A"/>
    <s v="India"/>
    <s v="Adecco"/>
    <s v="anshafik"/>
    <s v="Shafik,Andrew Adel"/>
    <s v="Male"/>
    <s v="NA"/>
    <n v="99"/>
    <s v="AUH1"/>
  </r>
  <r>
    <n v="102205456"/>
    <s v="PURAKKAL"/>
    <s v="Muhammed Purakkal"/>
    <d v="2017-05-13T00:00:00"/>
    <s v="Regular"/>
    <s v="AUH1"/>
    <n v="1299"/>
    <s v="Day Shift"/>
    <s v="Tuesday"/>
    <s v="Wednesday"/>
    <s v="HA Technician"/>
    <s v="N"/>
    <x v="0"/>
    <d v="2024-08-11T00:00:00"/>
    <s v="Customer Returns"/>
    <s v="Direct"/>
    <m/>
    <n v="1110"/>
    <s v="Mezzanine Level"/>
    <e v="#N/A"/>
    <m/>
    <s v="Blue Badge"/>
    <s v="anshafik"/>
    <s v="Shafik,Andrew Adel"/>
    <s v="Male"/>
    <s v="L"/>
    <n v="1"/>
    <s v="DXB3"/>
  </r>
  <r>
    <n v="103476446"/>
    <s v="RAJUGHIM"/>
    <s v="Ghimire,Raju"/>
    <d v="2018-07-25T00:00:00"/>
    <s v="Regular"/>
    <s v="AUH1"/>
    <n v="1299"/>
    <s v="Day Shift"/>
    <s v="Saturday"/>
    <s v="Sunday"/>
    <s v="Device Associates"/>
    <s v="N"/>
    <x v="0"/>
    <d v="2024-08-11T00:00:00"/>
    <s v="Customer Returns"/>
    <s v="Direct"/>
    <m/>
    <n v="1118"/>
    <s v="Mezzanine Level"/>
    <e v="#N/A"/>
    <m/>
    <s v="Blue Badge"/>
    <s v="anshafik"/>
    <s v="Shafik,Andrew Adel"/>
    <s v="Male"/>
    <s v="M"/>
    <n v="1"/>
    <s v="DXB3"/>
  </r>
  <r>
    <n v="102434091"/>
    <s v="GEOJA"/>
    <s v="James,Geo"/>
    <d v="2017-06-18T00:00:00"/>
    <s v="Regular"/>
    <s v="AUH1"/>
    <n v="1299"/>
    <s v="Day Shift"/>
    <s v="Thursday"/>
    <s v="Friday"/>
    <s v="Warehouse Associate"/>
    <s v="N"/>
    <x v="0"/>
    <d v="2024-08-11T00:00:00"/>
    <s v="Customer Returns"/>
    <s v="Direct"/>
    <m/>
    <n v="1114"/>
    <s v="Mezzanine Level"/>
    <e v="#N/A"/>
    <m/>
    <s v="Blue Badge"/>
    <s v="anshafik"/>
    <s v="Shafik,Andrew Adel"/>
    <s v="Male"/>
    <s v="L"/>
    <n v="1"/>
    <s v="DXB3"/>
  </r>
  <r>
    <n v="102582334"/>
    <s v="JAYPEEL"/>
    <s v="Jaypee Lopez"/>
    <d v="2017-08-13T00:00:00"/>
    <s v="Regular"/>
    <s v="AUH1"/>
    <n v="1299"/>
    <s v="Day Shift"/>
    <s v="Monday"/>
    <s v="Tuesday"/>
    <s v="Warehouse Associate"/>
    <s v="N"/>
    <x v="0"/>
    <d v="2024-08-11T00:00:00"/>
    <s v="Customer Returns"/>
    <s v="Direct"/>
    <m/>
    <n v="1117"/>
    <s v="Mezzanine Level"/>
    <e v="#N/A"/>
    <m/>
    <s v="Blue Badge"/>
    <s v="anshafik"/>
    <s v="Shafik,Andrew Adel"/>
    <s v="Male"/>
    <s v="M"/>
    <n v="1"/>
    <s v="DXB3"/>
  </r>
  <r>
    <n v="102434115"/>
    <s v="NCARDINE"/>
    <s v="Noel Cardines"/>
    <d v="2017-06-18T00:00:00"/>
    <s v="Regular"/>
    <s v="AUH1"/>
    <n v="1299"/>
    <s v="Day Shift"/>
    <s v="Monday"/>
    <s v="Tuesday"/>
    <s v="Warehouse Associate"/>
    <s v="N"/>
    <x v="0"/>
    <d v="2024-08-11T00:00:00"/>
    <s v="Customer Returns"/>
    <s v="Direct"/>
    <m/>
    <n v="1116"/>
    <s v="Mezzanine Level"/>
    <e v="#N/A"/>
    <m/>
    <s v="Blue Badge"/>
    <s v="anshafik"/>
    <s v="Shafik,Andrew Adel"/>
    <s v="Male"/>
    <s v="NA"/>
    <n v="1"/>
    <s v="DXB3"/>
  </r>
  <r>
    <n v="102434105"/>
    <s v="THATTYOD"/>
    <s v="Thattyodan,Sarang"/>
    <d v="2017-05-28T00:00:00"/>
    <s v="Regular"/>
    <s v="AUH1"/>
    <n v="1299"/>
    <s v="Day Shift"/>
    <s v="Saturday"/>
    <s v="Sunday"/>
    <s v="Warehouse Associate"/>
    <s v="N"/>
    <x v="0"/>
    <d v="2024-08-11T00:00:00"/>
    <s v="Customer Returns"/>
    <s v="Direct"/>
    <m/>
    <n v="1115"/>
    <s v="Mezzanine Level"/>
    <e v="#N/A"/>
    <m/>
    <s v="Blue Badge"/>
    <s v="anshafik"/>
    <s v="Shafik,Andrew Adel"/>
    <s v="Male"/>
    <s v="M"/>
    <n v="1"/>
    <s v="DXB3"/>
  </r>
  <r>
    <n v="102207650"/>
    <s v="SUNDARAD"/>
    <s v="Dhakshinamoorthy Sundaramoorthy"/>
    <d v="2017-05-13T00:00:00"/>
    <s v="Regular"/>
    <s v="AUH1"/>
    <n v="1299"/>
    <s v="Day Shift"/>
    <s v="Tuesday"/>
    <s v="Wednesday"/>
    <s v="Warehouse Associate"/>
    <s v="N"/>
    <x v="0"/>
    <d v="2024-08-11T00:00:00"/>
    <s v="Customer Returns"/>
    <s v="Direct"/>
    <m/>
    <n v="1112"/>
    <s v="Mezzanine Level"/>
    <e v="#N/A"/>
    <m/>
    <s v="Blue Badge"/>
    <s v="anshafik"/>
    <s v="Shafik,Andrew Adel"/>
    <s v="Male"/>
    <s v="L"/>
    <n v="1"/>
    <s v="DXB3"/>
  </r>
  <r>
    <n v="102206211"/>
    <s v="ADIMUHAM"/>
    <s v="Muhammad Adil"/>
    <d v="2017-05-13T00:00:00"/>
    <s v="Regular"/>
    <s v="AUH1"/>
    <n v="1299"/>
    <s v="Day Shift"/>
    <s v="Sunday"/>
    <s v="Monday"/>
    <s v="Laptop Technician"/>
    <s v="N"/>
    <x v="0"/>
    <d v="2024-08-11T00:00:00"/>
    <s v="Customer Returns"/>
    <s v="Direct"/>
    <m/>
    <n v="1111"/>
    <s v="Mezzanine Level"/>
    <e v="#N/A"/>
    <m/>
    <s v="Blue Badge"/>
    <s v="anshafik"/>
    <s v="Shafik,Andrew Adel"/>
    <s v="Male"/>
    <s v="L"/>
    <n v="1"/>
    <s v="DXB3"/>
  </r>
  <r>
    <n v="102207652"/>
    <s v="RVEETIL"/>
    <s v="Rafeek Theruvath Veettil"/>
    <d v="2017-05-13T00:00:00"/>
    <s v="Regular"/>
    <s v="AUH1"/>
    <n v="1299"/>
    <s v="Day Shift"/>
    <s v="Saturday"/>
    <s v="Sunday"/>
    <s v="Warehouse Associate"/>
    <s v="N"/>
    <x v="0"/>
    <d v="2024-08-11T00:00:00"/>
    <s v="Customer Returns"/>
    <s v="Direct"/>
    <m/>
    <n v="1113"/>
    <s v="Mezzanine Level"/>
    <e v="#N/A"/>
    <m/>
    <s v="Blue Badge"/>
    <s v="anshafik"/>
    <s v="Shafik,Andrew Adel"/>
    <s v="Male"/>
    <s v="M"/>
    <n v="1"/>
    <s v="DXB3"/>
  </r>
  <r>
    <n v="107117478"/>
    <s v="lmohsyed"/>
    <s v="Ajeem, Syed"/>
    <d v="2022-08-24T00:00:00"/>
    <s v="Regular"/>
    <s v="AUH1"/>
    <n v="1299"/>
    <s v="Day Shift"/>
    <s v="Wednesday"/>
    <s v="Thursday"/>
    <s v="FC Associate I"/>
    <s v="N"/>
    <x v="0"/>
    <d v="2024-08-11T00:00:00"/>
    <s v="Customer Returns"/>
    <s v="Direct"/>
    <m/>
    <n v="1119"/>
    <s v="Mezzanine Level"/>
    <e v="#N/A"/>
    <m/>
    <s v="Blue Badge"/>
    <s v="anshafik"/>
    <s v="Shafik,Andrew Adel"/>
    <s v="Male"/>
    <s v="XL"/>
    <n v="1"/>
    <s v="DXB3"/>
  </r>
  <r>
    <n v="103775146"/>
    <s v="SMUHAMA"/>
    <s v="Muhammad Shahzad"/>
    <d v="2020-08-24T00:00:00"/>
    <s v="Regular"/>
    <s v="AUH1"/>
    <n v="1299"/>
    <s v="Day Shift"/>
    <s v="Thursday"/>
    <s v="Friday"/>
    <s v="FC associate"/>
    <s v="N"/>
    <x v="1"/>
    <d v="2024-08-11T00:00:00"/>
    <m/>
    <s v="Direct"/>
    <m/>
    <n v="1010"/>
    <s v="Mezzanine Level"/>
    <e v="#N/A"/>
    <m/>
    <s v="Blue Badge"/>
    <s v="fraczekk"/>
    <s v="Fraczek, Kamil"/>
    <m/>
    <m/>
    <n v="1"/>
    <s v="DXB5"/>
  </r>
  <r>
    <n v="103875256"/>
    <s v="mkhlim"/>
    <s v="Muhammad Khalid"/>
    <d v="2022-08-09T00:00:00"/>
    <s v="Regular"/>
    <s v="AUH1"/>
    <n v="1299"/>
    <s v="Day Shift"/>
    <s v="Thursday"/>
    <s v="Friday"/>
    <s v="FC Associate I"/>
    <s v="N"/>
    <x v="1"/>
    <d v="2024-08-11T00:00:00"/>
    <s v="IC/QA/CS"/>
    <s v="Direct"/>
    <m/>
    <n v="1011"/>
    <s v="Mezzanine Level"/>
    <e v="#N/A"/>
    <m/>
    <s v="Blue Badge"/>
    <s v="fraczekk"/>
    <s v="Fraczek, Kamil"/>
    <s v="Male"/>
    <s v="M"/>
    <n v="1"/>
    <s v="DXB3"/>
  </r>
  <r>
    <n v="106268319"/>
    <s v="jemaisen"/>
    <s v="Jemaisen Hermano Plaza"/>
    <d v="2022-07-15T00:00:00"/>
    <s v="Regular"/>
    <s v="AUH1"/>
    <n v="1299"/>
    <s v="Day Shift"/>
    <s v="Sunday"/>
    <s v="Monday"/>
    <s v="FC Associate I"/>
    <s v="N"/>
    <x v="1"/>
    <d v="2024-08-11T00:00:00"/>
    <s v="IC/QA/CS"/>
    <s v="Direct"/>
    <m/>
    <n v="1514"/>
    <s v="Mezzanine Level"/>
    <e v="#N/A"/>
    <m/>
    <s v="Blue Badge"/>
    <s v="fraczekk"/>
    <s v="Fraczek, Kamil"/>
    <s v="Female"/>
    <s v="XL"/>
    <n v="1"/>
    <s v="DXB3"/>
  </r>
  <r>
    <n v="106268210"/>
    <s v="zemensij"/>
    <s v="Zemenay Tsega Siyum"/>
    <d v="2022-07-15T00:00:00"/>
    <s v="Regular"/>
    <s v="AUH1"/>
    <n v="1299"/>
    <s v="Day Shift"/>
    <s v="Friday"/>
    <s v="Saturday"/>
    <s v="FC Associate I"/>
    <s v="N"/>
    <x v="1"/>
    <d v="2024-08-11T00:00:00"/>
    <s v="IC/QA/CS"/>
    <s v="Direct"/>
    <m/>
    <n v="1513"/>
    <s v="Mezzanine Level"/>
    <e v="#N/A"/>
    <m/>
    <s v="Blue Badge"/>
    <s v="fraczekk"/>
    <s v="Fraczek, Kamil"/>
    <s v="Female"/>
    <s v="XL"/>
    <n v="1"/>
    <s v="DXB3"/>
  </r>
  <r>
    <n v="103986189"/>
    <s v="irfmali"/>
    <s v="Muhammad,Malik"/>
    <d v="2022-08-09T00:00:00"/>
    <s v="Regular"/>
    <s v="AUH1"/>
    <n v="1299"/>
    <s v="Day Shift"/>
    <s v="Sunday"/>
    <s v="Monday"/>
    <s v="FC Associate I"/>
    <s v="N"/>
    <x v="2"/>
    <d v="2024-08-11T00:00:00"/>
    <m/>
    <s v="Direct"/>
    <m/>
    <n v="5"/>
    <s v="Ground Level"/>
    <e v="#N/A"/>
    <m/>
    <s v="Blue Badge"/>
    <m/>
    <m/>
    <m/>
    <m/>
    <n v="1"/>
    <s v="DXB5"/>
  </r>
  <r>
    <n v="106262694"/>
    <s v="gautasu"/>
    <s v="Suresh Gautam"/>
    <d v="2022-07-15T00:00:00"/>
    <s v="Regular"/>
    <s v="AUH1"/>
    <n v="1299"/>
    <s v="Day Shift"/>
    <s v="Tuesday"/>
    <s v="Wednesday"/>
    <s v="FC Associate I"/>
    <s v="N"/>
    <x v="2"/>
    <d v="2024-08-11T00:00:00"/>
    <m/>
    <s v="Direct"/>
    <m/>
    <n v="8"/>
    <s v="Ground Level"/>
    <e v="#N/A"/>
    <m/>
    <s v="Blue Badge"/>
    <m/>
    <m/>
    <m/>
    <m/>
    <n v="1"/>
    <s v="DXB5"/>
  </r>
  <r>
    <n v="109749061"/>
    <s v="naemalla"/>
    <s v="Malladi, NagaBhushananm"/>
    <d v="2022-09-27T00:00:00"/>
    <s v="Regular"/>
    <s v="AUH1"/>
    <n v="1299"/>
    <s v="Day Shift"/>
    <s v="Tuesday"/>
    <s v="Wednesday"/>
    <s v="FC Associate I"/>
    <s v="N"/>
    <x v="2"/>
    <d v="2024-08-11T00:00:00"/>
    <s v="Replenishment"/>
    <s v="Direct"/>
    <m/>
    <n v="7"/>
    <s v="Ground Level"/>
    <e v="#N/A"/>
    <m/>
    <s v="Blue Badge"/>
    <s v="ahssma"/>
    <s v="Ahmed Madbouly"/>
    <s v="Male"/>
    <s v="XL"/>
    <n v="1"/>
    <s v="DXB3"/>
  </r>
  <r>
    <n v="102570041"/>
    <s v="JJOSAMZ"/>
    <s v="Joseph,John"/>
    <d v="2017-08-20T00:00:00"/>
    <s v="Regular"/>
    <s v="AUH1"/>
    <n v="1299"/>
    <s v="Day Shift"/>
    <s v="Thursday"/>
    <s v="Friday"/>
    <s v="Warehouse Associate"/>
    <s v="N"/>
    <x v="2"/>
    <d v="2024-08-11T00:00:00"/>
    <s v="IB Lead/PA"/>
    <s v="Direct"/>
    <m/>
    <n v="1"/>
    <s v="Ground Level"/>
    <e v="#N/A"/>
    <m/>
    <s v="Blue Badge"/>
    <s v="ahmadzr"/>
    <s v="Ahmad Adly Ahmad Al- Zoubi"/>
    <s v="Male"/>
    <s v="L"/>
    <n v="1"/>
    <s v="DXB3"/>
  </r>
  <r>
    <n v="102718052"/>
    <s v="PRASADOP"/>
    <s v="Omprakash Prasad"/>
    <d v="2017-09-12T00:00:00"/>
    <s v="Regular"/>
    <s v="AUH1"/>
    <n v="1299"/>
    <s v="Day Shift"/>
    <s v="Saturday"/>
    <s v="Sunday"/>
    <s v="Warehouse Associate"/>
    <s v="N"/>
    <x v="2"/>
    <d v="2024-08-11T00:00:00"/>
    <s v="Vendor receive"/>
    <s v="Direct"/>
    <m/>
    <n v="2"/>
    <s v="Ground Level"/>
    <e v="#N/A"/>
    <m/>
    <s v="Blue Badge"/>
    <s v="ahmadzr"/>
    <s v="Ahmad Adly Ahmad Al- Zoubi"/>
    <s v="Male"/>
    <s v="M"/>
    <n v="1"/>
    <s v="DXB3"/>
  </r>
  <r>
    <n v="104147044"/>
    <s v="madhavau"/>
    <s v="Valiyaparambil Madhavan,Unnikrishnan"/>
    <d v="2022-10-27T00:00:00"/>
    <s v="Regular"/>
    <s v="AUH1"/>
    <n v="1299"/>
    <s v="Day Shift"/>
    <s v="Sunday"/>
    <s v="Monday"/>
    <s v="FC Associate I"/>
    <s v="N"/>
    <x v="2"/>
    <d v="2024-08-11T00:00:00"/>
    <s v="Inbound Stow"/>
    <s v="Direct"/>
    <m/>
    <n v="6"/>
    <s v="Ground Level"/>
    <e v="#N/A"/>
    <m/>
    <s v="Blue Badge"/>
    <s v="ahssma"/>
    <s v="Ahmed Madbouly"/>
    <s v="Male"/>
    <s v="M"/>
    <n v="1"/>
    <s v="DXB3"/>
  </r>
  <r>
    <n v="109468376"/>
    <s v="ykkoffi"/>
    <s v="Koffi,Yao Pacome"/>
    <d v="2022-09-08T00:00:00"/>
    <s v="Regular"/>
    <s v="AUH1"/>
    <n v="1299"/>
    <s v="Day Shift"/>
    <s v="Friday"/>
    <s v="Saturday"/>
    <s v="FC Associate I"/>
    <s v="N"/>
    <x v="2"/>
    <d v="2024-08-11T00:00:00"/>
    <s v="Inbound Stow"/>
    <s v="Direct"/>
    <m/>
    <n v="9"/>
    <s v="Ground Level"/>
    <e v="#N/A"/>
    <m/>
    <s v="Blue Badge"/>
    <s v="ahssma"/>
    <s v="Ahmed Madbouly"/>
    <s v="Male"/>
    <s v="XL"/>
    <n v="1"/>
    <s v="DXB3"/>
  </r>
  <r>
    <n v="103055719"/>
    <s v="VALILLAT"/>
    <s v="Sumeshmohan Madhumohanan"/>
    <d v="2017-12-27T00:00:00"/>
    <s v="Regular"/>
    <s v="AUH1"/>
    <n v="1299"/>
    <s v="Day Shift"/>
    <s v="Monday"/>
    <s v="Tuesday"/>
    <s v="Forklift Operator"/>
    <s v="N"/>
    <x v="2"/>
    <d v="2024-08-11T00:00:00"/>
    <s v="Inbound Stow"/>
    <s v="Direct"/>
    <m/>
    <n v="3"/>
    <s v="Ground Level"/>
    <e v="#N/A"/>
    <m/>
    <s v="Blue Badge"/>
    <s v="ahssma"/>
    <s v="Ahmed Madbouly"/>
    <s v="Male"/>
    <s v="M"/>
    <n v="1"/>
    <s v="DXB3"/>
  </r>
  <r>
    <n v="111231851"/>
    <s v="ajmalaa"/>
    <s v="Abdul Qadir Muhammad Ajmal"/>
    <d v="2022-08-09T00:00:00"/>
    <s v="Regular"/>
    <s v="AUH1"/>
    <n v="1299"/>
    <s v="Day Shift"/>
    <s v="Saturday"/>
    <s v="Sunday"/>
    <s v="FC Associate I"/>
    <s v="N"/>
    <x v="2"/>
    <d v="2024-08-11T00:00:00"/>
    <m/>
    <s v="Direct"/>
    <m/>
    <n v="11"/>
    <s v="Ground Level"/>
    <e v="#N/A"/>
    <m/>
    <s v="Blue Badge"/>
    <m/>
    <m/>
    <m/>
    <m/>
    <n v="1"/>
    <s v="DXB5"/>
  </r>
  <r>
    <n v="110330601"/>
    <s v="alhajban"/>
    <s v="Alhaji Amara Rahman Bangura"/>
    <d v="2022-07-15T00:00:00"/>
    <s v="Regular"/>
    <s v="AUH1"/>
    <n v="1299"/>
    <s v="Day Shift"/>
    <s v="Friday"/>
    <s v="Saturday"/>
    <s v="FC Associate I"/>
    <s v="N"/>
    <x v="2"/>
    <d v="2024-08-11T00:00:00"/>
    <m/>
    <s v="Direct"/>
    <m/>
    <n v="10"/>
    <s v="Ground Level"/>
    <e v="#N/A"/>
    <m/>
    <s v="Blue Badge"/>
    <m/>
    <m/>
    <m/>
    <m/>
    <n v="1"/>
    <s v="DXB5"/>
  </r>
  <r>
    <n v="104277448"/>
    <s v="ABERIAJ"/>
    <s v="Jennifer Bacsa Aberia"/>
    <d v="2020-08-24T00:00:00"/>
    <s v="Regular"/>
    <s v="AUH1"/>
    <n v="1299"/>
    <s v="Day Shift"/>
    <s v="Monday"/>
    <s v="Tuesday"/>
    <s v="FC associate"/>
    <s v="N"/>
    <x v="2"/>
    <d v="2024-08-11T00:00:00"/>
    <m/>
    <s v="Direct"/>
    <m/>
    <n v="505"/>
    <s v="Ground Level"/>
    <e v="#N/A"/>
    <m/>
    <s v="Blue Badge"/>
    <m/>
    <m/>
    <m/>
    <m/>
    <n v="1"/>
    <s v="DXB5"/>
  </r>
  <r>
    <n v="103060279"/>
    <s v="BENTEROE"/>
    <s v="Edito Bentero"/>
    <d v="2017-12-11T00:00:00"/>
    <s v="Regular"/>
    <s v="AUH1"/>
    <n v="1299"/>
    <s v="Day Shift"/>
    <s v="Monday"/>
    <s v="Tuesday"/>
    <s v="Warehouse Associate"/>
    <s v="N"/>
    <x v="2"/>
    <d v="2024-08-11T00:00:00"/>
    <m/>
    <s v="Direct"/>
    <m/>
    <n v="4"/>
    <s v="Ground Level"/>
    <e v="#N/A"/>
    <m/>
    <s v="Blue Badge"/>
    <m/>
    <m/>
    <m/>
    <m/>
    <n v="1"/>
    <s v="DXB5"/>
  </r>
  <r>
    <n v="203469072"/>
    <s v="aliallaf"/>
    <s v="Allafha Ali"/>
    <d v="2024-06-13T00:00:00"/>
    <s v="Temporary"/>
    <s v="AUH1"/>
    <n v="1299"/>
    <s v="Day Shift"/>
    <s v="Monday"/>
    <s v="Tuesday"/>
    <s v="Warehouse Associate (AUH)"/>
    <s v="N"/>
    <x v="0"/>
    <d v="2024-08-11T00:00:00"/>
    <s v="Receive Dock"/>
    <s v="Direct"/>
    <m/>
    <n v="1548"/>
    <s v="Mezzanine Level"/>
    <e v="#N/A"/>
    <s v="Nigeria"/>
    <s v="Fastlink"/>
    <s v="anshafik"/>
    <s v="Shafik,Andrew Adel"/>
    <s v="Female"/>
    <s v="XL"/>
    <n v="99"/>
    <s v="AUH1"/>
  </r>
  <r>
    <n v="203469100"/>
    <s v="ngarista"/>
    <s v="Aristarchus Nyongue Nganjoh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25"/>
    <s v="Mezzanine Level"/>
    <e v="#N/A"/>
    <s v="Cameroon"/>
    <s v="Fastlink"/>
    <s v="anshafik"/>
    <s v="Shafik,Andrew Adel"/>
    <s v="Male"/>
    <s v="NA"/>
    <n v="99"/>
    <s v="AUH1"/>
  </r>
  <r>
    <n v="203469051"/>
    <s v="bowusuda"/>
    <s v="Daniel Owusu"/>
    <d v="2024-06-13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21"/>
    <s v="Mezzanine Level"/>
    <e v="#N/A"/>
    <s v="Ghana"/>
    <s v="Fastlink"/>
    <s v="anshafik"/>
    <s v="Shafik,Andrew Adel"/>
    <s v="Male"/>
    <s v="NA"/>
    <n v="99"/>
    <s v="AUH1"/>
  </r>
  <r>
    <n v="203469090"/>
    <s v="xebenead"/>
    <s v="Ebenezer Aduhene"/>
    <d v="2024-06-13T00:00:00"/>
    <s v="Temporary"/>
    <s v="AUH1"/>
    <n v="1299"/>
    <s v="Day Shift"/>
    <s v="Thursday"/>
    <s v="Friday"/>
    <s v="Warehouse Associate (AUH)"/>
    <s v="N"/>
    <x v="0"/>
    <d v="2024-08-11T00:00:00"/>
    <s v="Receive Dock"/>
    <s v="Direct"/>
    <m/>
    <n v="1123"/>
    <s v="Mezzanine Level"/>
    <e v="#N/A"/>
    <s v="Ghana"/>
    <s v="Fastlink"/>
    <s v="anshafik"/>
    <s v="Shafik,Andrew Adel"/>
    <s v="Male"/>
    <s v="M"/>
    <n v="99"/>
    <s v="AUH1"/>
  </r>
  <r>
    <n v="203469167"/>
    <s v="tetteben"/>
    <s v="Ebenezer Ayiku Tettey"/>
    <d v="2024-06-13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26"/>
    <s v="Mezzanine Level"/>
    <e v="#N/A"/>
    <s v="Ghana"/>
    <s v="Fastlink"/>
    <s v="anshafik"/>
    <s v="Shafik,Andrew Adel"/>
    <s v="Male"/>
    <s v="NA"/>
    <n v="99"/>
    <s v="AUH1"/>
  </r>
  <r>
    <n v="203469060"/>
    <s v="manjegra"/>
    <s v="Grace Manjengwa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47"/>
    <s v="Mezzanine Level"/>
    <e v="#N/A"/>
    <s v="Zimbabwe"/>
    <s v="Fastlink"/>
    <s v="anshafik"/>
    <s v="Shafik,Andrew Adel"/>
    <s v="Female"/>
    <s v="NA"/>
    <n v="99"/>
    <s v="AUH1"/>
  </r>
  <r>
    <n v="203469053"/>
    <s v="joaagyek"/>
    <s v="Joana Alice Agyekum"/>
    <d v="2024-06-13T00:00:00"/>
    <s v="Temporary"/>
    <s v="AUH1"/>
    <n v="1299"/>
    <s v="Day Shift"/>
    <s v="Monday"/>
    <s v="Tuesday"/>
    <s v="Warehouse Associate (AUH)"/>
    <s v="N"/>
    <x v="0"/>
    <d v="2024-08-11T00:00:00"/>
    <s v="Receive Dock"/>
    <s v="Direct"/>
    <m/>
    <n v="1571"/>
    <s v="Mezzanine Level"/>
    <e v="#N/A"/>
    <s v="Ghana"/>
    <s v="Fastlink"/>
    <s v="anshafik"/>
    <s v="Shafik,Andrew Adel"/>
    <s v="Female"/>
    <s v="L"/>
    <n v="99"/>
    <s v="AUH1"/>
  </r>
  <r>
    <n v="203469078"/>
    <s v="karugaba"/>
    <s v="Johnpaul Jeckinz Karugaba"/>
    <d v="2024-06-13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45"/>
    <s v="Mezzanine Level"/>
    <e v="#N/A"/>
    <s v="Uganda"/>
    <s v="Fastlink"/>
    <s v="anshafik"/>
    <s v="Shafik,Andrew Adel"/>
    <s v="Male"/>
    <s v="NA"/>
    <n v="99"/>
    <s v="AUH1"/>
  </r>
  <r>
    <n v="203469052"/>
    <s v="jonztutu"/>
    <s v="Jonnathan Osei Tutu"/>
    <d v="2024-06-13T00:00:00"/>
    <s v="Temporary"/>
    <s v="AUH1"/>
    <n v="1299"/>
    <s v="Day Shift"/>
    <s v="Wednesday"/>
    <s v="Thursday"/>
    <s v="Warehouse Associate (AUH)"/>
    <s v="N"/>
    <x v="0"/>
    <d v="2024-08-11T00:00:00"/>
    <s v="Receive Dock"/>
    <s v="Direct"/>
    <m/>
    <n v="1144"/>
    <s v="Mezzanine Level"/>
    <e v="#N/A"/>
    <s v="Ghana"/>
    <s v="Fastlink"/>
    <s v="anshafik"/>
    <s v="Shafik,Andrew Adel"/>
    <s v="Male"/>
    <s v="NA"/>
    <n v="99"/>
    <s v="AUH1"/>
  </r>
  <r>
    <n v="203469169"/>
    <s v="quayeell"/>
    <s v="Lloyd Quaye"/>
    <d v="2024-06-13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49"/>
    <s v="Mezzanine Level"/>
    <e v="#N/A"/>
    <s v="Ghana"/>
    <s v="Fastlink"/>
    <s v="anshafik"/>
    <s v="Shafik,Andrew Adel"/>
    <s v="Male"/>
    <s v="NA"/>
    <n v="99"/>
    <s v="AUH1"/>
  </r>
  <r>
    <n v="203469083"/>
    <s v="jrockson"/>
    <s v="Rockson Awusi Junior"/>
    <d v="2024-06-13T00:00:00"/>
    <s v="Temporary"/>
    <s v="AUH1"/>
    <n v="1299"/>
    <s v="Day Shift"/>
    <s v="Saturday"/>
    <s v="Sunday"/>
    <s v="Warehouse Associate (AUH)"/>
    <s v="N"/>
    <x v="0"/>
    <d v="2024-08-11T00:00:00"/>
    <s v="Receive Dock"/>
    <s v="Direct"/>
    <m/>
    <n v="1146"/>
    <s v="Mezzanine Level"/>
    <e v="#N/A"/>
    <s v="Ghana"/>
    <s v="Fastlink"/>
    <s v="anshafik"/>
    <s v="Shafik,Andrew Adel"/>
    <s v="Male"/>
    <s v="M"/>
    <n v="99"/>
    <s v="AUH1"/>
  </r>
  <r>
    <n v="203469114"/>
    <s v="owususol"/>
    <s v="Solomon Owusu"/>
    <d v="2024-06-13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147"/>
    <s v="Mezzanine Level"/>
    <e v="#N/A"/>
    <s v="Ghana"/>
    <s v="Fastlink"/>
    <s v="anshafik"/>
    <s v="Shafik,Andrew Adel"/>
    <s v="Male"/>
    <s v="NA"/>
    <n v="99"/>
    <s v="AUH1"/>
  </r>
  <r>
    <n v="203469168"/>
    <s v="tabtabi"/>
    <s v="Tabi Peter Tabi"/>
    <d v="2024-06-13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48"/>
    <s v="Mezzanine Level"/>
    <e v="#N/A"/>
    <s v="Cameroon"/>
    <s v="Fastlink"/>
    <s v="anshafik"/>
    <s v="Shafik,Andrew Adel"/>
    <s v="Male"/>
    <s v="NA"/>
    <n v="99"/>
    <s v="AUH1"/>
  </r>
  <r>
    <n v="203468316"/>
    <s v="abafffoe"/>
    <s v="Abigail Bafffoe"/>
    <d v="2024-06-13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08"/>
    <s v="Ground Level"/>
    <e v="#N/A"/>
    <s v="Ghana"/>
    <s v="Fastlink"/>
    <m/>
    <m/>
    <m/>
    <m/>
    <n v="99"/>
    <s v="AUH1"/>
  </r>
  <r>
    <n v="203468308"/>
    <s v="bakaltwa"/>
    <s v="Twaha Bakali"/>
    <d v="2024-06-13T00:00:00"/>
    <s v="Temporary"/>
    <s v="AUH1"/>
    <n v="1299"/>
    <s v="Day Shift"/>
    <s v="Friday"/>
    <s v="Saturday"/>
    <s v="Warehouse Associate (AUH)"/>
    <s v="N"/>
    <x v="2"/>
    <d v="2024-08-11T00:00:00"/>
    <m/>
    <s v="Direct"/>
    <m/>
    <n v="14"/>
    <s v="Ground Level"/>
    <e v="#N/A"/>
    <s v="Ghana"/>
    <s v="Fastlink"/>
    <m/>
    <m/>
    <m/>
    <m/>
    <n v="99"/>
    <s v="AUH1"/>
  </r>
  <r>
    <n v="203468310"/>
    <s v="blesndu"/>
    <s v="Blessing Anya Ndu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06"/>
    <s v="Ground Level"/>
    <e v="#N/A"/>
    <s v="Ghana"/>
    <s v="Fastlink"/>
    <m/>
    <m/>
    <m/>
    <m/>
    <n v="99"/>
    <s v="AUH1"/>
  </r>
  <r>
    <n v="203468309"/>
    <s v="chiraurm"/>
    <s v="Chiraura Trinity Mapendere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5"/>
    <s v="Ground Level"/>
    <e v="#N/A"/>
    <s v="Ghana"/>
    <s v="Fastlink"/>
    <m/>
    <m/>
    <m/>
    <m/>
    <n v="99"/>
    <s v="AUH1"/>
  </r>
  <r>
    <n v="203468318"/>
    <s v="dorasare"/>
    <s v="Dorothy Asare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09"/>
    <s v="Ground Level"/>
    <e v="#N/A"/>
    <s v="Ghana"/>
    <s v="Fastlink"/>
    <m/>
    <m/>
    <m/>
    <m/>
    <n v="99"/>
    <s v="AUH1"/>
  </r>
  <r>
    <n v="203468312"/>
    <s v="impriagl"/>
    <s v="Gloria Impriam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07"/>
    <s v="Ground Level"/>
    <e v="#N/A"/>
    <s v="Ghana"/>
    <s v="Fastlink"/>
    <m/>
    <m/>
    <m/>
    <m/>
    <n v="99"/>
    <s v="AUH1"/>
  </r>
  <r>
    <n v="203468307"/>
    <s v="lovakomb"/>
    <s v="Lovet Akombi"/>
    <d v="2024-06-13T00:00:00"/>
    <s v="Temporary"/>
    <s v="AUH1"/>
    <n v="1299"/>
    <s v="Day Shift"/>
    <s v="Friday"/>
    <s v="Saturday"/>
    <s v="Warehouse Associate (AUH)"/>
    <s v="N"/>
    <x v="2"/>
    <d v="2024-08-11T00:00:00"/>
    <m/>
    <s v="Direct"/>
    <m/>
    <n v="13"/>
    <s v="Ground Level"/>
    <e v="#N/A"/>
    <s v="Ghana"/>
    <s v="Fastlink"/>
    <m/>
    <m/>
    <m/>
    <m/>
    <n v="99"/>
    <s v="AUH1"/>
  </r>
  <r>
    <n v="203470694"/>
    <s v="mausabus"/>
    <s v="Maureen Sabum"/>
    <d v="2024-06-13T00:00:00"/>
    <s v="Temporary"/>
    <s v="AUH1"/>
    <n v="1299"/>
    <s v="Day Shift"/>
    <s v="Tuesday"/>
    <s v="Wednesday"/>
    <s v="Warehouse Associate (AUH)"/>
    <s v="N"/>
    <x v="2"/>
    <d v="2024-08-11T00:00:00"/>
    <m/>
    <s v="Direct"/>
    <m/>
    <n v="510"/>
    <s v="Ground Level"/>
    <e v="#N/A"/>
    <s v="Ghana"/>
    <s v="Fastlink"/>
    <m/>
    <m/>
    <m/>
    <m/>
    <n v="99"/>
    <s v="AUH1"/>
  </r>
  <r>
    <n v="203468317"/>
    <s v="pdavadom"/>
    <s v="David Benjamin Adom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6"/>
    <s v="Ground Level"/>
    <e v="#N/A"/>
    <s v="Ghana"/>
    <s v="Fastlink"/>
    <m/>
    <m/>
    <m/>
    <m/>
    <n v="99"/>
    <s v="AUH1"/>
  </r>
  <r>
    <n v="203468319"/>
    <s v="pshaabas"/>
    <s v="Sharif Abass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18"/>
    <s v="Ground Level"/>
    <e v="#N/A"/>
    <s v="Ghana"/>
    <s v="Fastlink"/>
    <m/>
    <m/>
    <m/>
    <m/>
    <n v="99"/>
    <s v="AUH1"/>
  </r>
  <r>
    <n v="203468311"/>
    <s v="tatwgwar"/>
    <s v="Tatenda Gwara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"/>
    <s v="Ground Level"/>
    <e v="#N/A"/>
    <s v="Ghana"/>
    <s v="Fastlink"/>
    <m/>
    <m/>
    <m/>
    <m/>
    <n v="99"/>
    <s v="AUH1"/>
  </r>
  <r>
    <n v="203468508"/>
    <s v="amaduga"/>
    <s v="Ganiu Amadu"/>
    <d v="2024-06-13T00:00:00"/>
    <s v="Temporary"/>
    <s v="AUH1"/>
    <n v="1299"/>
    <s v="Day Shift"/>
    <s v="Monday"/>
    <s v="Tuesday"/>
    <s v="Warehouse Associate (AUH)"/>
    <s v="N"/>
    <x v="1"/>
    <d v="2024-08-11T00:00:00"/>
    <m/>
    <s v="Direct"/>
    <m/>
    <n v="1015"/>
    <s v="Mezzanine Level"/>
    <e v="#N/A"/>
    <s v="Ghana"/>
    <s v="Fastlink"/>
    <s v="fraczekk"/>
    <s v="Fraczek, Kamil"/>
    <m/>
    <m/>
    <n v="99"/>
    <s v="AUH1"/>
  </r>
  <r>
    <n v="203468507"/>
    <s v="boamhenr"/>
    <s v="Henry Asiamah Boamah"/>
    <d v="2024-06-13T00:00:00"/>
    <s v="Temporary"/>
    <s v="AUH1"/>
    <n v="1299"/>
    <s v="Day Shift"/>
    <s v="Friday"/>
    <s v="Saturday"/>
    <s v="Warehouse Associate (AUH)"/>
    <s v="N"/>
    <x v="1"/>
    <d v="2024-08-11T00:00:00"/>
    <m/>
    <s v="Direct"/>
    <m/>
    <n v="1014"/>
    <s v="Mezzanine Level"/>
    <e v="#N/A"/>
    <s v="Ghana"/>
    <s v="Fastlink"/>
    <s v="fraczekk"/>
    <s v="Fraczek, Kamil"/>
    <m/>
    <m/>
    <n v="99"/>
    <s v="AUH1"/>
  </r>
  <r>
    <n v="203468511"/>
    <s v="eboppong"/>
    <s v="Ebenezer Oppong"/>
    <d v="2024-06-13T00:00:00"/>
    <s v="Temporary"/>
    <s v="AUH1"/>
    <n v="1299"/>
    <s v="Day Shift"/>
    <s v="Wednesday"/>
    <s v="Thursday"/>
    <s v="Warehouse Associate (AUH)"/>
    <s v="N"/>
    <x v="1"/>
    <d v="2024-08-11T00:00:00"/>
    <m/>
    <s v="Direct"/>
    <m/>
    <n v="1162"/>
    <s v="Mezzanine Level"/>
    <e v="#N/A"/>
    <s v="Ghana"/>
    <s v="Fastlink"/>
    <s v="fraczekk"/>
    <s v="Fraczek, Kamil"/>
    <m/>
    <m/>
    <n v="99"/>
    <s v="AUH1"/>
  </r>
  <r>
    <n v="203468510"/>
    <s v="kombabep"/>
    <s v="Abel Bayelema Kombat"/>
    <d v="2024-06-13T00:00:00"/>
    <s v="Temporary"/>
    <s v="AUH1"/>
    <n v="1299"/>
    <s v="Day Shift"/>
    <s v="Friday"/>
    <s v="Saturday"/>
    <s v="Warehouse Associate (AUH)"/>
    <s v="N"/>
    <x v="1"/>
    <d v="2024-08-11T00:00:00"/>
    <m/>
    <s v="Direct"/>
    <m/>
    <n v="1017"/>
    <s v="Mezzanine Level"/>
    <e v="#N/A"/>
    <s v="Ghana"/>
    <s v="Fastlink"/>
    <s v="fraczekk"/>
    <s v="Fraczek, Kamil"/>
    <m/>
    <m/>
    <n v="99"/>
    <s v="AUH1"/>
  </r>
  <r>
    <n v="203468509"/>
    <s v="xcemmanu"/>
    <s v="Emmanuel Cudjoe"/>
    <d v="2024-06-13T00:00:00"/>
    <s v="Temporary"/>
    <s v="AUH1"/>
    <n v="1299"/>
    <s v="Day Shift"/>
    <s v="Tuesday"/>
    <s v="Wednesday"/>
    <s v="Warehouse Associate (AUH)"/>
    <s v="N"/>
    <x v="1"/>
    <d v="2024-08-11T00:00:00"/>
    <m/>
    <s v="Direct"/>
    <m/>
    <n v="1016"/>
    <s v="Mezzanine Level"/>
    <e v="#N/A"/>
    <s v="Ghana"/>
    <s v="Fastlink"/>
    <s v="fraczekk"/>
    <s v="Fraczek, Kamil"/>
    <m/>
    <m/>
    <n v="99"/>
    <s v="AUH1"/>
  </r>
  <r>
    <n v="203468396"/>
    <s v="asomakin"/>
    <s v="Kingsley Asomani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3"/>
    <s v="Ground Level"/>
    <e v="#N/A"/>
    <s v="Ghana"/>
    <s v="Fastlink"/>
    <m/>
    <m/>
    <m/>
    <m/>
    <n v="99"/>
    <s v="AUH1"/>
  </r>
  <r>
    <n v="203468404"/>
    <s v="darkjosh"/>
    <s v="Joshua Okyere Darko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1"/>
    <s v="Ground Level"/>
    <e v="#N/A"/>
    <s v="Ghana"/>
    <s v="Fastlink"/>
    <m/>
    <m/>
    <m/>
    <m/>
    <n v="99"/>
    <s v="AUH1"/>
  </r>
  <r>
    <n v="203468403"/>
    <s v="emmenniu"/>
    <s v="Emmanuel Asare Ennin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0"/>
    <s v="Ground Level"/>
    <e v="#N/A"/>
    <s v="Ghana"/>
    <s v="Fastlink"/>
    <m/>
    <m/>
    <m/>
    <m/>
    <n v="99"/>
    <s v="AUH1"/>
  </r>
  <r>
    <n v="203468401"/>
    <s v="francpam"/>
    <s v="Francis Ampo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8"/>
    <s v="Ground Level"/>
    <e v="#N/A"/>
    <s v="Ghana"/>
    <s v="Fastlink"/>
    <m/>
    <m/>
    <m/>
    <m/>
    <n v="99"/>
    <s v="AUH1"/>
  </r>
  <r>
    <n v="203468395"/>
    <s v="frimpofr"/>
    <s v="Francis Owusu Frimpo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"/>
    <s v="Ground Level"/>
    <e v="#N/A"/>
    <s v="Ghana"/>
    <s v="Fastlink"/>
    <m/>
    <m/>
    <m/>
    <m/>
    <n v="99"/>
    <s v="AUH1"/>
  </r>
  <r>
    <n v="203468402"/>
    <s v="mbvirapf"/>
    <s v="Rogers Francis Mbvira Pfouma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9"/>
    <s v="Ground Level"/>
    <e v="#N/A"/>
    <s v="Ghana"/>
    <s v="Fastlink"/>
    <m/>
    <m/>
    <m/>
    <m/>
    <n v="99"/>
    <s v="AUH1"/>
  </r>
  <r>
    <n v="203468399"/>
    <s v="nrahamoh"/>
    <s v="Mohammad Abdul Rahaman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26"/>
    <s v="Ground Level"/>
    <e v="#N/A"/>
    <s v="Ghana"/>
    <s v="Fastlink"/>
    <m/>
    <m/>
    <m/>
    <m/>
    <n v="99"/>
    <s v="AUH1"/>
  </r>
  <r>
    <n v="203468398"/>
    <s v="nunojere"/>
    <s v="Jeremiah Nunoo"/>
    <d v="2024-06-13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25"/>
    <s v="Ground Level"/>
    <e v="#N/A"/>
    <s v="Ghana"/>
    <s v="Fastlink"/>
    <m/>
    <m/>
    <m/>
    <m/>
    <n v="99"/>
    <s v="AUH1"/>
  </r>
  <r>
    <n v="203468397"/>
    <s v="pagyemam"/>
    <s v="Prince Abe Agyemang"/>
    <d v="2024-06-13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"/>
    <s v="Ground Level"/>
    <e v="#N/A"/>
    <s v="Ghana"/>
    <s v="Fastlink"/>
    <m/>
    <m/>
    <m/>
    <m/>
    <n v="99"/>
    <s v="AUH1"/>
  </r>
  <r>
    <n v="203468400"/>
    <s v="pmushang"/>
    <s v="Prosper Mushangwe"/>
    <d v="2024-06-13T00:00:00"/>
    <s v="Temporary"/>
    <s v="AUH1"/>
    <n v="1299"/>
    <s v="Day Shift"/>
    <s v="Wednesday"/>
    <s v="Thursday"/>
    <s v="Warehouse Associate (AUH)"/>
    <s v="N"/>
    <x v="2"/>
    <d v="2024-08-11T00:00:00"/>
    <m/>
    <s v="Direct"/>
    <m/>
    <n v="27"/>
    <s v="Ground Level"/>
    <e v="#N/A"/>
    <s v="Ghana"/>
    <s v="Fastlink"/>
    <m/>
    <m/>
    <m/>
    <m/>
    <n v="99"/>
    <s v="AUH1"/>
  </r>
  <r>
    <n v="203521525"/>
    <s v="agorgije"/>
    <s v="Jonathan Agorgi"/>
    <d v="2024-06-20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42"/>
    <s v="Ground Level"/>
    <e v="#N/A"/>
    <s v="Ghana"/>
    <s v="Fastlink"/>
    <m/>
    <m/>
    <m/>
    <m/>
    <n v="99"/>
    <s v="AUH1"/>
  </r>
  <r>
    <n v="203521523"/>
    <s v="ayematil"/>
    <s v="Matilda Ayesu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11"/>
    <s v="Ground Level"/>
    <e v="#N/A"/>
    <s v="Ghana"/>
    <s v="Fastlink"/>
    <m/>
    <m/>
    <m/>
    <m/>
    <n v="99"/>
    <s v="AUH1"/>
  </r>
  <r>
    <n v="203521524"/>
    <s v="bretatas"/>
    <s v="Brendan Rohka Tatah"/>
    <d v="2024-06-20T00:00:00"/>
    <s v="Temporary"/>
    <s v="AUH1"/>
    <n v="1299"/>
    <s v="Day Shift"/>
    <s v="Wednesday"/>
    <s v="Thursday"/>
    <s v="Warehouse Associate (AUH)"/>
    <s v="N"/>
    <x v="2"/>
    <d v="2024-08-11T00:00:00"/>
    <m/>
    <s v="Direct"/>
    <m/>
    <n v="41"/>
    <s v="Ground Level"/>
    <e v="#N/A"/>
    <s v="Cameroon"/>
    <s v="Fastlink"/>
    <m/>
    <m/>
    <m/>
    <m/>
    <n v="99"/>
    <s v="AUH1"/>
  </r>
  <r>
    <n v="203521526"/>
    <s v="darkwamj"/>
    <s v="Michael Darkwa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43"/>
    <s v="Ground Level"/>
    <e v="#N/A"/>
    <s v="Ghana"/>
    <s v="Fastlink"/>
    <m/>
    <m/>
    <m/>
    <m/>
    <n v="99"/>
    <s v="AUH1"/>
  </r>
  <r>
    <n v="203521522"/>
    <s v="dirnkain"/>
    <s v="Dirane Nkinen Nkainen"/>
    <d v="2024-06-20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40"/>
    <s v="Ground Level"/>
    <e v="#N/A"/>
    <s v="Cameroon"/>
    <s v="Fastlink"/>
    <m/>
    <m/>
    <m/>
    <m/>
    <n v="99"/>
    <s v="AUH1"/>
  </r>
  <r>
    <n v="203521521"/>
    <s v="kabbrigg"/>
    <s v="Briggs Mudiwa Kabaya"/>
    <d v="2024-06-20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39"/>
    <s v="Ground Level"/>
    <e v="#N/A"/>
    <s v="Ghana"/>
    <s v="Fastlink"/>
    <m/>
    <m/>
    <m/>
    <m/>
    <n v="99"/>
    <s v="AUH1"/>
  </r>
  <r>
    <n v="203521427"/>
    <s v="kamargib"/>
    <s v="Gibrilla Kamara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7"/>
    <s v="Ground Level"/>
    <e v="#N/A"/>
    <s v="Sierra Leone"/>
    <s v="Fastlink"/>
    <m/>
    <m/>
    <m/>
    <m/>
    <n v="99"/>
    <s v="AUH1"/>
  </r>
  <r>
    <n v="203521426"/>
    <s v="sadatayu"/>
    <s v="Sadat Ayuba"/>
    <d v="2024-06-20T00:00:00"/>
    <s v="Temporary"/>
    <s v="AUH1"/>
    <n v="1299"/>
    <s v="Day Shift"/>
    <s v="Monday"/>
    <s v="Tuesday"/>
    <s v="Warehouse Associate (AUH)"/>
    <s v="N"/>
    <x v="2"/>
    <d v="2024-08-11T00:00:00"/>
    <m/>
    <s v="Direct"/>
    <m/>
    <n v="36"/>
    <s v="Ground Level"/>
    <e v="#N/A"/>
    <s v="Ghana"/>
    <s v="Fastlink"/>
    <m/>
    <m/>
    <m/>
    <m/>
    <n v="99"/>
    <s v="AUH1"/>
  </r>
  <r>
    <n v="203521425"/>
    <s v="samlisaa"/>
    <s v="Isaac Sam"/>
    <d v="2024-06-20T00:00:00"/>
    <s v="Temporary"/>
    <s v="AUH1"/>
    <n v="1299"/>
    <s v="Day Shift"/>
    <s v="Friday"/>
    <s v="Saturday"/>
    <s v="Warehouse Associate (AUH)"/>
    <s v="N"/>
    <x v="2"/>
    <d v="2024-08-11T00:00:00"/>
    <m/>
    <s v="Direct"/>
    <m/>
    <n v="35"/>
    <s v="Ground Level"/>
    <e v="#N/A"/>
    <s v="Ghana"/>
    <s v="Fastlink"/>
    <m/>
    <m/>
    <m/>
    <m/>
    <n v="99"/>
    <s v="AUH1"/>
  </r>
  <r>
    <n v="203521428"/>
    <s v="soebenep"/>
    <s v="Ebenezer Somiah"/>
    <d v="2024-06-20T00:00:00"/>
    <s v="Temporary"/>
    <s v="AUH1"/>
    <n v="1299"/>
    <s v="Day Shift"/>
    <s v="Wednesday"/>
    <s v="Thursday"/>
    <s v="Warehouse Associate (AUH)"/>
    <s v="N"/>
    <x v="2"/>
    <d v="2024-08-11T00:00:00"/>
    <m/>
    <s v="Direct"/>
    <m/>
    <n v="38"/>
    <s v="Ground Level"/>
    <e v="#N/A"/>
    <s v="Ghana"/>
    <s v="Fastlink"/>
    <m/>
    <m/>
    <m/>
    <m/>
    <n v="99"/>
    <s v="AUH1"/>
  </r>
  <r>
    <n v="203521133"/>
    <s v="agyeieem"/>
    <s v="Emmanuel Yeboah Agyei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3"/>
    <s v="Ground Level"/>
    <e v="#N/A"/>
    <s v="Ghana"/>
    <s v="Fastlink"/>
    <m/>
    <m/>
    <m/>
    <m/>
    <n v="99"/>
    <s v="AUH1"/>
  </r>
  <r>
    <n v="203521135"/>
    <s v="alaabuhh"/>
    <s v="Alain Ajeh Abu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34"/>
    <s v="Ground Level"/>
    <e v="#N/A"/>
    <s v="Ghana"/>
    <s v="Fastlink"/>
    <m/>
    <m/>
    <m/>
    <m/>
    <n v="99"/>
    <s v="AUH1"/>
  </r>
  <r>
    <n v="203521129"/>
    <s v="bismopok"/>
    <s v="Bismark Opoku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32"/>
    <s v="Ground Level"/>
    <e v="#N/A"/>
    <s v="Ghana"/>
    <s v="Fastlink"/>
    <m/>
    <m/>
    <m/>
    <m/>
    <n v="99"/>
    <s v="AUH1"/>
  </r>
  <r>
    <n v="203521137"/>
    <s v="earbajen"/>
    <s v="Jennifer Arbah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15"/>
    <s v="Ground Level"/>
    <e v="#N/A"/>
    <s v="Ghana"/>
    <s v="Fastlink"/>
    <m/>
    <m/>
    <m/>
    <m/>
    <n v="99"/>
    <s v="AUH1"/>
  </r>
  <r>
    <n v="203521134"/>
    <s v="evanasam"/>
    <s v="Evans Asamoah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1"/>
    <s v="Ground Level"/>
    <e v="#N/A"/>
    <s v="Ghana"/>
    <s v="Fastlink"/>
    <m/>
    <m/>
    <m/>
    <m/>
    <n v="99"/>
    <s v="AUH1"/>
  </r>
  <r>
    <n v="203521128"/>
    <s v="hissahza"/>
    <s v="Zainab Issa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13"/>
    <s v="Ground Level"/>
    <e v="#N/A"/>
    <s v="Ghana"/>
    <s v="Fastlink"/>
    <m/>
    <m/>
    <m/>
    <m/>
    <n v="99"/>
    <s v="AUH1"/>
  </r>
  <r>
    <n v="203521138"/>
    <s v="mamvumur"/>
    <s v="Murombo Jeremiah Mamvura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2"/>
    <s v="Ground Level"/>
    <e v="#N/A"/>
    <s v="Zimbabwe"/>
    <s v="Fastlink"/>
    <m/>
    <m/>
    <m/>
    <m/>
    <n v="99"/>
    <s v="AUH1"/>
  </r>
  <r>
    <n v="203521131"/>
    <s v="ndedjose"/>
    <s v="Joseph Ndede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49"/>
    <s v="Ground Level"/>
    <e v="#N/A"/>
    <s v="Ghana"/>
    <s v="Fastlink"/>
    <m/>
    <m/>
    <m/>
    <m/>
    <n v="99"/>
    <s v="AUH1"/>
  </r>
  <r>
    <n v="203521132"/>
    <s v="qmichtut"/>
    <s v="Michael Osei Tutu"/>
    <d v="2024-06-20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0"/>
    <s v="Ground Level"/>
    <e v="#N/A"/>
    <s v="Ghana"/>
    <s v="Fastlink"/>
    <m/>
    <m/>
    <m/>
    <m/>
    <n v="99"/>
    <s v="AUH1"/>
  </r>
  <r>
    <n v="203521136"/>
    <s v="yvetteaj"/>
    <s v="Yvette Wucha Ajah"/>
    <d v="2024-06-20T00:00:00"/>
    <s v="Temporary"/>
    <s v="AUH1"/>
    <n v="1299"/>
    <s v="Day Shift"/>
    <s v="Thursday"/>
    <s v="Friday"/>
    <s v="Warehouse Associate (AUH)"/>
    <s v="N"/>
    <x v="2"/>
    <d v="2024-08-11T00:00:00"/>
    <m/>
    <s v="Direct"/>
    <m/>
    <n v="514"/>
    <s v="Ground Level"/>
    <e v="#N/A"/>
    <s v="Ghana"/>
    <s v="Fastlink"/>
    <m/>
    <m/>
    <m/>
    <m/>
    <n v="99"/>
    <s v="AUH1"/>
  </r>
  <r>
    <n v="203555403"/>
    <s v="chsampan"/>
    <s v="Christiana Yamigmah Sampana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6"/>
    <s v="Mezzanine Level"/>
    <e v="#N/A"/>
    <s v="Ghana"/>
    <s v="Fastlink"/>
    <s v="anshafik"/>
    <s v="Shafik,Andrew Adel"/>
    <s v="Female"/>
    <s v="NA"/>
    <n v="99"/>
    <s v="AUH1"/>
  </r>
  <r>
    <n v="203555400"/>
    <s v="asiamahb"/>
    <s v="Georgina Asiamah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9"/>
    <s v="Mezzanine Level"/>
    <e v="#N/A"/>
    <s v="Ghana"/>
    <s v="Fastlink"/>
    <s v="anshafik"/>
    <s v="Shafik,Andrew Adel"/>
    <s v="Female"/>
    <s v="NA"/>
    <n v="99"/>
    <s v="AUH1"/>
  </r>
  <r>
    <n v="203555407"/>
    <s v="leeyntem"/>
    <s v="Leeynteng Marienette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2"/>
    <s v="Mezzanine Level"/>
    <e v="#N/A"/>
    <s v="Ghana"/>
    <s v="Fastlink"/>
    <s v="anshafik"/>
    <s v="Shafik,Andrew Adel"/>
    <s v="Female"/>
    <s v="NA"/>
    <n v="99"/>
    <s v="AUH1"/>
  </r>
  <r>
    <n v="203555404"/>
    <s v="tashindu"/>
    <s v="Tashinga Widdy Dumba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5"/>
    <s v="Mezzanine Level"/>
    <e v="#N/A"/>
    <s v="Zimbabwe"/>
    <s v="Fastlink"/>
    <s v="anshafik"/>
    <s v="Shafik,Andrew Adel"/>
    <s v="Male"/>
    <s v="NA"/>
    <n v="99"/>
    <s v="AUH1"/>
  </r>
  <r>
    <n v="203555406"/>
    <s v="bihveraf"/>
    <s v="Vera Anyangwe Bih"/>
    <d v="2024-06-27T00:00:00"/>
    <s v="Temporary"/>
    <s v="AUH1"/>
    <n v="1299"/>
    <s v="Day Shift"/>
    <s v="Sunday"/>
    <s v="Monday"/>
    <s v="Warehouse Associate (AUH)"/>
    <s v="N"/>
    <x v="0"/>
    <d v="2024-08-11T00:00:00"/>
    <s v="Customer Returns"/>
    <s v="Direct"/>
    <m/>
    <n v="1563"/>
    <s v="Mezzanine Level"/>
    <e v="#N/A"/>
    <s v="Cameroon"/>
    <s v="Fastlink"/>
    <s v="anshafik"/>
    <s v="Shafik,Andrew Adel"/>
    <s v="Female"/>
    <s v="NA"/>
    <n v="99"/>
    <s v="AUH1"/>
  </r>
  <r>
    <n v="203555714"/>
    <s v="tsadorca"/>
    <s v="Dorcas Sakyiamah"/>
    <d v="2024-06-27T00:00:00"/>
    <s v="Temporary"/>
    <s v="AUH1"/>
    <n v="1299"/>
    <s v="Day Shift"/>
    <s v="Friday"/>
    <s v="Saturday"/>
    <s v="Warehouse Associate (AUH)"/>
    <s v="N"/>
    <x v="2"/>
    <d v="2024-08-11T00:00:00"/>
    <s v="Receive Dock"/>
    <s v="Direct"/>
    <m/>
    <n v="516"/>
    <s v="Ground Level"/>
    <e v="#N/A"/>
    <s v="Ghana"/>
    <s v="Fastlink"/>
    <s v="jangelad"/>
    <s v="Julia Angela Deligero"/>
    <s v="Female"/>
    <s v="NA"/>
    <n v="99"/>
    <s v="AUH1"/>
  </r>
  <r>
    <n v="203555399"/>
    <s v="berchimh"/>
    <s v="Bernadette Tarrio Chimhau"/>
    <d v="2024-06-27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70"/>
    <s v="Mezzanine Level"/>
    <e v="#N/A"/>
    <s v="Zimbabwe"/>
    <s v="Fastlink"/>
    <s v="anshafik"/>
    <s v="Shafik,Andrew Adel"/>
    <s v="Male"/>
    <s v="NA"/>
    <n v="99"/>
    <s v="AUH1"/>
  </r>
  <r>
    <n v="203555402"/>
    <s v="brerubay"/>
    <s v="Brenda Rubaya"/>
    <d v="2024-06-27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67"/>
    <s v="Mezzanine Level"/>
    <e v="#N/A"/>
    <s v="Zimbabwe"/>
    <s v="Fastlink"/>
    <s v="anshafik"/>
    <s v="Shafik,Andrew Adel"/>
    <s v="Female"/>
    <s v="NA"/>
    <n v="99"/>
    <s v="AUH1"/>
  </r>
  <r>
    <n v="203555405"/>
    <s v="essummau"/>
    <s v="Mary Essumang"/>
    <d v="2024-06-27T00:00:00"/>
    <s v="Temporary"/>
    <s v="AUH1"/>
    <n v="1299"/>
    <s v="Day Shift"/>
    <s v="Thursday"/>
    <s v="Friday"/>
    <s v="Warehouse Associate (AUH)"/>
    <s v="N"/>
    <x v="0"/>
    <d v="2024-08-11T00:00:00"/>
    <s v="Customer Returns"/>
    <s v="Direct"/>
    <m/>
    <n v="1564"/>
    <s v="Mezzanine Level"/>
    <e v="#N/A"/>
    <s v="Ghana"/>
    <s v="Fastlink"/>
    <s v="anshafik"/>
    <s v="Shafik,Andrew Adel"/>
    <s v="Female"/>
    <s v="NA"/>
    <n v="99"/>
    <s v="AUH1"/>
  </r>
  <r>
    <n v="203555401"/>
    <s v="chingmel"/>
    <s v="Melody Chingore"/>
    <d v="2024-06-27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568"/>
    <s v="Mezzanine Level"/>
    <e v="#N/A"/>
    <s v="Zimbabwe"/>
    <s v="Fastlink"/>
    <s v="anshafik"/>
    <s v="Shafik,Andrew Adel"/>
    <s v="Female"/>
    <s v="NA"/>
    <n v="99"/>
    <s v="AUH1"/>
  </r>
  <r>
    <n v="203555408"/>
    <s v="ngwesola"/>
    <s v="Solange Sombong Ngwemukum"/>
    <d v="2024-06-27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561"/>
    <s v="Mezzanine Level"/>
    <e v="#N/A"/>
    <s v="Cameroon"/>
    <s v="Fastlink"/>
    <s v="anshafik"/>
    <s v="Shafik,Andrew Adel"/>
    <s v="Male"/>
    <s v="NA"/>
    <n v="99"/>
    <s v="AUH1"/>
  </r>
  <r>
    <n v="203679309"/>
    <s v="njitaria"/>
    <s v="Abdel Koudous Njitari Mah"/>
    <d v="2024-07-15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53"/>
    <s v="Mezzanine Level"/>
    <e v="#N/A"/>
    <s v="Ghana"/>
    <s v="Fastlink"/>
    <s v="anshafik"/>
    <s v="Shafik,Andrew Adel"/>
    <s v="Male"/>
    <s v="NA"/>
    <n v="99"/>
    <s v="AUH1"/>
  </r>
  <r>
    <n v="203679314"/>
    <s v="sholayab"/>
    <s v="AbdulRahman Sholay Shaw"/>
    <d v="2024-07-15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56"/>
    <s v="Mezzanine Level"/>
    <e v="#N/A"/>
    <s v="Ghana"/>
    <s v="Fastlink"/>
    <s v="anshafik"/>
    <s v="Shafik,Andrew Adel"/>
    <s v="Male"/>
    <s v="NA"/>
    <n v="99"/>
    <s v="AUH1"/>
  </r>
  <r>
    <n v="203083928"/>
    <s v="galeowus"/>
    <s v="Alex Owusu"/>
    <d v="2024-07-15T00:00:00"/>
    <s v="Temporary"/>
    <s v="AUH1"/>
    <n v="1299"/>
    <s v="Day Shift"/>
    <s v="Saturday"/>
    <s v="Sunday"/>
    <s v="Warehouse Associate (AUH)"/>
    <s v="N"/>
    <x v="0"/>
    <d v="2024-08-11T00:00:00"/>
    <s v="Customer Returns"/>
    <s v="Direct"/>
    <m/>
    <n v="1143"/>
    <s v="Mezzanine Level"/>
    <e v="#N/A"/>
    <s v="Ghana"/>
    <s v="Fastlink"/>
    <s v="anshafik"/>
    <s v="Shafik,Andrew Adel"/>
    <s v="Male"/>
    <s v="NA"/>
    <n v="99"/>
    <s v="AUH1"/>
  </r>
  <r>
    <n v="203679312"/>
    <s v="swalfrez"/>
    <s v="Alfred S Williams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54"/>
    <s v="Mezzanine Level"/>
    <e v="#N/A"/>
    <s v="Ghana"/>
    <s v="Fastlink"/>
    <s v="anshafik"/>
    <s v="Shafik,Andrew Adel"/>
    <s v="Male"/>
    <s v="NA"/>
    <n v="99"/>
    <s v="AUH1"/>
  </r>
  <r>
    <n v="203679316"/>
    <s v="attebriy"/>
    <s v="Bright Atteh"/>
    <d v="2024-07-15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157"/>
    <s v="Mezzanine Level"/>
    <e v="#N/A"/>
    <s v="Ghana"/>
    <s v="Fastlink"/>
    <s v="anshafik"/>
    <s v="Shafik,Andrew Adel"/>
    <s v="Male"/>
    <s v="NA"/>
    <n v="99"/>
    <s v="AUH1"/>
  </r>
  <r>
    <n v="203679313"/>
    <s v="kadelias"/>
    <s v="Elias Kaduwa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55"/>
    <s v="Mezzanine Level"/>
    <e v="#N/A"/>
    <s v="Uganda"/>
    <s v="Fastlink"/>
    <s v="anshafik"/>
    <s v="Shafik,Andrew Adel"/>
    <s v="Male"/>
    <s v="NA"/>
    <n v="99"/>
    <s v="AUH1"/>
  </r>
  <r>
    <n v="203679308"/>
    <s v="cenocasa"/>
    <s v="Enock Asante"/>
    <d v="2024-07-15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52"/>
    <s v="Mezzanine Level"/>
    <e v="#N/A"/>
    <s v="Ghana"/>
    <s v="Fastlink"/>
    <s v="anshafik"/>
    <s v="Shafik,Andrew Adel"/>
    <s v="Male"/>
    <s v="NA"/>
    <n v="99"/>
    <s v="AUH1"/>
  </r>
  <r>
    <n v="203679317"/>
    <s v="goodeuge"/>
    <s v="Goodluck Eugen Shiyo"/>
    <d v="2024-07-15T00:00:00"/>
    <s v="Temporary"/>
    <s v="AUH1"/>
    <n v="1299"/>
    <s v="Day Shift"/>
    <s v="Wednesday"/>
    <s v="Thursday"/>
    <s v="Warehouse Associate (AUH)"/>
    <s v="N"/>
    <x v="0"/>
    <d v="2024-08-11T00:00:00"/>
    <s v="Customer Returns"/>
    <s v="Direct"/>
    <m/>
    <n v="1158"/>
    <s v="Mezzanine Level"/>
    <e v="#N/A"/>
    <s v="Uganda"/>
    <s v="Fastlink"/>
    <s v="anshafik"/>
    <s v="Shafik,Andrew Adel"/>
    <s v="Male"/>
    <s v="NA"/>
    <n v="99"/>
    <s v="AUH1"/>
  </r>
  <r>
    <n v="203679319"/>
    <s v="osjosepf"/>
    <s v="Joseph Osei"/>
    <d v="2024-07-15T00:00:00"/>
    <s v="Temporary"/>
    <s v="AUH1"/>
    <n v="1299"/>
    <s v="Day Shift"/>
    <s v="Tuesday"/>
    <s v="Wednesday"/>
    <s v="Warehouse Associate (AUH)"/>
    <s v="N"/>
    <x v="0"/>
    <d v="2024-08-11T00:00:00"/>
    <s v="Customer Returns"/>
    <s v="Direct"/>
    <m/>
    <n v="1159"/>
    <s v="Mezzanine Level"/>
    <e v="#N/A"/>
    <s v="Ghana"/>
    <s v="Fastlink"/>
    <s v="anshafik"/>
    <s v="Shafik,Andrew Adel"/>
    <s v="Male"/>
    <s v="NA"/>
    <n v="99"/>
    <s v="AUH1"/>
  </r>
  <r>
    <n v="203679318"/>
    <s v="julieoky"/>
    <s v="Juliet Okyere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60"/>
    <s v="Mezzanine Level"/>
    <e v="#N/A"/>
    <s v="Ghana"/>
    <s v="Fastlink"/>
    <s v="anshafik"/>
    <s v="Shafik,Andrew Adel"/>
    <s v="Female"/>
    <s v="NA"/>
    <n v="99"/>
    <s v="AUH1"/>
  </r>
  <r>
    <n v="203679322"/>
    <s v="limosesa"/>
    <s v="Liona Moses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9"/>
    <s v="Mezzanine Level"/>
    <e v="#N/A"/>
    <s v="Ghana"/>
    <s v="Fastlink"/>
    <s v="anshafik"/>
    <s v="Shafik,Andrew Adel"/>
    <s v="Female"/>
    <s v="NA"/>
    <n v="99"/>
    <s v="AUH1"/>
  </r>
  <r>
    <n v="203679325"/>
    <s v="nyanprin"/>
    <s v="Prince Nyanson"/>
    <d v="2024-07-15T00:00:00"/>
    <s v="Temporary"/>
    <s v="AUH1"/>
    <n v="1299"/>
    <s v="Day Shift"/>
    <s v="Monday"/>
    <s v="Tuesday"/>
    <s v="Warehouse Associate (AUH)"/>
    <s v="N"/>
    <x v="0"/>
    <d v="2024-08-11T00:00:00"/>
    <s v="Customer Returns"/>
    <s v="Direct"/>
    <m/>
    <n v="1160"/>
    <s v="Mezzanine Level"/>
    <e v="#N/A"/>
    <s v="Ghana"/>
    <s v="Fastlink"/>
    <s v="anshafik"/>
    <s v="Shafik,Andrew Adel"/>
    <s v="Male"/>
    <s v="NA"/>
    <n v="99"/>
    <s v="AUH1"/>
  </r>
  <r>
    <n v="203679326"/>
    <s v="ruteshun"/>
    <s v="Ruth Jackline Eshun"/>
    <d v="2024-07-15T00:00:00"/>
    <s v="Temporary"/>
    <s v="AUH1"/>
    <n v="1299"/>
    <s v="Day Shift"/>
    <s v="Friday"/>
    <s v="Saturday"/>
    <s v="Warehouse Associate (AUH)"/>
    <s v="N"/>
    <x v="0"/>
    <d v="2024-08-11T00:00:00"/>
    <s v="Customer Returns"/>
    <s v="Direct"/>
    <m/>
    <n v="1558"/>
    <s v="Mezzanine Level"/>
    <e v="#N/A"/>
    <s v="Ghana"/>
    <s v="Fastlink"/>
    <s v="anshafik"/>
    <s v="Shafik,Andrew Adel"/>
    <s v="Female"/>
    <s v="NA"/>
    <n v="99"/>
    <s v="AUH1"/>
  </r>
  <r>
    <n v="102207613"/>
    <s v="emalaban"/>
    <s v="Erwin Malabanan"/>
    <d v="2017-05-13T00:00:00"/>
    <s v="Regular"/>
    <s v="AUH1"/>
    <n v="1299"/>
    <s v="Day Shift"/>
    <s v="Saturday"/>
    <s v="Sunday"/>
    <s v="OPERATIONS LEAD"/>
    <s v="N"/>
    <x v="0"/>
    <d v="2024-08-05T00:00:00"/>
    <s v="Customer Returns"/>
    <s v="Direct"/>
    <m/>
    <n v="1140"/>
    <s v="Mezzanine Level"/>
    <e v="#N/A"/>
    <m/>
    <s v="Blue Badge"/>
    <s v="anshafik"/>
    <s v="Shafik,Andrew Adel"/>
    <s v="Male"/>
    <s v="L"/>
    <n v="3"/>
    <s v="DXB3"/>
  </r>
  <r>
    <n v="102865827"/>
    <s v="bavameer"/>
    <s v="Bava Meera"/>
    <d v="2017-10-04T00:00:00"/>
    <s v="Regular"/>
    <s v="AUH1"/>
    <n v="1299"/>
    <s v="Day Shift"/>
    <s v="Thursday"/>
    <s v="Friday"/>
    <s v="OPERATIONS LEAD"/>
    <s v="N"/>
    <x v="0"/>
    <d v="2024-08-05T00:00:00"/>
    <s v="Customer Returns"/>
    <s v="Direct"/>
    <m/>
    <n v="1141"/>
    <s v="Mezzanine Level"/>
    <e v="#N/A"/>
    <m/>
    <s v="Blue Badge"/>
    <s v="anshafik"/>
    <s v="Shafik,Andrew Adel"/>
    <s v="Male"/>
    <s v="M"/>
    <n v="3"/>
    <s v="DXB3"/>
  </r>
  <r>
    <n v="202444324"/>
    <s v="kebedeed"/>
    <s v="Eden Dinberu Kebede"/>
    <d v="2024-07-08T00:00:00"/>
    <s v="Regular"/>
    <s v="AUH1"/>
    <n v="1299"/>
    <s v="Day Shift"/>
    <s v="Saturday"/>
    <s v="Sunday"/>
    <s v="ICQA Supervisor"/>
    <s v="N"/>
    <x v="1"/>
    <d v="2024-08-05T00:00:00"/>
    <m/>
    <s v="Direct"/>
    <m/>
    <n v="1516"/>
    <s v="Mezzanine Level"/>
    <e v="#N/A"/>
    <m/>
    <s v="Blue Badge"/>
    <s v="fraczekk"/>
    <s v="Fraczek, Kamil"/>
    <m/>
    <m/>
    <n v="3"/>
    <s v="AUH1"/>
  </r>
  <r>
    <n v="102207562"/>
    <s v="merma"/>
    <s v="Mohammad Ahmed Kamal Mohamed Amer"/>
    <d v="2017-05-13T00:00:00"/>
    <s v="Regular"/>
    <s v="AUH1"/>
    <n v="1299"/>
    <s v="Day Shift"/>
    <s v="Thursday"/>
    <s v="Friday"/>
    <s v="OPERATIONS LEAD"/>
    <s v="N"/>
    <x v="0"/>
    <d v="2024-08-05T00:00:00"/>
    <m/>
    <s v="Direct"/>
    <m/>
    <n v="1139"/>
    <s v="Mezzanine Level"/>
    <e v="#N/A"/>
    <m/>
    <s v="Blue Badge"/>
    <m/>
    <m/>
    <m/>
    <m/>
    <n v="3"/>
    <s v="DXB3"/>
  </r>
  <r>
    <n v="103823094"/>
    <s v="riamajid"/>
    <s v="Riaz,Majid"/>
    <d v="2020-08-24T00:00:00"/>
    <s v="Regular"/>
    <s v="AUH1"/>
    <n v="1299"/>
    <s v="Day Shift"/>
    <s v="Friday"/>
    <s v="Saturday"/>
    <s v="OPERATIONS LEAD"/>
    <s v="N"/>
    <x v="2"/>
    <d v="2024-08-05T00:00:00"/>
    <s v="Inbound Stow"/>
    <s v="Direct"/>
    <m/>
    <n v="139"/>
    <s v="Ground Level"/>
    <e v="#N/A"/>
    <m/>
    <s v="Blue Badge"/>
    <s v="ahssma"/>
    <s v="Ahmed Madbouly"/>
    <s v="Male"/>
    <s v="L"/>
    <n v="3"/>
    <s v="DXB3"/>
  </r>
  <r>
    <n v="102434103"/>
    <s v="ksukuma"/>
    <s v="Sukumar Kamaraj"/>
    <d v="2017-05-28T00:00:00"/>
    <s v="Regular"/>
    <s v="AUH1"/>
    <n v="1299"/>
    <s v="Day Shift"/>
    <s v="Sunday"/>
    <s v="Monday"/>
    <s v="OPERATIONS LEAD"/>
    <s v="N"/>
    <x v="2"/>
    <d v="2024-08-05T00:00:00"/>
    <s v="Inbound Stow"/>
    <s v="Direct"/>
    <m/>
    <n v="45"/>
    <s v="Ground Level"/>
    <e v="#N/A"/>
    <m/>
    <s v="Blue Badge"/>
    <s v="ahssma"/>
    <s v="Ahmed Madbouly"/>
    <s v="Male"/>
    <s v="L"/>
    <n v="3"/>
    <s v="DXB3"/>
  </r>
  <r>
    <n v="102207617"/>
    <s v="mangondi"/>
    <s v="Mangondili,Lilac Jayawon"/>
    <d v="2017-05-13T00:00:00"/>
    <s v="Regular"/>
    <s v="AUH1"/>
    <n v="1299"/>
    <s v="Day Shift"/>
    <s v="Thursday"/>
    <s v="Friday"/>
    <s v="OPERATIONS LEAD"/>
    <s v="N"/>
    <x v="2"/>
    <d v="2024-08-05T00:00:00"/>
    <s v="Inbound Stow"/>
    <s v="Direct"/>
    <m/>
    <n v="512"/>
    <s v="Ground Level"/>
    <e v="#N/A"/>
    <m/>
    <s v="Blue Badge"/>
    <s v="ahmadzr"/>
    <s v="Ahmad Adly Ahmad Al- Zoubi"/>
    <s v="Female"/>
    <s v="XS"/>
    <n v="3"/>
    <s v="DXB3"/>
  </r>
  <r>
    <n v="102207554"/>
    <s v="adarayan"/>
    <s v="Oliver Mago Adarayan"/>
    <d v="2017-05-13T00:00:00"/>
    <s v="Regular"/>
    <s v="AUH1"/>
    <n v="1299"/>
    <s v="Day Shift"/>
    <s v="Tuesday"/>
    <s v="Wednesday"/>
    <s v="Area Manager (Temp)"/>
    <s v="N"/>
    <x v="2"/>
    <d v="2024-08-05T00:00:00"/>
    <s v="Vendor receive"/>
    <s v="Direct"/>
    <m/>
    <n v="44"/>
    <s v="Ground Level"/>
    <e v="#N/A"/>
    <m/>
    <s v="Blue Badge"/>
    <s v="ahssma"/>
    <s v="Ahmed Madbouly"/>
    <s v="Male"/>
    <s v="XL"/>
    <n v="3"/>
    <s v="DXB3"/>
  </r>
  <r>
    <n v="102434104"/>
    <s v="kmadhusr"/>
    <s v="Kandala Madhusudhan Rao"/>
    <d v="2017-05-28T00:00:00"/>
    <s v="Regular"/>
    <s v="AUH1"/>
    <n v="1299"/>
    <s v="Day Shift"/>
    <s v="Monday"/>
    <s v="Tuesday"/>
    <s v="FC Lead"/>
    <s v="N"/>
    <x v="2"/>
    <d v="2024-08-05T00:00:00"/>
    <m/>
    <s v="Direct"/>
    <m/>
    <n v="46"/>
    <s v="Ground Level"/>
    <e v="#N/A"/>
    <m/>
    <s v="Blue Badge"/>
    <m/>
    <m/>
    <m/>
    <m/>
    <n v="3"/>
    <s v="DXB5"/>
  </r>
  <r>
    <n v="102582327"/>
    <s v="dimohanr"/>
    <s v="DineshKumar Mohanraj"/>
    <d v="2017-08-13T00:00:00"/>
    <s v="Regular"/>
    <s v="AUH1"/>
    <n v="1299"/>
    <s v="Day Shift"/>
    <s v="Wednesday"/>
    <s v="Thursday"/>
    <s v="FC Supervisor"/>
    <s v="N"/>
    <x v="2"/>
    <d v="2024-08-05T00:00:00"/>
    <s v="Inbound Stow"/>
    <s v="Direct"/>
    <m/>
    <n v="47"/>
    <s v="Ground Level"/>
    <e v="#N/A"/>
    <m/>
    <s v="Blue Badge"/>
    <s v="ahssma"/>
    <s v="Ahmed Madbouly"/>
    <s v="Male"/>
    <s v="L"/>
    <n v="3"/>
    <s v="AUH1"/>
  </r>
  <r>
    <n v="113294418"/>
    <s v="mahrouso"/>
    <s v="Mohamed Mahrous"/>
    <d v="2023-04-03T00:00:00"/>
    <s v="Regular"/>
    <s v="AUH1"/>
    <n v="1299"/>
    <s v="Day Shift"/>
    <s v="Saturday"/>
    <s v="Sunday"/>
    <s v="ICQA Supervisor"/>
    <s v="N"/>
    <x v="1"/>
    <d v="2024-08-05T00:00:00"/>
    <s v="IC/QA/CS"/>
    <s v="Direct"/>
    <m/>
    <n v="1013"/>
    <s v="Mezzanine Level"/>
    <e v="#N/A"/>
    <m/>
    <s v="Blue Badge"/>
    <s v="fraczekk"/>
    <s v="Fraczek, Kamil"/>
    <s v="Male"/>
    <s v="L"/>
    <n v="3"/>
    <s v="DXB3"/>
  </r>
  <r>
    <n v="103965703"/>
    <s v="jackssaw"/>
    <s v="Sancho, Jackson Nkwenui"/>
    <d v="2022-07-18T00:00:00"/>
    <s v="Regular"/>
    <s v="AUH1"/>
    <n v="1299"/>
    <s v="Day Shift"/>
    <s v="Saturday"/>
    <s v="Sunday"/>
    <s v="ICQA Supervisor"/>
    <s v="N"/>
    <x v="1"/>
    <d v="2024-08-05T00:00:00"/>
    <m/>
    <s v="Direct"/>
    <m/>
    <n v="1012"/>
    <s v="Mezzanine Level"/>
    <e v="#N/A"/>
    <m/>
    <s v="Blue Badge"/>
    <s v="fraczekk"/>
    <s v="Fraczek, Kamil"/>
    <m/>
    <m/>
    <n v="3"/>
    <s v="DXB5"/>
  </r>
  <r>
    <n v="102577243"/>
    <s v="kmmohami"/>
    <s v="K M Mohamed Imran"/>
    <d v="2017-06-27T00:00:00"/>
    <s v="Regular"/>
    <s v="AUH1"/>
    <n v="1299"/>
    <s v="Day Shift"/>
    <s v="Friday"/>
    <s v="Saturday"/>
    <s v="Ext. Fulfillment Specialist"/>
    <s v="N"/>
    <x v="1"/>
    <d v="2024-08-05T00:00:00"/>
    <m/>
    <s v="Direct"/>
    <m/>
    <n v="1009"/>
    <s v="Mezzanine Level"/>
    <e v="#N/A"/>
    <m/>
    <s v="Blue Badge"/>
    <s v="fraczekk"/>
    <s v="Fraczek, Kamil"/>
    <m/>
    <m/>
    <n v="3"/>
    <s v="DXB6"/>
  </r>
  <r>
    <n v="113232656"/>
    <s v="laabuman"/>
    <s v="Lara Mahmoud Abumandil"/>
    <d v="2023-01-02T00:00:00"/>
    <s v="Regular"/>
    <s v="AUH1"/>
    <n v="1551"/>
    <s v="Day Shift"/>
    <s v="Saturday"/>
    <s v="Sunday"/>
    <s v="ICQA Escalation Specialist"/>
    <s v="N"/>
    <x v="1"/>
    <d v="2024-08-05T00:00:00"/>
    <m/>
    <s v="Direct"/>
    <m/>
    <n v="1515"/>
    <s v="Mezzanine Level"/>
    <e v="#N/A"/>
    <m/>
    <s v="Blue Badge"/>
    <s v="fraczekk"/>
    <s v="Fraczek, Kamil"/>
    <m/>
    <m/>
    <n v="3"/>
    <s v="AUH1"/>
  </r>
  <r>
    <n v="203709878"/>
    <s v="latuntun"/>
    <s v="Tun Tun Linn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38"/>
    <s v="Ground Level"/>
    <e v="#N/A"/>
    <s v="Myanmar"/>
    <s v="Adecco"/>
    <s v="fraczekk"/>
    <s v="Fraczek, Kamil"/>
    <m/>
    <m/>
    <n v="99"/>
    <s v="AUH1"/>
  </r>
  <r>
    <n v="203709883"/>
    <s v="minooxye"/>
    <s v="Ye Min Oo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39"/>
    <s v="Ground Level"/>
    <e v="#N/A"/>
    <s v="Myanmar"/>
    <s v="Adecco"/>
    <s v="fraczekk"/>
    <s v="Fraczek, Kamil"/>
    <m/>
    <m/>
    <n v="99"/>
    <s v="AUH1"/>
  </r>
  <r>
    <n v="203709877"/>
    <s v="nyeineb"/>
    <s v="Ei Ei Nyein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999"/>
    <s v="Ground Level"/>
    <e v="#N/A"/>
    <s v="Myanmar"/>
    <s v="Adecco"/>
    <s v="fraczekk"/>
    <s v="Fraczek, Kamil"/>
    <m/>
    <m/>
    <n v="99"/>
    <s v="AUH1"/>
  </r>
  <r>
    <n v="203709884"/>
    <s v="pyaminso"/>
    <s v="Yamin Kyaw Soe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1000"/>
    <s v="Ground Level"/>
    <e v="#N/A"/>
    <s v="Myanmar"/>
    <s v="Adecco"/>
    <s v="fraczekk"/>
    <s v="Fraczek, Kamil"/>
    <m/>
    <m/>
    <n v="99"/>
    <s v="AUH1"/>
  </r>
  <r>
    <n v="203709876"/>
    <s v="qkhinmek"/>
    <s v="Khin Me Me Ko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1001"/>
    <s v="Ground Level"/>
    <e v="#N/A"/>
    <s v="Myanmar"/>
    <s v="Adecco"/>
    <s v="fraczekk"/>
    <s v="Fraczek, Kamil"/>
    <m/>
    <m/>
    <n v="99"/>
    <s v="AUH1"/>
  </r>
  <r>
    <n v="203709880"/>
    <s v="shiwabha"/>
    <s v="Bhawana Shiwakoti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1002"/>
    <s v="Ground Level"/>
    <e v="#N/A"/>
    <s v="Nepal"/>
    <s v="Adecco"/>
    <s v="fraczekk"/>
    <s v="Fraczek, Kamil"/>
    <m/>
    <m/>
    <n v="99"/>
    <s v="AUH1"/>
  </r>
  <r>
    <n v="203709875"/>
    <s v="sipokhre"/>
    <s v=" SIKANDAR POKHREL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40"/>
    <s v="Ground Level"/>
    <e v="#N/A"/>
    <s v="Nepal"/>
    <s v="Adecco"/>
    <s v="fraczekk"/>
    <s v="Fraczek, Kamil"/>
    <m/>
    <m/>
    <n v="99"/>
    <s v="AUH1"/>
  </r>
  <r>
    <n v="203709881"/>
    <s v="subbadiq"/>
    <s v="Dipesh Subba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441"/>
    <s v="Ground Level"/>
    <e v="#N/A"/>
    <s v="Nepal"/>
    <s v="Adecco"/>
    <s v="fraczekk"/>
    <s v="Fraczek, Kamil"/>
    <m/>
    <m/>
    <n v="99"/>
    <s v="AUH1"/>
  </r>
  <r>
    <n v="203709591"/>
    <s v="abasathm"/>
    <s v="Abul Kalam Asath M H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2"/>
    <s v="Ground Level"/>
    <e v="#N/A"/>
    <s v="India"/>
    <s v="Adecco"/>
    <m/>
    <m/>
    <m/>
    <m/>
    <n v="99"/>
    <s v="AUH1"/>
  </r>
  <r>
    <n v="203710101"/>
    <s v="abdsubha"/>
    <s v="Abdul Vahab Subhan K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43"/>
    <s v="Ground Level"/>
    <e v="#N/A"/>
    <s v="India"/>
    <s v="Adecco"/>
    <m/>
    <m/>
    <m/>
    <m/>
    <n v="99"/>
    <s v="AUH1"/>
  </r>
  <r>
    <n v="203709739"/>
    <s v="anaskmoh"/>
    <s v="Mohammed Anas K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44"/>
    <s v="Ground Level"/>
    <e v="#N/A"/>
    <s v="India"/>
    <s v="Adecco"/>
    <m/>
    <m/>
    <m/>
    <m/>
    <n v="99"/>
    <s v="AUH1"/>
  </r>
  <r>
    <n v="203709738"/>
    <s v="aravilbs"/>
    <s v="Aravind BS 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5"/>
    <s v="Ground Level"/>
    <e v="#N/A"/>
    <s v="India"/>
    <s v="Adecco"/>
    <m/>
    <m/>
    <m/>
    <m/>
    <n v="99"/>
    <s v="AUH1"/>
  </r>
  <r>
    <n v="203709740"/>
    <s v="aungphy"/>
    <s v="Aung Thu Ya Phyo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46"/>
    <s v="Ground Level"/>
    <e v="#N/A"/>
    <s v="Myanmar"/>
    <s v="Adecco"/>
    <m/>
    <m/>
    <m/>
    <m/>
    <n v="99"/>
    <s v="AUH1"/>
  </r>
  <r>
    <n v="203709735"/>
    <s v="bogarran"/>
    <s v="Ranjith Kumar Bogari 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7"/>
    <s v="Ground Level"/>
    <e v="#N/A"/>
    <s v="India"/>
    <s v="Adecco"/>
    <m/>
    <m/>
    <m/>
    <m/>
    <n v="99"/>
    <s v="AUH1"/>
  </r>
  <r>
    <n v="203709590"/>
    <s v="chgsheen"/>
    <s v="SHEENU CHARLAS CHARLAS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49"/>
    <s v="Ground Level"/>
    <e v="#N/A"/>
    <s v="Myanmar"/>
    <s v="Adecco"/>
    <m/>
    <m/>
    <m/>
    <m/>
    <n v="99"/>
    <s v="AUH1"/>
  </r>
  <r>
    <n v="203709593"/>
    <s v="fwinkyaw"/>
    <s v="Kyaw Nanda Win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0"/>
    <s v="Ground Level"/>
    <e v="#N/A"/>
    <s v="Myanmar"/>
    <s v="Adecco"/>
    <m/>
    <m/>
    <m/>
    <m/>
    <n v="99"/>
    <s v="AUH1"/>
  </r>
  <r>
    <n v="203687852"/>
    <s v="ivashimk"/>
    <s v="Vashim Khan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m/>
    <m/>
    <e v="#N/A"/>
    <s v="India"/>
    <s v="Adecco"/>
    <m/>
    <m/>
    <m/>
    <m/>
    <n v="99"/>
    <s v="AUH1"/>
  </r>
  <r>
    <n v="203710103"/>
    <s v="jaldpaje"/>
    <s v="Pajeey Jaldo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2"/>
    <s v="Ground Level"/>
    <e v="#N/A"/>
    <s v="India"/>
    <s v="Adecco"/>
    <m/>
    <m/>
    <m/>
    <m/>
    <n v="99"/>
    <s v="AUH1"/>
  </r>
  <r>
    <n v="203709594"/>
    <s v="kyaitun"/>
    <s v="Kyaw Min Tun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3"/>
    <s v="Ground Level"/>
    <e v="#N/A"/>
    <s v="Myanmar"/>
    <s v="Adecco"/>
    <m/>
    <m/>
    <m/>
    <m/>
    <n v="99"/>
    <s v="AUH1"/>
  </r>
  <r>
    <n v="203709589"/>
    <s v="makramkj"/>
    <s v="Jilsha makramkattil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1004"/>
    <s v="Ground Level"/>
    <e v="#N/A"/>
    <s v="Myanmar"/>
    <s v="Adecco"/>
    <m/>
    <m/>
    <m/>
    <m/>
    <n v="99"/>
    <s v="AUH1"/>
  </r>
  <r>
    <n v="203709592"/>
    <s v="mmuneery"/>
    <s v="Muhammed Muneer YS 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4"/>
    <s v="Ground Level"/>
    <e v="#N/A"/>
    <s v="Myanmar"/>
    <s v="Adecco"/>
    <m/>
    <m/>
    <m/>
    <m/>
    <n v="99"/>
    <s v="AUH1"/>
  </r>
  <r>
    <n v="203709595"/>
    <s v="moshareb"/>
    <s v="MOHAMMED SHAREEF KUTTILA VALAPPIL"/>
    <d v="2024-07-22T00:00:00"/>
    <s v="Temporary"/>
    <s v="AUH1"/>
    <n v="1299"/>
    <s v="Day Shift"/>
    <s v="Saturday"/>
    <s v="Sunday"/>
    <s v="Warehouse Associate (AUH1)"/>
    <s v="N"/>
    <x v="2"/>
    <d v="2024-08-11T00:00:00"/>
    <m/>
    <s v="Direct"/>
    <m/>
    <n v="455"/>
    <s v="Ground Level"/>
    <e v="#N/A"/>
    <s v="India"/>
    <s v="Adecco"/>
    <m/>
    <m/>
    <m/>
    <m/>
    <n v="99"/>
    <s v="AUH1"/>
  </r>
  <r>
    <n v="203709743"/>
    <s v="nardsa"/>
    <s v="Saw lwe Nar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6"/>
    <s v="Ground Level"/>
    <e v="#N/A"/>
    <s v="Myanmar"/>
    <s v="Adecco"/>
    <m/>
    <m/>
    <m/>
    <m/>
    <n v="99"/>
    <s v="AUH1"/>
  </r>
  <r>
    <n v="203709741"/>
    <s v="pariyrah"/>
    <s v="Rahul Pariyar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7"/>
    <s v="Ground Level"/>
    <e v="#N/A"/>
    <s v="India"/>
    <s v="Adecco"/>
    <m/>
    <m/>
    <m/>
    <m/>
    <n v="99"/>
    <s v="AUH1"/>
  </r>
  <r>
    <n v="203709744"/>
    <s v="sanjibot"/>
    <s v="Sanjib Tiwari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8"/>
    <s v="Ground Level"/>
    <e v="#N/A"/>
    <s v="India"/>
    <s v="Adecco"/>
    <m/>
    <m/>
    <m/>
    <m/>
    <n v="99"/>
    <s v="AUH1"/>
  </r>
  <r>
    <n v="203709742"/>
    <s v="sheinthz"/>
    <s v="Thwe Thwe Shein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1005"/>
    <s v="Ground Level"/>
    <e v="#N/A"/>
    <s v="Myanmar"/>
    <s v="Adecco"/>
    <m/>
    <m/>
    <m/>
    <m/>
    <n v="99"/>
    <s v="AUH1"/>
  </r>
  <r>
    <n v="203709736"/>
    <s v="vmshtewa"/>
    <s v="MS Htet Htet Wai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1006"/>
    <s v="Ground Level"/>
    <e v="#N/A"/>
    <s v="Myanmar"/>
    <s v="Adecco"/>
    <m/>
    <m/>
    <m/>
    <m/>
    <n v="99"/>
    <s v="AUH1"/>
  </r>
  <r>
    <n v="203709737"/>
    <s v="zawmyoa"/>
    <s v="Myo Thiha Zaw "/>
    <d v="2024-07-22T00:00:00"/>
    <s v="Temporary"/>
    <s v="AUH1"/>
    <n v="1299"/>
    <s v="Day Shift"/>
    <s v="Sunday"/>
    <s v="Monday"/>
    <s v="Warehouse Associate (AUH1)"/>
    <s v="N"/>
    <x v="2"/>
    <d v="2024-08-11T00:00:00"/>
    <m/>
    <s v="Direct"/>
    <m/>
    <n v="459"/>
    <s v="Ground Level"/>
    <e v="#N/A"/>
    <s v="Myanmar"/>
    <s v="Adecco"/>
    <m/>
    <m/>
    <m/>
    <m/>
    <n v="99"/>
    <s v="AUH1"/>
  </r>
  <r>
    <n v="203737110"/>
    <s v="ajammerc"/>
    <s v="Ajambo Mercy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1007"/>
    <s v="Ground Level"/>
    <e v="#N/A"/>
    <s v="Uganda"/>
    <s v="Innovations - UAE"/>
    <s v="ahmadzr"/>
    <s v="Ahmad Adly Ahmad Al- Zoubi"/>
    <s v="Female"/>
    <s v="NA"/>
    <n v="99"/>
    <s v="AUH1"/>
  </r>
  <r>
    <n v="203737017"/>
    <s v="alisayyp"/>
    <s v="Ali Hussain Sayye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0"/>
    <s v="Ground Level"/>
    <e v="#N/A"/>
    <s v="India"/>
    <s v="Innovations - UAE"/>
    <s v="ahmadzr"/>
    <s v="Ahmad Adly Ahmad Al- Zoubi"/>
    <s v="Male"/>
    <s v="NA"/>
    <n v="99"/>
    <s v="AUH1"/>
  </r>
  <r>
    <n v="203736749"/>
    <s v="manajoy"/>
    <s v="Anal Joy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1"/>
    <s v="Ground Level"/>
    <e v="#N/A"/>
    <s v="Sri Lanka"/>
    <s v="Adecco"/>
    <s v="ahssma"/>
    <s v="Ahmed Madbouly"/>
    <s v="Male"/>
    <s v="NA"/>
    <n v="99"/>
    <s v="AUH1"/>
  </r>
  <r>
    <n v="203736754"/>
    <s v="myasaung"/>
    <s v="Aung Kaung Mya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2"/>
    <s v="Ground Level"/>
    <e v="#N/A"/>
    <s v="Myanmar"/>
    <s v="Adecco"/>
    <s v="ahssma"/>
    <s v="Ahmed Madbouly"/>
    <s v="Male"/>
    <s v="NA"/>
    <n v="99"/>
    <s v="AUH1"/>
  </r>
  <r>
    <n v="203736753"/>
    <s v="saaungo"/>
    <s v="Aung San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3"/>
    <s v="Ground Level"/>
    <e v="#N/A"/>
    <s v="Myanmar"/>
    <s v="Adecco"/>
    <s v="ahssma"/>
    <s v="Ahmed Madbouly"/>
    <s v="Male"/>
    <s v="NA"/>
    <n v="99"/>
    <s v="AUH1"/>
  </r>
  <r>
    <n v="203737008"/>
    <s v="besukar"/>
    <s v="Besua Njomi Jean Karim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4"/>
    <s v="Ground Level"/>
    <e v="#N/A"/>
    <s v="Uganda"/>
    <s v="Innovations - UAE"/>
    <s v="ahmadzr"/>
    <s v="Ahmad Adly Ahmad Al- Zoubi"/>
    <s v="Male"/>
    <s v="NA"/>
    <n v="99"/>
    <s v="AUH1"/>
  </r>
  <r>
    <n v="203736750"/>
    <s v="tmyibhon"/>
    <s v="Bhone Myin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5"/>
    <s v="Ground Level"/>
    <e v="#N/A"/>
    <s v="Myanmar"/>
    <s v="Adecco"/>
    <s v="ahssma"/>
    <s v="Ahmed Madbouly"/>
    <s v="Male"/>
    <s v="NA"/>
    <n v="99"/>
    <s v="AUH1"/>
  </r>
  <r>
    <n v="203736748"/>
    <s v="ibinguru"/>
    <s v="Binod Gurung 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6"/>
    <s v="Ground Level"/>
    <e v="#N/A"/>
    <s v="Nepal"/>
    <s v="Adecco"/>
    <s v="ahssma"/>
    <s v="Ahmed Madbouly"/>
    <s v="Male "/>
    <s v="NA"/>
    <n v="99"/>
    <s v="AUH1"/>
  </r>
  <r>
    <n v="203737014"/>
    <s v="dhbishti"/>
    <s v="Dhiraj Bish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7"/>
    <s v="Ground Level"/>
    <e v="#N/A"/>
    <s v="India"/>
    <s v="Innovations - UAE"/>
    <s v="ahmadzr"/>
    <s v="Ahmad Adly Ahmad Al- Zoubi"/>
    <s v="Male"/>
    <s v="NA"/>
    <n v="99"/>
    <s v="AUH1"/>
  </r>
  <r>
    <n v="203736751"/>
    <s v="edapallc"/>
    <s v="Edapally Saikumar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8"/>
    <s v="Ground Level"/>
    <e v="#N/A"/>
    <s v="India"/>
    <s v="Adecco"/>
    <s v="ahssma"/>
    <s v="Ahmed Madbouly"/>
    <s v="Male"/>
    <s v="NA"/>
    <n v="99"/>
    <s v="AUH1"/>
  </r>
  <r>
    <n v="203737010"/>
    <s v="ansafraz"/>
    <s v="Francis Owusu Ansah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69"/>
    <s v="Ground Level"/>
    <e v="#N/A"/>
    <s v="Ghana"/>
    <s v="Innovations - UAE"/>
    <s v="ahmadzr"/>
    <s v="Ahmad Adly Ahmad Al- Zoubi"/>
    <s v="Male"/>
    <s v="NA"/>
    <n v="99"/>
    <s v="AUH1"/>
  </r>
  <r>
    <n v="203737249"/>
    <s v="amwikirg"/>
    <s v="GEOFREY HLEB AMWIKIRIZ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0"/>
    <s v="Ground Level"/>
    <e v="#N/A"/>
    <s v="Uganda"/>
    <s v="Dulsco"/>
    <s v="ahmadzr"/>
    <s v="Ahmad Adly Ahmad Al- Zoubi"/>
    <s v="Male"/>
    <s v="NA"/>
    <n v="99"/>
    <s v="AUH1"/>
  </r>
  <r>
    <n v="112181816"/>
    <s v="itawiah"/>
    <s v="Isaac Tilor Tawiah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2"/>
    <s v="Ground Level"/>
    <e v="#N/A"/>
    <s v="Ghana"/>
    <s v="Innovations - UAE"/>
    <s v="ahmadzr"/>
    <s v="Ahmad Adly Ahmad Al- Zoubi"/>
    <s v="Male"/>
    <s v="NA"/>
    <n v="99"/>
    <s v="AUH1"/>
  </r>
  <r>
    <n v="203736752"/>
    <s v="musthais"/>
    <s v="ISMAIL THEKKE KUNNUMMAL MUSTHAF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3"/>
    <s v="Ground Level"/>
    <e v="#N/A"/>
    <s v="India"/>
    <s v="Adecco"/>
    <s v="ahssma"/>
    <s v="Ahmed Madbouly"/>
    <s v="Male"/>
    <s v="NA"/>
    <n v="99"/>
    <s v="AUH1"/>
  </r>
  <r>
    <n v="203736757"/>
    <s v="vkaunght"/>
    <s v="Kaung Hte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4"/>
    <s v="Ground Level"/>
    <e v="#N/A"/>
    <s v="Myanmar"/>
    <s v="Adecco"/>
    <s v="ahssma"/>
    <s v="Ahmed Madbouly"/>
    <s v="Male"/>
    <s v="NA"/>
    <n v="99"/>
    <s v="AUH1"/>
  </r>
  <r>
    <n v="203736779"/>
    <s v="kaungsoa"/>
    <s v="Kaung Khant So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5"/>
    <s v="Ground Level"/>
    <e v="#N/A"/>
    <s v="Myanmar"/>
    <s v="Adecco"/>
    <s v="ahmadzr"/>
    <s v="Ahmad Adly Ahmad Al- Zoubi"/>
    <s v="Male"/>
    <s v="NA"/>
    <n v="99"/>
    <s v="AUH1"/>
  </r>
  <r>
    <n v="203736776"/>
    <s v="ikeharsa"/>
    <s v="Kehar Sing Sarki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7"/>
    <s v="Ground Level"/>
    <e v="#N/A"/>
    <s v="Nepal"/>
    <s v="Adecco"/>
    <s v="ahssma"/>
    <s v="Ahmed Madbouly"/>
    <s v="Male"/>
    <s v="NA"/>
    <n v="99"/>
    <s v="AUH1"/>
  </r>
  <r>
    <n v="203737111"/>
    <s v="villykis"/>
    <s v="Kisakye Elizabeth Villy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1008"/>
    <s v="Ground Level"/>
    <e v="#N/A"/>
    <s v="Uganda"/>
    <s v="Innovations - UAE"/>
    <s v="ahmadzr"/>
    <s v="Ahmad Adly Ahmad Al- Zoubi"/>
    <s v="Female"/>
    <s v="NA"/>
    <n v="99"/>
    <s v="AUH1"/>
  </r>
  <r>
    <n v="203737007"/>
    <s v="ahiataku"/>
    <s v="Kofi Agbenyyegah Ahiataku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8"/>
    <s v="Ground Level"/>
    <e v="#N/A"/>
    <s v="Ghana"/>
    <s v="Innovations - UAE"/>
    <s v="ahmadzr"/>
    <s v="Ahmad Adly Ahmad Al- Zoubi"/>
    <s v="Male"/>
    <s v="NA"/>
    <n v="99"/>
    <s v="AUH1"/>
  </r>
  <r>
    <n v="203737012"/>
    <s v="haykweat"/>
    <s v="Kweatey Tetteh Hayfor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79"/>
    <s v="Ground Level"/>
    <e v="#N/A"/>
    <s v="Ghana"/>
    <s v="Innovations - UAE"/>
    <s v="ahmadzr"/>
    <s v="Ahmad Adly Ahmad Al- Zoubi"/>
    <s v="Male"/>
    <s v="NA"/>
    <n v="99"/>
    <s v="AUH1"/>
  </r>
  <r>
    <n v="203737009"/>
    <s v="mnabanob"/>
    <s v="Masher Twine Nabanob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0"/>
    <s v="Ground Level"/>
    <e v="#N/A"/>
    <s v="Uganda"/>
    <s v="Innovations - UAE"/>
    <s v="ahmadzr"/>
    <s v="Ahmad Adly Ahmad Al- Zoubi"/>
    <s v="Female"/>
    <s v="NA"/>
    <n v="99"/>
    <s v="AUH1"/>
  </r>
  <r>
    <n v="203736777"/>
    <s v="minkhine"/>
    <s v="Min Thway Khin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2"/>
    <s v="Ground Level"/>
    <e v="#N/A"/>
    <s v="Myanmar"/>
    <s v="Adecco"/>
    <s v="ahssma"/>
    <s v="Ahmed Madbouly"/>
    <s v="Male"/>
    <s v="NA"/>
    <n v="99"/>
    <s v="AUH1"/>
  </r>
  <r>
    <n v="203736756"/>
    <s v="omohhida"/>
    <s v="MOHAMED YASEEN HIDAYATHULL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4"/>
    <s v="Ground Level"/>
    <e v="#N/A"/>
    <s v="Sri Lanka"/>
    <s v="Adecco"/>
    <s v="ahssma"/>
    <s v="Ahmed Madbouly"/>
    <s v="Male "/>
    <s v="NA"/>
    <n v="99"/>
    <s v="AUH1"/>
  </r>
  <r>
    <n v="203736772"/>
    <s v="shahidgm"/>
    <s v="MOHAMMAD SARFARAZ ANSARI SHAHI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5"/>
    <s v="Ground Level"/>
    <e v="#N/A"/>
    <s v="India"/>
    <s v="Adecco"/>
    <s v="ahssma"/>
    <s v="Ahmed Madbouly"/>
    <s v="Male"/>
    <s v="NA"/>
    <n v="99"/>
    <s v="AUH1"/>
  </r>
  <r>
    <n v="203736755"/>
    <s v="maxmrith"/>
    <s v="Mrithul Maxy 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6"/>
    <s v="Ground Level"/>
    <e v="#N/A"/>
    <s v="Sri Lanka"/>
    <s v="Adecco"/>
    <s v="ahssma"/>
    <s v="Ahmed Madbouly"/>
    <s v="Male "/>
    <s v="NA"/>
    <n v="99"/>
    <s v="AUH1"/>
  </r>
  <r>
    <n v="203737013"/>
    <s v="mukisdav"/>
    <s v="MUKISA DAVID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7"/>
    <s v="Ground Level"/>
    <e v="#N/A"/>
    <s v="Uganda"/>
    <s v="Innovations - UAE"/>
    <s v="ahmadzr"/>
    <s v="Ahmad Adly Ahmad Al- Zoubi"/>
    <s v="Male"/>
    <s v="NA"/>
    <n v="99"/>
    <s v="AUH1"/>
  </r>
  <r>
    <n v="203737250"/>
    <s v="murssesa"/>
    <s v="MURSHID SSESANG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8"/>
    <s v="Ground Level"/>
    <e v="#N/A"/>
    <s v="Uganda"/>
    <s v="Dulsco"/>
    <s v="ahmadzr"/>
    <s v="Ahmad Adly Ahmad Al- Zoubi"/>
    <s v="Male"/>
    <s v="NA"/>
    <n v="99"/>
    <s v="AUH1"/>
  </r>
  <r>
    <n v="203736773"/>
    <s v="painmyat"/>
    <s v="Myat Nay Paing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89"/>
    <s v="Ground Level"/>
    <e v="#N/A"/>
    <s v="Myanmar"/>
    <s v="Adecco"/>
    <s v="ahssma"/>
    <s v="Ahmed Madbouly"/>
    <s v="Male"/>
    <s v="NA"/>
    <n v="99"/>
    <s v="AUH1"/>
  </r>
  <r>
    <n v="203736774"/>
    <s v="nyanahte"/>
    <s v="Nyan Lin Hte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0"/>
    <s v="Ground Level"/>
    <e v="#N/A"/>
    <s v="Myanmar"/>
    <s v="Adecco"/>
    <s v="ahssma"/>
    <s v="Ahmed Madbouly"/>
    <s v="Male"/>
    <s v="NA"/>
    <n v="99"/>
    <s v="AUH1"/>
  </r>
  <r>
    <n v="203713003"/>
    <s v="pankajtd"/>
    <s v="Pankaj Tamang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1"/>
    <s v="Ground Level"/>
    <e v="#N/A"/>
    <s v="Nepal"/>
    <s v="Adecco"/>
    <s v="ahssma"/>
    <s v="Ahmed Madbouly"/>
    <s v="Male"/>
    <s v="NA"/>
    <n v="99"/>
    <s v="AUH1"/>
  </r>
  <r>
    <n v="203737251"/>
    <s v="rashdbis"/>
    <s v="RASHID BISEGERW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2"/>
    <s v="Ground Level"/>
    <e v="#N/A"/>
    <s v="Uganda"/>
    <s v="Dulsco"/>
    <s v="ahmadzr"/>
    <s v="Ahmad Adly Ahmad Al- Zoubi"/>
    <s v="Male"/>
    <s v="NA"/>
    <n v="99"/>
    <s v="AUH1"/>
  </r>
  <r>
    <n v="203737109"/>
    <s v="fiakegbr"/>
    <s v="Roger Fiakegbe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4"/>
    <s v="Ground Level"/>
    <e v="#N/A"/>
    <s v="Ghana"/>
    <s v="Innovations - UAE"/>
    <s v="ahmadzr"/>
    <s v="Ahmad Adly Ahmad Al- Zoubi"/>
    <s v="Male"/>
    <s v="NA"/>
    <n v="99"/>
    <s v="AUH1"/>
  </r>
  <r>
    <n v="203736781"/>
    <s v="zsagramd"/>
    <s v="Sagar Ramdan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5"/>
    <s v="Ground Level"/>
    <e v="#N/A"/>
    <s v="Nepal"/>
    <s v="Adecco"/>
    <s v="ahssma"/>
    <s v="Ahmed Madbouly"/>
    <s v="Male"/>
    <s v="NA"/>
    <n v="99"/>
    <s v="AUH1"/>
  </r>
  <r>
    <n v="203736780"/>
    <s v="msanmyin"/>
    <s v="San Myint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6"/>
    <s v="Ground Level"/>
    <e v="#N/A"/>
    <s v="Myanmar"/>
    <s v="Adecco"/>
    <s v="ahssma"/>
    <s v="Ahmed Madbouly"/>
    <s v="Male"/>
    <s v="NA"/>
    <n v="99"/>
    <s v="AUH1"/>
  </r>
  <r>
    <n v="203736775"/>
    <s v="sakuttan"/>
    <s v="Sanoj Kuttan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7"/>
    <s v="Ground Level"/>
    <e v="#N/A"/>
    <s v="India"/>
    <s v="Adecco"/>
    <s v="ahssma"/>
    <s v="Ahmed Madbouly"/>
    <s v="Male"/>
    <s v="NA"/>
    <n v="99"/>
    <s v="AUH1"/>
  </r>
  <r>
    <n v="203737252"/>
    <s v="shafinda"/>
    <s v="SHAFIK KYAZE NDAWUL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8"/>
    <s v="Ground Level"/>
    <e v="#N/A"/>
    <s v="Uganda"/>
    <s v="Dulsco"/>
    <s v="ahmadzr"/>
    <s v="Ahmad Adly Ahmad Al- Zoubi"/>
    <s v="Male"/>
    <s v="NA"/>
    <n v="99"/>
    <s v="AUH1"/>
  </r>
  <r>
    <n v="203737019"/>
    <s v="sshishaq"/>
    <s v="Shamsudeen Ishaq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499"/>
    <s v="Ground Level"/>
    <e v="#N/A"/>
    <s v="Ghana"/>
    <s v="Innovations - UAE"/>
    <s v="ahmadzr"/>
    <s v="Ahmad Adly Ahmad Al- Zoubi"/>
    <s v="Male"/>
    <s v="NA"/>
    <n v="99"/>
    <s v="AUH1"/>
  </r>
  <r>
    <n v="203737015"/>
    <s v="uakatuks"/>
    <s v="Sheila Precious Akatukund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206"/>
    <s v="Ground Level"/>
    <e v="#N/A"/>
    <s v="Uganda"/>
    <s v="Innovations - UAE"/>
    <s v="ahmadzr"/>
    <s v="Ahmad Adly Ahmad Al- Zoubi"/>
    <s v="Female"/>
    <s v="NA"/>
    <n v="99"/>
    <s v="AUH1"/>
  </r>
  <r>
    <n v="203737113"/>
    <s v="mcvishal"/>
    <s v="Vishal Mehra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m/>
    <m/>
    <e v="#N/A"/>
    <s v="India"/>
    <s v="Innovations - UAE"/>
    <s v="ahmadzr"/>
    <s v="Ahmad Adly Ahmad Al- Zoubi"/>
    <s v="Male"/>
    <s v="NA"/>
    <n v="99"/>
    <s v="AUH1"/>
  </r>
  <r>
    <n v="203736778"/>
    <s v="aungwai"/>
    <s v="Wai Hlian Phyo Aung"/>
    <d v="2024-07-29T00:00:00"/>
    <s v="Temporary"/>
    <s v="AUH1"/>
    <n v="1299"/>
    <s v="Day Shift"/>
    <s v="Saturday"/>
    <s v="Sunday"/>
    <s v="Warehouse Associate (AUH)"/>
    <s v="N"/>
    <x v="2"/>
    <d v="2024-08-11T00:00:00"/>
    <s v="Inbound Stow"/>
    <s v="Direct"/>
    <m/>
    <n v="500"/>
    <s v="Ground Level"/>
    <e v="#N/A"/>
    <s v="Myanmar"/>
    <s v="Adecco"/>
    <s v="ahssma"/>
    <s v="Ahmed Madbouly"/>
    <s v="Male"/>
    <s v="NA"/>
    <n v="99"/>
    <s v="AUH1"/>
  </r>
  <r>
    <n v="203709879"/>
    <s v="aungswap"/>
    <s v="Swan Htet Aung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501"/>
    <s v="Ground Level"/>
    <e v="#N/A"/>
    <s v="Myanmar"/>
    <s v="Adecco"/>
    <s v="fraczekk"/>
    <s v="Fraczek, Kamil"/>
    <m/>
    <m/>
    <n v="99"/>
    <s v="AUH1"/>
  </r>
  <r>
    <n v="203709886"/>
    <s v="kyawqmin"/>
    <s v="Min Khant Kyaw"/>
    <d v="2024-07-22T00:00:00"/>
    <s v="Temporary"/>
    <s v="AUH1"/>
    <n v="1299"/>
    <s v="Day Shift"/>
    <s v="Friday"/>
    <s v="Saturday"/>
    <s v="Warehouse Associate (AUH1)"/>
    <s v="N"/>
    <x v="1"/>
    <d v="2024-08-11T00:00:00"/>
    <m/>
    <s v="Direct"/>
    <m/>
    <n v="502"/>
    <s v="Ground Level"/>
    <e v="#N/A"/>
    <s v="Myanmar"/>
    <s v="Adecco"/>
    <s v="fraczekk"/>
    <s v="Fraczek, Kamil"/>
    <m/>
    <m/>
    <n v="99"/>
    <s v="AUH1"/>
  </r>
  <r>
    <n v="203741311"/>
    <s v="lhgbayta"/>
    <s v="LAHAI DAUDA GBAYTAY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32"/>
    <s v="Ground Level"/>
    <e v="#N/A"/>
    <s v="Liberia"/>
    <s v="Fastlink"/>
    <m/>
    <m/>
    <m/>
    <m/>
    <n v="99"/>
    <s v="AUH1"/>
  </r>
  <r>
    <n v="203741319"/>
    <s v="kouwilfr"/>
    <s v="WILFRIED MANGA KOUNGOU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3"/>
    <s v="Ground Level"/>
    <e v="#N/A"/>
    <s v="Ivory Coast"/>
    <s v="Fastlink"/>
    <m/>
    <m/>
    <m/>
    <m/>
    <n v="99"/>
    <s v="AUH1"/>
  </r>
  <r>
    <n v="203741313"/>
    <s v="ababdy"/>
    <s v="ABDUL FATAHI ABDULAI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4"/>
    <s v="Ground Level"/>
    <e v="#N/A"/>
    <s v="Ghana"/>
    <s v="Fastlink"/>
    <m/>
    <m/>
    <m/>
    <m/>
    <n v="99"/>
    <s v="AUH1"/>
  </r>
  <r>
    <n v="203741316"/>
    <s v="achedith"/>
    <s v="EDITH ACHEAMPONG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59"/>
    <s v="Ground Level"/>
    <e v="#N/A"/>
    <s v="Ghana"/>
    <s v="Fastlink"/>
    <m/>
    <m/>
    <m/>
    <m/>
    <n v="99"/>
    <s v="AUH1"/>
  </r>
  <r>
    <n v="203741315"/>
    <s v="mensedwg"/>
    <s v="EDWARD KWASI MENSAH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5"/>
    <s v="Ground Level"/>
    <e v="#N/A"/>
    <s v="Ghana"/>
    <s v="Fastlink"/>
    <m/>
    <m/>
    <m/>
    <m/>
    <n v="99"/>
    <s v="AUH1"/>
  </r>
  <r>
    <n v="203741314"/>
    <s v="agnestwu"/>
    <s v="AGNES TWUMWAA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61"/>
    <s v="Ground Level"/>
    <e v="#N/A"/>
    <s v="Ghana"/>
    <s v="Fastlink"/>
    <m/>
    <m/>
    <m/>
    <m/>
    <n v="99"/>
    <s v="AUH1"/>
  </r>
  <r>
    <n v="203741310"/>
    <s v="eliavony"/>
    <s v="ELIZABETH ABENA AVONYO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560"/>
    <s v="Ground Level"/>
    <e v="#N/A"/>
    <s v="Ghana"/>
    <s v="Fastlink"/>
    <m/>
    <m/>
    <m/>
    <m/>
    <n v="99"/>
    <s v="AUH1"/>
  </r>
  <r>
    <n v="203741318"/>
    <s v="qkhanivo"/>
    <s v="IVO AWA KHAN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6"/>
    <s v="Ground Level"/>
    <e v="#N/A"/>
    <s v="Ghana"/>
    <s v="Fastlink"/>
    <m/>
    <m/>
    <m/>
    <m/>
    <n v="99"/>
    <s v="AUH1"/>
  </r>
  <r>
    <n v="203741317"/>
    <s v="remmanai"/>
    <s v="Emmanuel Aidoo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7"/>
    <s v="Ground Level"/>
    <e v="#N/A"/>
    <s v="Ghana"/>
    <s v="Fastlink"/>
    <m/>
    <m/>
    <m/>
    <m/>
    <n v="99"/>
    <s v="AUH1"/>
  </r>
  <r>
    <n v="203741312"/>
    <s v="tamewuhq"/>
    <s v="Theophilus Amewuho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8"/>
    <s v="Ground Level"/>
    <e v="#N/A"/>
    <s v="Ghana"/>
    <s v="Fastlink"/>
    <m/>
    <m/>
    <m/>
    <m/>
    <n v="99"/>
    <s v="AUH1"/>
  </r>
  <r>
    <n v="203741324"/>
    <s v="iahfrank"/>
    <s v="FRANK AHEN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9"/>
    <s v="Ground Level"/>
    <e v="#N/A"/>
    <s v="Ghana"/>
    <s v="Fastlink"/>
    <m/>
    <m/>
    <m/>
    <m/>
    <n v="99"/>
    <s v="AUH1"/>
  </r>
  <r>
    <n v="203736257"/>
    <s v="albbwamb"/>
    <s v="ALBERT BWAMBAL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7"/>
    <s v="Ground Level"/>
    <e v="#N/A"/>
    <s v="Uganda"/>
    <s v="Dulsco"/>
    <m/>
    <m/>
    <m/>
    <m/>
    <n v="99"/>
    <s v="AUH1"/>
  </r>
  <r>
    <n v="203737199"/>
    <s v="ankibiri"/>
    <s v="ANNUARUH KIBIRIG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1"/>
    <s v="Ground Level"/>
    <e v="#N/A"/>
    <s v="Uganda"/>
    <s v="Dulsco"/>
    <m/>
    <m/>
    <m/>
    <m/>
    <n v="99"/>
    <s v="AUH1"/>
  </r>
  <r>
    <n v="203735959"/>
    <s v="arinasap"/>
    <s v="ASAPH ARINAITW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2"/>
    <s v="Ground Level"/>
    <e v="#N/A"/>
    <s v="Uganda"/>
    <s v="Dulsco"/>
    <m/>
    <m/>
    <m/>
    <m/>
    <n v="99"/>
    <s v="AUH1"/>
  </r>
  <r>
    <n v="203735940"/>
    <s v="ashkagan"/>
    <s v="ASHRAF KAGAND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3"/>
    <s v="Ground Level"/>
    <e v="#N/A"/>
    <s v="Uganda"/>
    <s v="Dulsco"/>
    <m/>
    <m/>
    <m/>
    <m/>
    <n v="99"/>
    <s v="AUH1"/>
  </r>
  <r>
    <n v="200006613"/>
    <s v="asrhamza"/>
    <s v="Hamza Ashraf 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44"/>
    <s v="Ground Level"/>
    <e v="#N/A"/>
    <s v="Pakistan"/>
    <s v="Innovations - UAE"/>
    <m/>
    <m/>
    <m/>
    <m/>
    <n v="99"/>
    <s v="DXB5"/>
  </r>
  <r>
    <n v="203735948"/>
    <s v="bonodama"/>
    <s v="BONIFACE ODAMA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45"/>
    <s v="Ground Level"/>
    <e v="#N/A"/>
    <s v="Uganda"/>
    <s v="Dulsco"/>
    <m/>
    <m/>
    <m/>
    <m/>
    <n v="99"/>
    <s v="AUH1"/>
  </r>
  <r>
    <n v="203735943"/>
    <s v="geofngar"/>
    <s v="GEOFFREY NGARAMBE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31"/>
    <s v="Ground Level"/>
    <e v="#N/A"/>
    <s v="Uganda"/>
    <s v="Dulsco"/>
    <m/>
    <m/>
    <m/>
    <m/>
    <n v="99"/>
    <s v="AUH1"/>
  </r>
  <r>
    <n v="203735957"/>
    <s v="gssesanj"/>
    <s v="JOEL SSESANG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30"/>
    <s v="Ground Level"/>
    <e v="#N/A"/>
    <s v="Uganda"/>
    <s v="Dulsco"/>
    <m/>
    <m/>
    <m/>
    <m/>
    <n v="99"/>
    <s v="AUH1"/>
  </r>
  <r>
    <n v="203736255"/>
    <s v="javiramu"/>
    <s v="JAVIRA MUTEBI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9"/>
    <s v="Ground Level"/>
    <e v="#N/A"/>
    <s v="Uganda"/>
    <s v="Dulsco"/>
    <m/>
    <m/>
    <m/>
    <m/>
    <n v="99"/>
    <s v="AUH1"/>
  </r>
  <r>
    <n v="203736329"/>
    <s v="joolubeg"/>
    <s v="JOHN LUBEG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8"/>
    <s v="Ground Level"/>
    <e v="#N/A"/>
    <s v="Uganda"/>
    <s v="Dulsco"/>
    <m/>
    <m/>
    <m/>
    <m/>
    <n v="99"/>
    <s v="AUH1"/>
  </r>
  <r>
    <n v="203737200"/>
    <s v="kabhenry"/>
    <s v="HENRY PETER KABAND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7"/>
    <s v="Ground Level"/>
    <e v="#N/A"/>
    <s v="Uganda"/>
    <s v="Dulsco"/>
    <m/>
    <m/>
    <m/>
    <m/>
    <n v="99"/>
    <s v="AUH1"/>
  </r>
  <r>
    <n v="203737144"/>
    <s v="kahermaj"/>
    <s v="KAMOGA HERMAN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6"/>
    <s v="Ground Level"/>
    <e v="#N/A"/>
    <s v="Uganda"/>
    <s v="Innovations - UAE"/>
    <m/>
    <m/>
    <m/>
    <m/>
    <n v="99"/>
    <s v="AUH1"/>
  </r>
  <r>
    <n v="203737145"/>
    <s v="kukulago"/>
    <s v="Anusha Dilrukshi Gunathilak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558"/>
    <s v="Ground Level"/>
    <e v="#N/A"/>
    <s v="Sri Lanka"/>
    <s v="Innovations - UAE"/>
    <m/>
    <m/>
    <m/>
    <m/>
    <n v="99"/>
    <s v="AUH1"/>
  </r>
  <r>
    <n v="203737197"/>
    <s v="mosekiri"/>
    <s v="MOSES KIRINY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5"/>
    <s v="Ground Level"/>
    <e v="#N/A"/>
    <s v="Uganda"/>
    <s v="Dulsco"/>
    <m/>
    <m/>
    <m/>
    <m/>
    <n v="99"/>
    <s v="AUH1"/>
  </r>
  <r>
    <n v="203736252"/>
    <s v="mukaderi"/>
    <s v="DERICK MUKAM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4"/>
    <s v="Ground Level"/>
    <e v="#N/A"/>
    <s v="Uganda"/>
    <s v="Dulsco"/>
    <m/>
    <m/>
    <m/>
    <m/>
    <n v="99"/>
    <s v="AUH1"/>
  </r>
  <r>
    <n v="203736256"/>
    <s v="mukalash"/>
    <s v="SHAFIC MUKALAZI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3"/>
    <s v="Ground Level"/>
    <e v="#N/A"/>
    <s v="Uganda"/>
    <s v="Dulsco"/>
    <m/>
    <m/>
    <m/>
    <m/>
    <n v="99"/>
    <s v="AUH1"/>
  </r>
  <r>
    <n v="203736254"/>
    <s v="mukujung"/>
    <s v="ISAAH MUKUJUNGU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2"/>
    <s v="Ground Level"/>
    <e v="#N/A"/>
    <s v="Uganda"/>
    <s v="Dulsco"/>
    <m/>
    <m/>
    <m/>
    <m/>
    <n v="99"/>
    <s v="AUH1"/>
  </r>
  <r>
    <n v="203735946"/>
    <s v="obitgsim"/>
    <s v="SIMONPETER OBIT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21"/>
    <s v="Ground Level"/>
    <e v="#N/A"/>
    <s v="Uganda"/>
    <s v="Dulsco"/>
    <m/>
    <m/>
    <m/>
    <m/>
    <n v="99"/>
    <s v="AUH1"/>
  </r>
  <r>
    <n v="203736253"/>
    <s v="obwemman"/>
    <s v="EMMANUEL OBWAN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20"/>
    <s v="Ground Level"/>
    <e v="#N/A"/>
    <s v="Uganda"/>
    <s v="Dulsco"/>
    <m/>
    <m/>
    <m/>
    <m/>
    <n v="99"/>
    <s v="AUH1"/>
  </r>
  <r>
    <n v="203736250"/>
    <s v="okisakye"/>
    <s v="EDWARD SSEMPIJJA KISAKY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9"/>
    <s v="Ground Level"/>
    <e v="#N/A"/>
    <s v="Uganda"/>
    <s v="Dulsco"/>
    <m/>
    <m/>
    <m/>
    <m/>
    <n v="99"/>
    <s v="AUH1"/>
  </r>
  <r>
    <n v="203737146"/>
    <s v="ponnormx"/>
    <s v="Norman Reyes Ponc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8"/>
    <s v="Ground Level"/>
    <e v="#N/A"/>
    <s v="Philippines"/>
    <s v="Innovations - UAE"/>
    <m/>
    <m/>
    <m/>
    <m/>
    <n v="99"/>
    <s v="AUH1"/>
  </r>
  <r>
    <n v="203735938"/>
    <s v="posiakwi"/>
    <s v="POSIANO KWIKIRIZ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7"/>
    <s v="Ground Level"/>
    <e v="#N/A"/>
    <s v="Uganda"/>
    <s v="Dulsco"/>
    <m/>
    <m/>
    <m/>
    <m/>
    <n v="99"/>
    <s v="AUH1"/>
  </r>
  <r>
    <n v="203736258"/>
    <s v="robembug"/>
    <s v="ROBERT MBUGHEKI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6"/>
    <s v="Ground Level"/>
    <e v="#N/A"/>
    <s v="Uganda"/>
    <s v="Dulsco"/>
    <m/>
    <m/>
    <m/>
    <m/>
    <n v="99"/>
    <s v="AUH1"/>
  </r>
  <r>
    <n v="203735941"/>
    <s v="ssenbfre"/>
    <s v="FRED SSENDAGIRE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15"/>
    <s v="Ground Level"/>
    <e v="#N/A"/>
    <s v="Uganda"/>
    <s v="Dulsco"/>
    <m/>
    <m/>
    <m/>
    <m/>
    <n v="99"/>
    <s v="AUH1"/>
  </r>
  <r>
    <n v="203735944"/>
    <s v="twasmose"/>
    <s v="MOSES WASSW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4"/>
    <s v="Ground Level"/>
    <e v="#N/A"/>
    <s v="Uganda"/>
    <s v="Dulsco"/>
    <m/>
    <m/>
    <m/>
    <m/>
    <n v="99"/>
    <s v="AUH1"/>
  </r>
  <r>
    <n v="203736259"/>
    <s v="tysnabas"/>
    <s v="TYSON NABASA"/>
    <d v="2024-07-29T00:00:00"/>
    <s v="Temporary"/>
    <s v="AUH1"/>
    <n v="1299"/>
    <s v="Day Shift"/>
    <s v="Sunday"/>
    <s v="Monday"/>
    <s v="Warehouse Associate (AUH)"/>
    <s v="N"/>
    <x v="2"/>
    <d v="2024-08-11T00:00:00"/>
    <m/>
    <s v="Direct"/>
    <m/>
    <n v="213"/>
    <s v="Ground Level"/>
    <e v="#N/A"/>
    <s v="Uganda"/>
    <s v="Dulsco"/>
    <m/>
    <m/>
    <m/>
    <m/>
    <n v="99"/>
    <s v="AUH1"/>
  </r>
  <r>
    <n v="203736251"/>
    <s v="wistomus"/>
    <s v="WISTON MUSAN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2"/>
    <s v="Ground Level"/>
    <e v="#N/A"/>
    <s v="Uganda"/>
    <s v="Dulsco"/>
    <m/>
    <m/>
    <m/>
    <m/>
    <n v="99"/>
    <s v="AUH1"/>
  </r>
  <r>
    <n v="203735945"/>
    <s v="wmasolwi"/>
    <s v="WILLIAM MASOLE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1"/>
    <s v="Ground Level"/>
    <e v="#N/A"/>
    <s v="Zambia"/>
    <s v="Dulsco"/>
    <m/>
    <m/>
    <m/>
    <m/>
    <n v="99"/>
    <s v="AUH1"/>
  </r>
  <r>
    <n v="203737198"/>
    <s v="wrkilama"/>
    <s v="WILLIAM KILAMA"/>
    <d v="2024-07-29T00:00:00"/>
    <s v="Temporary"/>
    <s v="AUH1"/>
    <n v="1299"/>
    <s v="Day Shift"/>
    <s v="Saturday"/>
    <s v="Sunday"/>
    <s v="Warehouse Associate (AUH)"/>
    <s v="N"/>
    <x v="2"/>
    <d v="2024-08-11T00:00:00"/>
    <m/>
    <s v="Direct"/>
    <m/>
    <n v="210"/>
    <s v="Ground Level"/>
    <e v="#N/A"/>
    <s v="Uganda"/>
    <s v="Dulsco"/>
    <m/>
    <m/>
    <m/>
    <m/>
    <n v="99"/>
    <s v="AUH1"/>
  </r>
  <r>
    <n v="202323686"/>
    <s v="hanoseik"/>
    <s v="Hannah Osei"/>
    <d v="2023-10-23T00:00:00"/>
    <s v="Temporary"/>
    <s v="AUH1"/>
    <n v="1299"/>
    <s v="Day Shift"/>
    <s v="Tuesday"/>
    <s v="Wednesday"/>
    <s v="Warehouse Associate (TEMP)"/>
    <s v="Y"/>
    <x v="0"/>
    <d v="2024-08-12T00:00:00"/>
    <s v="Customer Returns"/>
    <s v="Direct"/>
    <m/>
    <n v="1609"/>
    <s v="Mezzanine Level"/>
    <e v="#N/A"/>
    <m/>
    <s v="Innovations - UAE"/>
    <s v="anshafik"/>
    <s v="Shafik,Andrew Adel"/>
    <s v="Female"/>
    <s v="M"/>
    <n v="99"/>
    <s v="DXB3"/>
  </r>
  <r>
    <n v="201980393"/>
    <s v="matildvn"/>
    <s v="Num, Matilda"/>
    <d v="2023-09-04T00:00:00"/>
    <s v="Temporary"/>
    <s v="AUH1"/>
    <n v="1299"/>
    <s v="Day Shift"/>
    <s v="Tuesday"/>
    <s v="Wednesday"/>
    <s v="Warehouse Associate (TEMP)"/>
    <s v="Y"/>
    <x v="0"/>
    <d v="2024-08-12T00:00:00"/>
    <s v="Customer Returns"/>
    <s v="Direct"/>
    <m/>
    <n v="1608"/>
    <s v="Mezzanine Level"/>
    <e v="#N/A"/>
    <m/>
    <s v="Mycon"/>
    <s v="anshafik"/>
    <s v="Shafik,Andrew Adel"/>
    <s v="Female"/>
    <s v="M"/>
    <n v="99"/>
    <s v="DXB3"/>
  </r>
  <r>
    <n v="102207568"/>
    <s v="cbondoc"/>
    <s v="Charmaine Bondoc"/>
    <d v="2017-05-13T00:00:00"/>
    <s v="Regular"/>
    <s v="AUH1"/>
    <n v="1299"/>
    <s v="Day Shift"/>
    <s v="Sunday"/>
    <s v="Monday"/>
    <s v="Warehouse Associate"/>
    <s v="Y"/>
    <x v="0"/>
    <d v="2024-08-12T00:00:00"/>
    <s v="Customer Returns"/>
    <s v="Direct"/>
    <m/>
    <n v="1607"/>
    <s v="Mezzanine Level"/>
    <e v="#N/A"/>
    <m/>
    <s v="Blue Badge"/>
    <s v="anshafik"/>
    <s v="Shafik,Andrew Adel"/>
    <s v="Female"/>
    <s v="M"/>
    <n v="99"/>
    <s v="DXB3"/>
  </r>
  <r>
    <n v="109468014"/>
    <s v="dalmeial"/>
    <s v="D Almeida, Alson"/>
    <d v="2022-08-09T00:00:00"/>
    <s v="Regular"/>
    <s v="AUH1"/>
    <n v="1299"/>
    <s v="Day Shift"/>
    <s v="Sunday"/>
    <s v="Monday"/>
    <s v="FC Associate I"/>
    <s v="Y"/>
    <x v="0"/>
    <d v="2024-08-12T00:00:00"/>
    <s v="Customer Returns"/>
    <s v="Direct"/>
    <m/>
    <n v="1277"/>
    <s v="Mezzanine Level"/>
    <e v="#N/A"/>
    <m/>
    <s v="Blue Badge"/>
    <s v="anshafik"/>
    <s v="Shafik,Andrew Adel"/>
    <s v="Male"/>
    <s v="XL"/>
    <n v="99"/>
    <s v="DXB3"/>
  </r>
  <r>
    <n v="203102688"/>
    <s v="ishmaetg"/>
    <s v="Ishmael Gingo"/>
    <d v="2024-03-18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76"/>
    <s v="Mezzanine Level"/>
    <e v="#N/A"/>
    <m/>
    <s v="Adecco"/>
    <s v="anshafik"/>
    <s v="Shafik,Andrew Adel"/>
    <s v="Male"/>
    <s v="L"/>
    <n v="99"/>
    <s v="DXB3"/>
  </r>
  <r>
    <n v="102207589"/>
    <s v="jhnfl"/>
    <s v="John Flores"/>
    <d v="2017-05-13T00:00:00"/>
    <s v="Regular"/>
    <s v="AUH1"/>
    <n v="1299"/>
    <s v="Day Shift"/>
    <s v="Monday"/>
    <s v="Tuesday"/>
    <s v="Warehouse Associate"/>
    <s v="Y"/>
    <x v="0"/>
    <d v="2024-08-12T00:00:00"/>
    <s v="Customer Returns"/>
    <s v="Direct"/>
    <m/>
    <n v="1275"/>
    <s v="Mezzanine Level"/>
    <e v="#N/A"/>
    <m/>
    <s v="Blue Badge"/>
    <s v="anshafik"/>
    <s v="Shafik,Andrew Adel"/>
    <s v="Male"/>
    <s v="M"/>
    <n v="99"/>
    <s v="DXB3"/>
  </r>
  <r>
    <n v="200568507"/>
    <s v="kadiatja"/>
    <s v="Jalloh,Kadiatu"/>
    <d v="2024-01-18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606"/>
    <s v="Mezzanine Level"/>
    <e v="#N/A"/>
    <m/>
    <s v="Fastlink"/>
    <s v="anshafik"/>
    <s v="Shafik,Andrew Adel"/>
    <s v="Female"/>
    <s v="S"/>
    <n v="99"/>
    <s v="DXB3"/>
  </r>
  <r>
    <n v="202273042"/>
    <s v="lacloude"/>
    <s v="Claudette Nubu Langmia"/>
    <d v="2024-03-25T00:00:00"/>
    <s v="Temporary"/>
    <s v="AUH1"/>
    <n v="1299"/>
    <s v="Day Shift"/>
    <s v="Monday"/>
    <s v="Tuesday"/>
    <s v="Warehouse Associate (DS)"/>
    <s v="Y"/>
    <x v="0"/>
    <d v="2024-08-12T00:00:00"/>
    <s v="Customer Returns"/>
    <s v="Direct"/>
    <m/>
    <n v="1605"/>
    <s v="Mezzanine Level"/>
    <e v="#N/A"/>
    <m/>
    <s v="Fastlink"/>
    <s v="anshafik"/>
    <s v="Shafik,Andrew Adel"/>
    <s v="Female"/>
    <s v="L"/>
    <n v="99"/>
    <s v="DXB3"/>
  </r>
  <r>
    <n v="202998976"/>
    <s v="ojakoale"/>
    <s v="Ojakol Alex"/>
    <d v="2024-02-12T00:00:00"/>
    <s v="Temporary"/>
    <s v="AUH1"/>
    <n v="1299"/>
    <s v="Day Shift"/>
    <s v="Monday"/>
    <s v="Tuesday"/>
    <s v="Warehouse Associate (DS)"/>
    <s v="Y"/>
    <x v="0"/>
    <d v="2024-08-12T00:00:00"/>
    <s v="Customer Returns"/>
    <s v="Direct"/>
    <m/>
    <n v="1274"/>
    <s v="Mezzanine Level"/>
    <e v="#N/A"/>
    <m/>
    <s v="Fastlink"/>
    <s v="anshafik"/>
    <s v="Shafik,Andrew Adel"/>
    <s v="Male"/>
    <s v="M"/>
    <n v="99"/>
    <s v="DXB3"/>
  </r>
  <r>
    <n v="203102687"/>
    <s v="saifaliu"/>
    <s v="Saif Ali"/>
    <d v="2024-03-18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73"/>
    <s v="Mezzanine Level"/>
    <e v="#N/A"/>
    <m/>
    <s v="Adecco"/>
    <s v="anshafik"/>
    <s v="Shafik,Andrew Adel"/>
    <s v="Male"/>
    <s v="L"/>
    <n v="99"/>
    <s v="DXB3"/>
  </r>
  <r>
    <n v="201282675"/>
    <s v="xbetenow"/>
    <s v="Betek Morine Enow"/>
    <d v="2024-02-22T00:00:00"/>
    <s v="Temporary"/>
    <s v="AUH1"/>
    <n v="1299"/>
    <s v="Day Shift"/>
    <s v="Wednesday"/>
    <s v="Thursday"/>
    <s v="Warehouse Associate (DS)"/>
    <s v="Y"/>
    <x v="0"/>
    <d v="2024-08-12T00:00:00"/>
    <s v="Customer Returns"/>
    <s v="Direct"/>
    <m/>
    <n v="1604"/>
    <s v="Mezzanine Level"/>
    <e v="#N/A"/>
    <m/>
    <s v="Mycon"/>
    <s v="anshafik"/>
    <s v="Shafik,Andrew Adel"/>
    <s v="Female"/>
    <s v="XL"/>
    <n v="99"/>
    <s v="DXB3"/>
  </r>
  <r>
    <n v="112181815"/>
    <s v="riaharis"/>
    <s v="Haris Riaz"/>
    <d v="2023-10-1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67"/>
    <s v="Mezzanine Level"/>
    <e v="#N/A"/>
    <m/>
    <s v="Innovations - UAE"/>
    <s v="anshafik"/>
    <s v="Shafik,Andrew Adel"/>
    <s v="Male"/>
    <s v="L"/>
    <n v="99"/>
    <s v="DXB3"/>
  </r>
  <r>
    <n v="201226564"/>
    <s v="atakojoy"/>
    <s v="Joyce Esinu Atakora"/>
    <d v="2023-03-27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603"/>
    <s v="Mezzanine Level"/>
    <e v="#N/A"/>
    <m/>
    <s v="Fastlink"/>
    <s v="anshafik"/>
    <s v="Shafik,Andrew Adel"/>
    <s v="Female"/>
    <s v="XL"/>
    <n v="99"/>
    <s v="DXB3"/>
  </r>
  <r>
    <n v="113152227"/>
    <s v="ioaponsa"/>
    <s v="Aponsah,Ophelia"/>
    <d v="2022-10-17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602"/>
    <s v="Mezzanine Level"/>
    <e v="#N/A"/>
    <m/>
    <s v="Fastlink"/>
    <s v="anshafik"/>
    <s v="Shafik,Andrew Adel"/>
    <s v="Male"/>
    <s v="M"/>
    <n v="99"/>
    <s v="DXB3"/>
  </r>
  <r>
    <n v="113158669"/>
    <s v="aobeatri"/>
    <s v="Adu,Beatrice"/>
    <d v="2022-10-1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601"/>
    <s v="Mezzanine Level"/>
    <e v="#N/A"/>
    <m/>
    <s v="Fastlink"/>
    <s v="anshafik"/>
    <s v="Shafik,Andrew Adel"/>
    <s v="Female"/>
    <s v="L"/>
    <n v="99"/>
    <s v="DXB3"/>
  </r>
  <r>
    <n v="201227942"/>
    <s v="xdorothy"/>
    <s v="Asare,Dorothy"/>
    <d v="2023-03-27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600"/>
    <s v="Mezzanine Level"/>
    <e v="#N/A"/>
    <m/>
    <s v="Innovations - UAE"/>
    <s v="anshafik"/>
    <s v="Shafik,Andrew Adel"/>
    <s v="Female"/>
    <s v="M"/>
    <n v="99"/>
    <s v="DXB3"/>
  </r>
  <r>
    <n v="202453072"/>
    <s v="dpagbake"/>
    <s v="Prince Kwame Agbakey"/>
    <d v="2023-11-01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270"/>
    <s v="Mezzanine Level"/>
    <e v="#N/A"/>
    <m/>
    <s v="Fastlink"/>
    <s v="anshafik"/>
    <s v="Shafik,Andrew Adel"/>
    <s v="Male"/>
    <s v="XL"/>
    <n v="99"/>
    <s v="DXB3"/>
  </r>
  <r>
    <n v="202337592"/>
    <s v="abdujm"/>
    <s v="Mohammed Abdul Karim"/>
    <d v="2024-01-29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65"/>
    <s v="Mezzanine Level"/>
    <e v="#N/A"/>
    <m/>
    <s v="Fastlink"/>
    <s v="anshafik"/>
    <s v="Shafik,Andrew Adel"/>
    <s v="Male"/>
    <s v="L"/>
    <n v="99"/>
    <s v="DXB3"/>
  </r>
  <r>
    <n v="202280306"/>
    <s v="mohadkab"/>
    <s v="Mohamed Kefing Kaba"/>
    <d v="2023-10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68"/>
    <s v="Mezzanine Level"/>
    <e v="#N/A"/>
    <m/>
    <s v="Fastlink"/>
    <s v="anshafik"/>
    <s v="Shafik,Andrew Adel"/>
    <s v="Male"/>
    <s v="L"/>
    <n v="99"/>
    <s v="DXB3"/>
  </r>
  <r>
    <n v="202102375"/>
    <s v="trantuix"/>
    <s v="Tracy Angwi Tebo Epouse Ntui"/>
    <d v="2023-10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9"/>
    <s v="Mezzanine Level"/>
    <e v="#N/A"/>
    <m/>
    <s v="Fastlink"/>
    <s v="anshafik"/>
    <s v="Shafik,Andrew Adel"/>
    <s v="Female"/>
    <s v="XL"/>
    <n v="99"/>
    <s v="DXB3"/>
  </r>
  <r>
    <n v="202453068"/>
    <s v="pgonricm"/>
    <s v="Richmond P Gonlehtuo"/>
    <d v="2023-11-01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69"/>
    <s v="Mezzanine Level"/>
    <e v="#N/A"/>
    <m/>
    <s v="Fastlink"/>
    <s v="anshafik"/>
    <s v="Shafik,Andrew Adel"/>
    <s v="Male"/>
    <s v="L"/>
    <n v="99"/>
    <s v="DXB3"/>
  </r>
  <r>
    <n v="202273437"/>
    <s v="dlatipha"/>
    <s v="Latipha Mahama"/>
    <d v="2023-10-1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8"/>
    <s v="Mezzanine Level"/>
    <e v="#N/A"/>
    <m/>
    <s v="Fastlink"/>
    <s v="anshafik"/>
    <s v="Shafik,Andrew Adel"/>
    <s v="Female"/>
    <s v="XL"/>
    <n v="99"/>
    <s v="DXB3"/>
  </r>
  <r>
    <n v="201226560"/>
    <s v="tilsesay"/>
    <s v="Sesay Tity"/>
    <d v="2023-03-2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62"/>
    <s v="Mezzanine Level"/>
    <e v="#N/A"/>
    <m/>
    <s v="Fastlink"/>
    <s v="anshafik"/>
    <s v="Shafik,Andrew Adel"/>
    <s v="Female"/>
    <s v="L"/>
    <n v="99"/>
    <s v="DXB3"/>
  </r>
  <r>
    <n v="201329371"/>
    <s v="geavornu"/>
    <s v="George Mensah Avornu"/>
    <d v="2023-10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61"/>
    <s v="Mezzanine Level"/>
    <e v="#N/A"/>
    <m/>
    <s v="Fastlink"/>
    <s v="anshafik"/>
    <s v="Shafik,Andrew Adel"/>
    <s v="Male"/>
    <s v="L"/>
    <n v="99"/>
    <s v="DXB3"/>
  </r>
  <r>
    <n v="202280848"/>
    <s v="usamueaz"/>
    <s v="Samuel Azorli"/>
    <d v="2023-10-1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60"/>
    <s v="Mezzanine Level"/>
    <e v="#N/A"/>
    <m/>
    <s v="Fastlink"/>
    <s v="anshafik"/>
    <s v="Shafik,Andrew Adel"/>
    <s v="Male"/>
    <s v="L"/>
    <n v="99"/>
    <s v="DXB3"/>
  </r>
  <r>
    <n v="201567443"/>
    <s v="lnsunita"/>
    <s v="Sunita Lamichane Magar"/>
    <d v="2023-06-19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7"/>
    <s v="Mezzanine Level"/>
    <e v="#N/A"/>
    <m/>
    <s v="Innovations - UAE"/>
    <s v="anshafik"/>
    <s v="Shafik,Andrew Adel"/>
    <s v="Female"/>
    <s v="M"/>
    <n v="99"/>
    <s v="DXB3"/>
  </r>
  <r>
    <n v="202453070"/>
    <s v="umavisfo"/>
    <s v="Mavis Afo Forbah"/>
    <d v="2023-11-01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596"/>
    <s v="Mezzanine Level"/>
    <e v="#N/A"/>
    <m/>
    <s v="Fastlink"/>
    <s v="anshafik"/>
    <s v="Shafik,Andrew Adel"/>
    <s v="Female"/>
    <s v="M"/>
    <n v="99"/>
    <s v="DXB3"/>
  </r>
  <r>
    <n v="202308506"/>
    <s v="kkalsume"/>
    <s v="Ume Kalsoom"/>
    <d v="2023-10-23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5"/>
    <s v="Mezzanine Level"/>
    <e v="#N/A"/>
    <m/>
    <s v="Mycon"/>
    <s v="anshafik"/>
    <s v="Shafik,Andrew Adel"/>
    <s v="Female"/>
    <s v="M"/>
    <n v="99"/>
    <s v="DXB3"/>
  </r>
  <r>
    <n v="201567424"/>
    <s v="jngakoep"/>
    <s v="Ngako Epse Tagne Fotso, Josiane"/>
    <d v="2023-06-19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4"/>
    <s v="Mezzanine Level"/>
    <e v="#N/A"/>
    <m/>
    <s v="Mycon"/>
    <s v="anshafik"/>
    <s v="Shafik,Andrew Adel"/>
    <s v="Female"/>
    <s v="XL"/>
    <n v="99"/>
    <s v="DXB3"/>
  </r>
  <r>
    <n v="113158685"/>
    <s v="nadayiko"/>
    <s v="Ayikoru,Nadia"/>
    <d v="2022-10-1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3"/>
    <s v="Mezzanine Level"/>
    <e v="#N/A"/>
    <m/>
    <s v="Fastlink"/>
    <s v="anshafik"/>
    <s v="Shafik,Andrew Adel"/>
    <s v="Female"/>
    <s v="L"/>
    <n v="99"/>
    <s v="DXB3"/>
  </r>
  <r>
    <n v="202402831"/>
    <s v="ahmzoha"/>
    <s v="Zohaib Ejaz Ejaz Ahmed"/>
    <d v="2023-10-26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59"/>
    <s v="Mezzanine Level"/>
    <e v="#N/A"/>
    <m/>
    <s v="Fastlink"/>
    <s v="anshafik"/>
    <s v="Shafik,Andrew Adel"/>
    <s v="Male"/>
    <s v="M"/>
    <n v="99"/>
    <s v="DXB3"/>
  </r>
  <r>
    <n v="201552881"/>
    <s v="fatoudou"/>
    <s v="Fatoumata Doumbouya"/>
    <d v="2023-10-16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592"/>
    <s v="Mezzanine Level"/>
    <e v="#N/A"/>
    <m/>
    <s v="Fastlink"/>
    <s v="anshafik"/>
    <s v="Shafik,Andrew Adel"/>
    <s v="Female"/>
    <s v="XL"/>
    <n v="99"/>
    <s v="DXB3"/>
  </r>
  <r>
    <n v="112408803"/>
    <s v="ritaxnan"/>
    <s v="Rita Dedo Nanor"/>
    <d v="2023-02-27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91"/>
    <s v="Mezzanine Level"/>
    <e v="#N/A"/>
    <m/>
    <s v="Fastlink"/>
    <s v="anshafik"/>
    <s v="Shafik,Andrew Adel"/>
    <s v="Female"/>
    <s v="XL"/>
    <n v="99"/>
    <s v="DXB3"/>
  </r>
  <r>
    <n v="112677523"/>
    <s v="shrestln"/>
    <s v="Nisha Shrestha"/>
    <d v="2023-10-23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90"/>
    <s v="Mezzanine Level"/>
    <e v="#N/A"/>
    <m/>
    <s v="Innovations - UAE"/>
    <s v="anshafik"/>
    <s v="Shafik,Andrew Adel"/>
    <s v="Female"/>
    <s v="M"/>
    <n v="99"/>
    <s v="DXB3"/>
  </r>
  <r>
    <n v="112644424"/>
    <s v="michobsi"/>
    <s v="Obsid Michael"/>
    <d v="2022-06-09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58"/>
    <s v="Mezzanine Level"/>
    <e v="#N/A"/>
    <m/>
    <s v="Quesscorp"/>
    <s v="anshafik"/>
    <s v="Shafik,Andrew Adel"/>
    <s v="Male"/>
    <s v="L"/>
    <n v="99"/>
    <s v="DXB3"/>
  </r>
  <r>
    <n v="201226316"/>
    <s v="garichel"/>
    <s v="Richelle Galay Santons"/>
    <d v="2023-03-2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89"/>
    <s v="Mezzanine Level"/>
    <e v="#N/A"/>
    <m/>
    <s v="Fastlink"/>
    <s v="anshafik"/>
    <s v="Shafik,Andrew Adel"/>
    <s v="Female"/>
    <s v="M"/>
    <n v="99"/>
    <s v="DXB3"/>
  </r>
  <r>
    <n v="112350562"/>
    <s v="reirenel"/>
    <s v="Irene Reyes"/>
    <d v="2022-03-1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88"/>
    <s v="Mezzanine Level"/>
    <e v="#N/A"/>
    <m/>
    <s v="Innovations - UAE"/>
    <s v="anshafik"/>
    <s v="Shafik,Andrew Adel"/>
    <s v="Female"/>
    <s v="XL"/>
    <n v="99"/>
    <s v="DXB3"/>
  </r>
  <r>
    <n v="202402832"/>
    <s v="ngwagilb"/>
    <s v="Gilbert Tumasang Ngwa"/>
    <d v="2023-10-26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257"/>
    <s v="Mezzanine Level"/>
    <e v="#N/A"/>
    <m/>
    <s v="Fastlink"/>
    <s v="anshafik"/>
    <s v="Shafik,Andrew Adel"/>
    <s v="Male"/>
    <s v="XL"/>
    <n v="99"/>
    <s v="DXB3"/>
  </r>
  <r>
    <n v="202281275"/>
    <s v="dokoemma"/>
    <s v="Emmanuel Doku"/>
    <d v="2023-10-16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256"/>
    <s v="Mezzanine Level"/>
    <e v="#N/A"/>
    <m/>
    <s v="Fastlink"/>
    <s v="anshafik"/>
    <s v="Shafik,Andrew Adel"/>
    <s v="Male"/>
    <s v="L"/>
    <n v="99"/>
    <s v="DXB3"/>
  </r>
  <r>
    <n v="202303985"/>
    <s v="gersanji"/>
    <s v="Gerard Acha Sanji"/>
    <d v="2024-01-29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254"/>
    <s v="Mezzanine Level"/>
    <e v="#N/A"/>
    <m/>
    <s v="Fastlink"/>
    <s v="anshafik"/>
    <s v="Shafik,Andrew Adel"/>
    <s v="Male"/>
    <s v="L"/>
    <n v="99"/>
    <s v="DXB3"/>
  </r>
  <r>
    <n v="202303233"/>
    <s v="oamoatem"/>
    <s v="Obed Amoateng"/>
    <d v="2024-01-29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55"/>
    <s v="Mezzanine Level"/>
    <e v="#N/A"/>
    <m/>
    <s v="Fastlink"/>
    <s v="anshafik"/>
    <s v="Shafik,Andrew Adel"/>
    <s v="Male"/>
    <s v="L"/>
    <n v="99"/>
    <s v="DXB3"/>
  </r>
  <r>
    <n v="202359808"/>
    <s v="winnakig"/>
    <s v="Winnie Nantambi"/>
    <d v="2023-10-23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587"/>
    <s v="Mezzanine Level"/>
    <e v="#N/A"/>
    <m/>
    <s v="Mycon"/>
    <s v="anshafik"/>
    <s v="Shafik,Andrew Adel"/>
    <s v="Female"/>
    <s v="2XL"/>
    <n v="99"/>
    <s v="DXB3"/>
  </r>
  <r>
    <n v="201456034"/>
    <s v="sessijam"/>
    <s v="Jamilatu Sessie"/>
    <d v="2023-10-16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586"/>
    <s v="Mezzanine Level"/>
    <e v="#N/A"/>
    <m/>
    <s v="Fastlink"/>
    <s v="anshafik"/>
    <s v="Shafik,Andrew Adel"/>
    <s v="Female"/>
    <s v="XL"/>
    <n v="99"/>
    <s v="DXB3"/>
  </r>
  <r>
    <n v="202323689"/>
    <s v="alatmasu"/>
    <s v="Masud Alam Masud"/>
    <d v="2023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53"/>
    <s v="Mezzanine Level"/>
    <e v="#N/A"/>
    <m/>
    <s v="Innovations - UAE"/>
    <s v="anshafik"/>
    <s v="Shafik,Andrew Adel"/>
    <s v="Male"/>
    <s v="M"/>
    <n v="99"/>
    <s v="DXB3"/>
  </r>
  <r>
    <n v="202308802"/>
    <s v="adistepp"/>
    <s v="Stephen Aslamah Adi"/>
    <d v="2023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52"/>
    <s v="Mezzanine Level"/>
    <e v="#N/A"/>
    <m/>
    <s v="Mycon"/>
    <s v="anshafik"/>
    <s v="Shafik,Andrew Adel"/>
    <s v="Male"/>
    <s v="M"/>
    <n v="99"/>
    <s v="DXB3"/>
  </r>
  <r>
    <n v="112677511"/>
    <s v="islammdm"/>
    <s v="Islam, Md Monjurul"/>
    <d v="2022-06-16T00:00:00"/>
    <s v="Temporary"/>
    <s v="AUH1"/>
    <n v="1299"/>
    <s v="Day Shift"/>
    <s v="Monday"/>
    <s v="Tuesday"/>
    <s v="Warehouse Associate (TEMP)"/>
    <s v="Y"/>
    <x v="0"/>
    <d v="2024-08-12T00:00:00"/>
    <s v="Vendor receive"/>
    <s v="Direct"/>
    <m/>
    <n v="1249"/>
    <s v="Mezzanine Level"/>
    <e v="#N/A"/>
    <m/>
    <s v="Innovations - UAE"/>
    <s v="gaanasp"/>
    <s v="Gaanashree Shivayogi Patil"/>
    <s v="Male"/>
    <s v="M"/>
    <n v="99"/>
    <s v="DXB3"/>
  </r>
  <r>
    <n v="201582426"/>
    <s v="jallozai"/>
    <s v="Zainab Jalloh"/>
    <d v="2023-08-03T00:00:00"/>
    <s v="Temporary"/>
    <s v="AUH1"/>
    <n v="1299"/>
    <s v="Day Shift"/>
    <s v="Thursday"/>
    <s v="Friday"/>
    <s v="Warehouse Associate (TEMP)"/>
    <s v="Y"/>
    <x v="0"/>
    <d v="2024-08-12T00:00:00"/>
    <s v="Inbound Stow"/>
    <s v="Direct"/>
    <m/>
    <n v="1585"/>
    <s v="Mezzanine Level"/>
    <e v="#N/A"/>
    <m/>
    <s v="Mycon"/>
    <s v="ahssma"/>
    <s v="Ahmed Madbouly"/>
    <s v="Female"/>
    <s v="XL"/>
    <n v="99"/>
    <s v="DXB3"/>
  </r>
  <r>
    <n v="112318363"/>
    <s v="maaleesh"/>
    <s v="Aleesha Riaz Masih"/>
    <d v="2022-03-07T00:00:00"/>
    <s v="Temporary"/>
    <s v="AUH1"/>
    <n v="1299"/>
    <s v="Day Shift"/>
    <s v="Monday"/>
    <s v="Tuesday"/>
    <s v="Warehouse Associate (TEMP)"/>
    <s v="Y"/>
    <x v="0"/>
    <d v="2024-08-12T00:00:00"/>
    <s v="Inbound Stow"/>
    <s v="Direct"/>
    <m/>
    <n v="1248"/>
    <s v="Mezzanine Level"/>
    <e v="#N/A"/>
    <m/>
    <s v="Quesscorp"/>
    <s v="ahssma"/>
    <s v="Ahmed Madbouly"/>
    <s v="Male"/>
    <s v="L"/>
    <n v="99"/>
    <s v="DXB3"/>
  </r>
  <r>
    <n v="106970084"/>
    <s v="packarcp"/>
    <s v="Cindy Torayno Packar"/>
    <d v="2020-06-05T00:00:00"/>
    <s v="Temporary"/>
    <s v="AUH1"/>
    <n v="1299"/>
    <s v="Day Shift"/>
    <s v="Thursday"/>
    <s v="Friday"/>
    <s v="Warehouse Associate (DS)"/>
    <s v="Y"/>
    <x v="0"/>
    <d v="2024-08-12T00:00:00"/>
    <s v="Pack - Single"/>
    <s v="Direct"/>
    <m/>
    <n v="1584"/>
    <s v="Mezzanine Level"/>
    <e v="#N/A"/>
    <m/>
    <s v="Fastlink"/>
    <s v="shedidn"/>
    <s v="Nouran Shedid"/>
    <s v="Female"/>
    <s v="XL"/>
    <n v="99"/>
    <s v="DXB3"/>
  </r>
  <r>
    <n v="112661102"/>
    <s v="bjchafac"/>
    <s v="John,Chafac"/>
    <d v="2022-06-13T00:00:00"/>
    <s v="Temporary"/>
    <s v="AUH1"/>
    <n v="1299"/>
    <s v="Day Shift"/>
    <s v="Tuesday"/>
    <s v="Wednesday"/>
    <s v="Warehouse Associate (TEMP)"/>
    <s v="Y"/>
    <x v="2"/>
    <d v="2024-08-12T00:00:00"/>
    <s v="Customer Returns"/>
    <s v="Direct"/>
    <m/>
    <n v="205"/>
    <s v="Ground Level"/>
    <e v="#N/A"/>
    <m/>
    <s v="Quesscorp"/>
    <s v="anshafik"/>
    <s v="Shafik,Andrew Adel"/>
    <s v="Male"/>
    <s v="L"/>
    <n v="99"/>
    <s v="DXB3"/>
  </r>
  <r>
    <n v="111231876"/>
    <s v="maagyei"/>
    <s v="Michael Agyei"/>
    <d v="2021-10-21T00:00:00"/>
    <s v="Temporary"/>
    <s v="AUH1"/>
    <n v="1299"/>
    <s v="Day Shift"/>
    <s v="Tuesday"/>
    <s v="Wednesday"/>
    <s v="Warehouse Associate (TEMP)"/>
    <s v="Y"/>
    <x v="2"/>
    <d v="2024-08-12T00:00:00"/>
    <s v="Customer Returns"/>
    <s v="Direct"/>
    <m/>
    <n v="204"/>
    <s v="Ground Level"/>
    <e v="#N/A"/>
    <m/>
    <s v="Fastlink"/>
    <s v="anshafik"/>
    <s v="Shafik,Andrew Adel"/>
    <s v="Male"/>
    <s v="XL"/>
    <n v="99"/>
    <s v="DXB3"/>
  </r>
  <r>
    <n v="202308467"/>
    <s v="oppongla"/>
    <s v="Abraham Senior"/>
    <d v="2023-10-23T00:00:00"/>
    <s v="Temporary"/>
    <s v="AUH1"/>
    <n v="1299"/>
    <s v="Day Shift"/>
    <s v="Tuesday"/>
    <s v="Wednesday"/>
    <s v="Warehouse Associate (TEMP)"/>
    <s v="Y"/>
    <x v="2"/>
    <d v="2024-08-12T00:00:00"/>
    <s v="Customer Returns"/>
    <s v="Direct"/>
    <m/>
    <m/>
    <m/>
    <e v="#N/A"/>
    <m/>
    <s v="Mycon"/>
    <s v="anshafik"/>
    <s v="Shafik,Andrew Adel"/>
    <s v="Male"/>
    <s v="2XL"/>
    <n v="99"/>
    <s v="DXB3"/>
  </r>
  <r>
    <n v="112549644"/>
    <s v="darprobb"/>
    <s v="Darpoh,Robert Maama"/>
    <d v="2022-05-16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202"/>
    <s v="Ground Level"/>
    <e v="#N/A"/>
    <m/>
    <s v="Quesscorp"/>
    <m/>
    <m/>
    <m/>
    <m/>
    <n v="99"/>
    <s v="DXB5"/>
  </r>
  <r>
    <n v="112079690"/>
    <s v="cosmusa"/>
    <s v="Cosmus Ahimbisibwe"/>
    <d v="2022-01-20T00:00:00"/>
    <s v="Temporary"/>
    <s v="AUH1"/>
    <n v="1299"/>
    <s v="Day Shift"/>
    <s v="Friday"/>
    <s v="Saturday"/>
    <s v="PIT operator"/>
    <s v="Y"/>
    <x v="2"/>
    <d v="2024-08-12T00:00:00"/>
    <s v="Inbound Stow"/>
    <s v="Direct"/>
    <m/>
    <n v="201"/>
    <s v="Ground Level"/>
    <e v="#N/A"/>
    <m/>
    <s v="Fastlink"/>
    <s v="ahssma"/>
    <s v="Ahmed Madbouly"/>
    <s v="Male"/>
    <s v="NA"/>
    <n v="99"/>
    <s v="DXB3"/>
  </r>
  <r>
    <n v="201582386"/>
    <s v="muabbasa"/>
    <s v="Abbas Ali, Muzammil"/>
    <d v="2023-06-19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200"/>
    <s v="Ground Level"/>
    <e v="#N/A"/>
    <m/>
    <s v="Mycon"/>
    <m/>
    <m/>
    <m/>
    <m/>
    <n v="99"/>
    <s v="DXB5"/>
  </r>
  <r>
    <n v="112786253"/>
    <s v="milanshr"/>
    <s v="Milan Shrestha"/>
    <d v="2023-10-16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199"/>
    <s v="Ground Level"/>
    <e v="#N/A"/>
    <m/>
    <s v="Mycon"/>
    <m/>
    <m/>
    <m/>
    <m/>
    <n v="99"/>
    <s v="DXB5"/>
  </r>
  <r>
    <n v="202454094"/>
    <s v="willahia"/>
    <s v="William Ahiakpah"/>
    <d v="2023-11-01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8"/>
    <s v="Ground Level"/>
    <e v="#N/A"/>
    <m/>
    <s v="Fastlink"/>
    <m/>
    <m/>
    <m/>
    <m/>
    <n v="99"/>
    <s v="DXB5"/>
  </r>
  <r>
    <n v="112911455"/>
    <s v="mohsinrr"/>
    <s v="Mohsin Raza Ramzan"/>
    <d v="2024-02-19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7"/>
    <s v="Ground Level"/>
    <e v="#N/A"/>
    <m/>
    <s v="Fastlink"/>
    <m/>
    <m/>
    <m/>
    <m/>
    <n v="99"/>
    <s v="DXB5"/>
  </r>
  <r>
    <n v="203024152"/>
    <s v="peaackah"/>
    <s v="Peace Akouba Ackah"/>
    <d v="2024-02-19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556"/>
    <s v="Ground Level"/>
    <e v="#N/A"/>
    <m/>
    <s v="Mycon"/>
    <m/>
    <m/>
    <m/>
    <m/>
    <n v="99"/>
    <s v="DXB5"/>
  </r>
  <r>
    <n v="105443900"/>
    <s v="marlayos"/>
    <s v="Marichelle Balayo Layos"/>
    <d v="2022-07-15T00:00:00"/>
    <s v="Regular"/>
    <s v="AUH1"/>
    <n v="1299"/>
    <s v="Day Shift"/>
    <s v="Thursday"/>
    <s v="Friday"/>
    <s v="FC Associate I"/>
    <s v="Y"/>
    <x v="2"/>
    <d v="2024-08-12T00:00:00"/>
    <m/>
    <s v="Direct"/>
    <m/>
    <n v="555"/>
    <s v="Ground Level"/>
    <e v="#N/A"/>
    <m/>
    <s v="Blue Badge"/>
    <m/>
    <m/>
    <m/>
    <m/>
    <n v="99"/>
    <s v="DXB5"/>
  </r>
  <r>
    <n v="112917727"/>
    <s v="gasghara"/>
    <s v="Asghar Abbas Ghulam Abbas"/>
    <d v="2023-10-09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n v="196"/>
    <s v="Ground Level"/>
    <e v="#N/A"/>
    <m/>
    <s v="Fastlink"/>
    <m/>
    <m/>
    <m/>
    <m/>
    <n v="99"/>
    <s v="DXB5"/>
  </r>
  <r>
    <n v="202303259"/>
    <s v="juellahi"/>
    <s v="Ellahi,Usama Zahoor Zahoor"/>
    <d v="2024-05-23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5"/>
    <s v="Ground Level"/>
    <e v="#N/A"/>
    <m/>
    <s v="Fastlink"/>
    <m/>
    <m/>
    <m/>
    <m/>
    <n v="99"/>
    <s v="DXB5"/>
  </r>
  <r>
    <n v="200176091"/>
    <s v="ushahidd"/>
    <s v="Shahid Ullah"/>
    <d v="2022-07-13T00:00:00"/>
    <s v="Temporary"/>
    <s v="AUH1"/>
    <n v="1299"/>
    <s v="Day Shift"/>
    <s v="Friday"/>
    <s v="Saturday"/>
    <s v="Warehouse Associate (DS)"/>
    <s v="Y"/>
    <x v="2"/>
    <d v="2024-08-12T00:00:00"/>
    <m/>
    <s v="Direct"/>
    <m/>
    <n v="194"/>
    <s v="Ground Level"/>
    <e v="#N/A"/>
    <m/>
    <s v="Fastlink"/>
    <m/>
    <m/>
    <m/>
    <m/>
    <n v="99"/>
    <s v="DXB5"/>
  </r>
  <r>
    <n v="112874979"/>
    <s v="dacennin"/>
    <s v="Ennin, Dacosta"/>
    <d v="2023-11-09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n v="192"/>
    <s v="Ground Level"/>
    <e v="#N/A"/>
    <m/>
    <s v="Fastlink"/>
    <m/>
    <m/>
    <m/>
    <m/>
    <n v="99"/>
    <s v="DXB5"/>
  </r>
  <r>
    <n v="112920901"/>
    <s v="muirfanl"/>
    <s v="Muhammad Irfan"/>
    <d v="2024-03-04T00:00:00"/>
    <s v="Temporary"/>
    <s v="AUH1"/>
    <n v="1299"/>
    <s v="Day Shift"/>
    <s v="Sunday"/>
    <s v="Monday"/>
    <s v="Warehouse Associate (TEMP)"/>
    <s v="Y"/>
    <x v="2"/>
    <d v="2024-08-12T00:00:00"/>
    <m/>
    <s v="Direct"/>
    <m/>
    <n v="193"/>
    <s v="Ground Level"/>
    <e v="#N/A"/>
    <m/>
    <s v="Mycon"/>
    <m/>
    <m/>
    <m/>
    <m/>
    <n v="99"/>
    <s v="DXB5"/>
  </r>
  <r>
    <n v="202444360"/>
    <s v="ibrmuhaj"/>
    <s v="Muhammad Ibrahim"/>
    <d v="2024-01-29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191"/>
    <s v="Ground Level"/>
    <e v="#N/A"/>
    <m/>
    <s v="Mycon"/>
    <m/>
    <m/>
    <m/>
    <m/>
    <n v="99"/>
    <s v="DXB5"/>
  </r>
  <r>
    <n v="203080170"/>
    <s v="rnyamoaa"/>
    <s v="Regina Nyamoa Aboagye"/>
    <d v="2024-03-11T00:00:00"/>
    <s v="Temporary"/>
    <s v="AUH1"/>
    <n v="1299"/>
    <s v="Day Shift"/>
    <s v="Friday"/>
    <s v="Saturday"/>
    <s v="Warehouse Associate (TEMP)"/>
    <s v="Y"/>
    <x v="2"/>
    <d v="2024-08-12T00:00:00"/>
    <s v="IC/QA/CS"/>
    <s v="Direct"/>
    <m/>
    <n v="554"/>
    <s v="Ground Level"/>
    <e v="#N/A"/>
    <m/>
    <s v="Fastlink"/>
    <s v="antonyko"/>
    <s v="Komban,Vega"/>
    <s v="Female"/>
    <s v="XL"/>
    <n v="99"/>
    <s v="DXB3"/>
  </r>
  <r>
    <n v="203080172"/>
    <s v="nalutaay"/>
    <s v="Martha Nalutaaya"/>
    <d v="2024-03-11T00:00:00"/>
    <s v="Temporary"/>
    <s v="AUH1"/>
    <n v="1299"/>
    <s v="Day Shift"/>
    <s v="Friday"/>
    <s v="Saturday"/>
    <s v="Warehouse Associate (TEMP)"/>
    <s v="Y"/>
    <x v="2"/>
    <d v="2024-08-12T00:00:00"/>
    <s v="IC/QA/CS"/>
    <s v="Direct"/>
    <m/>
    <n v="553"/>
    <s v="Ground Level"/>
    <e v="#N/A"/>
    <m/>
    <s v="Fastlink"/>
    <s v="antonyko"/>
    <s v="Komban,Vega"/>
    <s v="Female"/>
    <s v="XL"/>
    <n v="99"/>
    <s v="DXB3"/>
  </r>
  <r>
    <n v="201186262"/>
    <s v="gyekygis"/>
    <s v="Gyekye, Gifty"/>
    <d v="2023-09-04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552"/>
    <s v="Ground Level"/>
    <e v="#N/A"/>
    <m/>
    <s v="Fastlink"/>
    <s v="gaanasp"/>
    <s v="Gaanashree Shivayogi Patil"/>
    <s v="Female"/>
    <s v="M"/>
    <n v="99"/>
    <s v="DXB3"/>
  </r>
  <r>
    <n v="110984627"/>
    <s v="mbanjol"/>
    <s v="Loveline Mbanjono"/>
    <d v="2023-06-19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551"/>
    <s v="Ground Level"/>
    <e v="#N/A"/>
    <m/>
    <s v="Innovations - UAE"/>
    <s v="ahssma"/>
    <s v="Ahmed Madbouly"/>
    <s v="Female"/>
    <s v="L"/>
    <n v="99"/>
    <s v="DXB3"/>
  </r>
  <r>
    <n v="202199038"/>
    <s v="tumairan"/>
    <s v="_x000a_ Umair Anwar"/>
    <d v="2023-10-05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90"/>
    <s v="Ground Level"/>
    <e v="#N/A"/>
    <m/>
    <s v="Quesscorp"/>
    <m/>
    <m/>
    <m/>
    <m/>
    <n v="99"/>
    <s v="DXB5"/>
  </r>
  <r>
    <n v="202208715"/>
    <s v="elizaiak"/>
    <s v="_x000a_ Elizabeth Akuoko"/>
    <d v="2023-10-05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550"/>
    <s v="Ground Level"/>
    <e v="#N/A"/>
    <m/>
    <s v="Quesscorp"/>
    <m/>
    <m/>
    <m/>
    <m/>
    <n v="99"/>
    <s v="DXB5"/>
  </r>
  <r>
    <n v="202334277"/>
    <s v="ajuliets"/>
    <s v="Juliet Ali Alama"/>
    <d v="2023-10-23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549"/>
    <s v="Ground Level"/>
    <e v="#N/A"/>
    <m/>
    <s v="Fastlink"/>
    <s v="gaanasp"/>
    <s v="Gaanashree Shivayogi Patil"/>
    <s v="Female"/>
    <s v="XL"/>
    <n v="99"/>
    <s v="DXB3"/>
  </r>
  <r>
    <n v="200568545"/>
    <s v="cedzishm"/>
    <s v="Ishmael Opanyin Kwadwo Essel Edzie"/>
    <d v="2022-10-23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189"/>
    <s v="Ground Level"/>
    <e v="#N/A"/>
    <m/>
    <s v="Fastlink"/>
    <s v="ahssma"/>
    <s v="Ahmed Madbouly"/>
    <s v="Male"/>
    <s v="L"/>
    <n v="99"/>
    <s v="DXB3"/>
  </r>
  <r>
    <n v="112462412"/>
    <s v="hussanar"/>
    <s v="Narzul Hussain"/>
    <d v="2022-04-19T00:00:00"/>
    <s v="Temporary"/>
    <s v="AUH1"/>
    <n v="1299"/>
    <s v="Day Shift"/>
    <s v="Wednesday"/>
    <s v="Thursday"/>
    <s v="PIT operator"/>
    <s v="Y"/>
    <x v="2"/>
    <d v="2024-08-12T00:00:00"/>
    <s v="Inbound Stow"/>
    <s v="Direct"/>
    <m/>
    <n v="188"/>
    <s v="Ground Level"/>
    <e v="#N/A"/>
    <m/>
    <s v="Fastlink"/>
    <s v="ahssma"/>
    <s v="Ahmed Madbouly"/>
    <s v="Male"/>
    <s v="XL"/>
    <n v="99"/>
    <s v="DXB3"/>
  </r>
  <r>
    <n v="203066642"/>
    <s v="hmshamil"/>
    <s v="Mohammed Shamil"/>
    <d v="2024-03-04T00:00:00"/>
    <s v="Temporary"/>
    <s v="AUH1"/>
    <n v="1299"/>
    <s v="Day Shift"/>
    <s v="Wednesday"/>
    <s v="Thursday"/>
    <s v="Warehouse Associate (DS)"/>
    <s v="Y"/>
    <x v="2"/>
    <d v="2024-08-12T00:00:00"/>
    <s v="Inbound Stow"/>
    <s v="Direct"/>
    <m/>
    <n v="187"/>
    <s v="Ground Level"/>
    <e v="#N/A"/>
    <m/>
    <s v="Adecco"/>
    <s v="ahssma"/>
    <s v="Ahmed Madbouly"/>
    <s v="Male"/>
    <s v="L"/>
    <n v="99"/>
    <s v="DXB3"/>
  </r>
  <r>
    <n v="203066640"/>
    <s v="pittanih"/>
    <s v="Nikhil Pittan"/>
    <d v="2024-03-04T00:00:00"/>
    <s v="Temporary"/>
    <s v="AUH1"/>
    <n v="1299"/>
    <s v="Day Shift"/>
    <s v="Thursday"/>
    <s v="Friday"/>
    <s v="Warehouse Associate (DS)"/>
    <s v="Y"/>
    <x v="2"/>
    <d v="2024-08-12T00:00:00"/>
    <s v="Inbound Stow"/>
    <s v="Direct"/>
    <m/>
    <n v="186"/>
    <s v="Ground Level"/>
    <e v="#N/A"/>
    <m/>
    <s v="Adecco"/>
    <s v="ahssma"/>
    <s v="Ahmed Madbouly"/>
    <s v="Male"/>
    <s v="L"/>
    <n v="99"/>
    <s v="DXB3"/>
  </r>
  <r>
    <n v="203066637"/>
    <s v="rahimanf"/>
    <s v="Abdul Nasir Gunaje Abdul Rahiman"/>
    <d v="2024-03-04T00:00:00"/>
    <s v="Temporary"/>
    <s v="AUH1"/>
    <n v="1299"/>
    <s v="Day Shift"/>
    <s v="Thursday"/>
    <s v="Friday"/>
    <s v="Warehouse Associate (DS)"/>
    <s v="Y"/>
    <x v="2"/>
    <d v="2024-08-12T00:00:00"/>
    <s v="Inbound Stow"/>
    <s v="Direct"/>
    <m/>
    <n v="185"/>
    <s v="Ground Level"/>
    <e v="#N/A"/>
    <m/>
    <s v="Adecco"/>
    <s v="ahssma"/>
    <s v="Ahmed Madbouly"/>
    <s v="Male"/>
    <s v="L"/>
    <n v="99"/>
    <s v="DXB3"/>
  </r>
  <r>
    <n v="203066638"/>
    <s v="vygeethu"/>
    <s v="Vysakh Geethu"/>
    <d v="2024-03-04T00:00:00"/>
    <s v="Temporary"/>
    <s v="AUH1"/>
    <n v="1299"/>
    <s v="Day Shift"/>
    <s v="Thursday"/>
    <s v="Friday"/>
    <s v="Warehouse Associate (DS)"/>
    <s v="Y"/>
    <x v="2"/>
    <d v="2024-08-12T00:00:00"/>
    <s v="Inbound Stow"/>
    <s v="Direct"/>
    <m/>
    <n v="184"/>
    <s v="Ground Level"/>
    <e v="#N/A"/>
    <m/>
    <s v="Adecco"/>
    <s v="ahssma"/>
    <s v="Ahmed Madbouly"/>
    <s v="Male"/>
    <s v="L"/>
    <n v="99"/>
    <s v="DXB3"/>
  </r>
  <r>
    <n v="112677513"/>
    <s v="kamranmz"/>
    <s v="Kamran, Muhammad"/>
    <d v="2022-06-16T00:00:00"/>
    <s v="Temporary"/>
    <s v="AUH1"/>
    <n v="1299"/>
    <s v="Day Shift"/>
    <s v="Monday"/>
    <s v="Tuesday"/>
    <s v="Warehouse Associate (TEMP)"/>
    <s v="Y"/>
    <x v="2"/>
    <d v="2024-08-12T00:00:00"/>
    <s v="Inbound Stow"/>
    <s v="Direct"/>
    <m/>
    <n v="183"/>
    <s v="Ground Level"/>
    <e v="#N/A"/>
    <m/>
    <s v="Innovations - UAE"/>
    <s v="jangelad"/>
    <s v="Julia Angela Deligero"/>
    <s v="Male"/>
    <s v="M"/>
    <n v="99"/>
    <s v="DXB3"/>
  </r>
  <r>
    <n v="112599363"/>
    <s v="francgbe"/>
    <s v="Gbekonsi, Francois Gontran"/>
    <d v="2022-05-30T00:00:00"/>
    <s v="Temporary"/>
    <s v="AUH1"/>
    <n v="1299"/>
    <s v="Day Shift"/>
    <s v="Monday"/>
    <s v="Tuesday"/>
    <s v="Warehouse Associate (TEMP)"/>
    <s v="Y"/>
    <x v="2"/>
    <d v="2024-08-12T00:00:00"/>
    <s v="Inbound Stow"/>
    <s v="Direct"/>
    <m/>
    <n v="181"/>
    <s v="Ground Level"/>
    <e v="#N/A"/>
    <m/>
    <s v="Quesscorp"/>
    <s v="ahssma"/>
    <s v="Ahmed Madbouly"/>
    <s v="Male"/>
    <s v="XL"/>
    <n v="99"/>
    <s v="DXB3"/>
  </r>
  <r>
    <n v="112911448"/>
    <s v="khaliuus"/>
    <s v="Khalid, Usman"/>
    <d v="2022-08-18T00:00:00"/>
    <s v="Temporary"/>
    <s v="AUH1"/>
    <n v="1299"/>
    <s v="Day Shift"/>
    <s v="Monday"/>
    <s v="Tuesday"/>
    <s v="Warehouse Associate (TEMP)"/>
    <s v="Y"/>
    <x v="2"/>
    <d v="2024-08-12T00:00:00"/>
    <s v="Inbound Stow"/>
    <s v="Direct"/>
    <m/>
    <m/>
    <m/>
    <e v="#N/A"/>
    <m/>
    <s v="Mycon"/>
    <s v="jangelad"/>
    <s v="Julia Angela Deligero"/>
    <s v="Male"/>
    <s v="M"/>
    <n v="99"/>
    <s v="DXB3"/>
  </r>
  <r>
    <n v="112648320"/>
    <s v="kyeisolo"/>
    <s v="Kyei,Solomon"/>
    <d v="2022-06-09T00:00:00"/>
    <s v="Temporary"/>
    <s v="AUH1"/>
    <n v="1299"/>
    <s v="Day Shift"/>
    <s v="Monday"/>
    <s v="Tuesday"/>
    <s v="Warehouse Associate (TEMP)"/>
    <s v="Y"/>
    <x v="2"/>
    <d v="2024-08-12T00:00:00"/>
    <s v="Vendor receive"/>
    <s v="Direct"/>
    <m/>
    <n v="179"/>
    <s v="Ground Level"/>
    <e v="#N/A"/>
    <m/>
    <s v="Quesscorp"/>
    <s v="jangelad"/>
    <s v="Julia Angela Deligero"/>
    <s v="Male"/>
    <s v="L"/>
    <n v="99"/>
    <s v="DXB3"/>
  </r>
  <r>
    <n v="112677454"/>
    <s v="abadkhau"/>
    <s v="Khan, Abad"/>
    <d v="2022-06-16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178"/>
    <s v="Ground Level"/>
    <e v="#N/A"/>
    <m/>
    <s v="Innovations - UAE"/>
    <s v="ahssma"/>
    <s v="Ahmed Madbouly"/>
    <s v="Male"/>
    <s v="L"/>
    <n v="99"/>
    <s v="DXB3"/>
  </r>
  <r>
    <n v="112644431"/>
    <s v="koomrobe"/>
    <s v="Louis Koomson Robert"/>
    <d v="2022-06-09T00:00:00"/>
    <s v="Temporary"/>
    <s v="AUH1"/>
    <n v="1299"/>
    <s v="Day Shift"/>
    <s v="Tuesday"/>
    <s v="Wednesday"/>
    <s v="Warehouse Associate (TEMP)"/>
    <s v="Y"/>
    <x v="2"/>
    <d v="2024-08-12T00:00:00"/>
    <s v="Inbound Stow"/>
    <s v="Direct"/>
    <m/>
    <n v="177"/>
    <s v="Ground Level"/>
    <e v="#N/A"/>
    <m/>
    <s v="Quesscorp"/>
    <s v="jangelad"/>
    <s v="Julia Angela Deligero"/>
    <s v="Male"/>
    <s v="L"/>
    <n v="99"/>
    <s v="DXB3"/>
  </r>
  <r>
    <n v="201633155"/>
    <s v="oafmuham"/>
    <s v="Muhammad Farhan"/>
    <d v="2023-08-03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76"/>
    <s v="Ground Level"/>
    <e v="#N/A"/>
    <m/>
    <s v="Mycon"/>
    <s v="gaanasp"/>
    <s v="Gaanashree Shivayogi Patil"/>
    <s v="Male"/>
    <s v="L"/>
    <n v="99"/>
    <s v="DXB3"/>
  </r>
  <r>
    <n v="202273030"/>
    <s v="jshahane"/>
    <s v="Anees Saleem Saleem Shahzad"/>
    <d v="2023-10-16T00:00:00"/>
    <s v="Temporary"/>
    <s v="AUH1"/>
    <n v="1299"/>
    <s v="Day Shift"/>
    <s v="Saturday"/>
    <s v="Sunday"/>
    <s v="Warehouse Associate (TEMP)"/>
    <s v="Y"/>
    <x v="2"/>
    <d v="2024-08-12T00:00:00"/>
    <s v="Inbound Stow"/>
    <s v="Direct"/>
    <m/>
    <n v="175"/>
    <s v="Ground Level"/>
    <e v="#N/A"/>
    <m/>
    <s v="Fastlink"/>
    <s v="jangelad"/>
    <s v="Julia Angela Deligero"/>
    <s v="Male"/>
    <s v="L"/>
    <n v="99"/>
    <s v="DXB3"/>
  </r>
  <r>
    <n v="104307248"/>
    <s v="jabbaruj"/>
    <s v="Usama Abdul Jabbar"/>
    <d v="2022-03-07T00:00:00"/>
    <s v="Temporary"/>
    <s v="AUH1"/>
    <n v="1299"/>
    <s v="Day Shift"/>
    <s v="Tuesday"/>
    <s v="Wednesday"/>
    <s v="Warehouse Associate (DS)"/>
    <s v="Y"/>
    <x v="2"/>
    <d v="2024-08-12T00:00:00"/>
    <s v="Replenishment"/>
    <s v="Direct"/>
    <m/>
    <n v="174"/>
    <s v="Ground Level"/>
    <e v="#N/A"/>
    <m/>
    <s v="Fastlink"/>
    <s v="jangelad"/>
    <s v="Julia Angela Deligero"/>
    <s v="Male"/>
    <s v="XL"/>
    <n v="99"/>
    <s v="DXB3"/>
  </r>
  <r>
    <n v="112130798"/>
    <s v="ammabood"/>
    <s v="Mabood, Abdul"/>
    <d v="2022-02-04T00:00:00"/>
    <s v="Temporary"/>
    <s v="AUH1"/>
    <n v="1299"/>
    <s v="Day Shift"/>
    <s v="Thursday"/>
    <s v="Friday"/>
    <s v="Warehouse Associate (TEMP)"/>
    <s v="Y"/>
    <x v="2"/>
    <d v="2024-08-12T00:00:00"/>
    <s v="IB Lead/PA"/>
    <s v="Direct"/>
    <m/>
    <n v="173"/>
    <s v="Ground Level"/>
    <e v="#N/A"/>
    <m/>
    <s v="Innovations - UAE"/>
    <s v="ahssma"/>
    <s v="Ahmed Madbouly"/>
    <s v="Male"/>
    <s v="M"/>
    <n v="99"/>
    <s v="DXB3"/>
  </r>
  <r>
    <n v="202273441"/>
    <s v="smuhaal"/>
    <s v="Muhammad Shoaib Mughal Javed Ali"/>
    <d v="2023-10-16T00:00:00"/>
    <s v="Temporary"/>
    <s v="AUH1"/>
    <n v="1299"/>
    <s v="Day Shift"/>
    <s v="Saturday"/>
    <s v="Sunday"/>
    <s v="Warehouse Associate (TEMP)"/>
    <s v="Y"/>
    <x v="2"/>
    <d v="2024-08-12T00:00:00"/>
    <s v="Inbound Stow"/>
    <s v="Direct"/>
    <m/>
    <n v="172"/>
    <s v="Ground Level"/>
    <e v="#N/A"/>
    <m/>
    <s v="Fastlink"/>
    <s v="jangelad"/>
    <s v="Julia Angela Deligero"/>
    <s v="Male"/>
    <s v="L"/>
    <n v="99"/>
    <s v="DXB3"/>
  </r>
  <r>
    <n v="201930138"/>
    <s v="sirustah"/>
    <s v="Rustam Kumar Singh"/>
    <d v="2023-08-31T00:00:00"/>
    <s v="Temporary"/>
    <s v="AUH1"/>
    <n v="1299"/>
    <s v="Day Shift"/>
    <s v="Saturday"/>
    <s v="Sunday"/>
    <s v="Warehouse Associate (TEMP)"/>
    <s v="Y"/>
    <x v="2"/>
    <d v="2024-08-12T00:00:00"/>
    <s v="Inbound Stow"/>
    <s v="Direct"/>
    <m/>
    <n v="171"/>
    <s v="Ground Level"/>
    <e v="#N/A"/>
    <m/>
    <s v="Innovations - UAE"/>
    <s v="jangelad"/>
    <s v="Julia Angela Deligero"/>
    <s v="Male"/>
    <s v="L"/>
    <n v="99"/>
    <s v="DXB3"/>
  </r>
  <r>
    <n v="201882741"/>
    <s v="goipranj"/>
    <s v="Pranjal Kumar Goit"/>
    <d v="2023-08-21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70"/>
    <s v="Ground Level"/>
    <e v="#N/A"/>
    <m/>
    <s v="Innovations - UAE"/>
    <s v="gaanasp"/>
    <s v="Gaanashree Shivayogi Patil"/>
    <s v="Male"/>
    <s v="M"/>
    <n v="99"/>
    <s v="DXB3"/>
  </r>
  <r>
    <n v="202454102"/>
    <s v="saiffaha"/>
    <s v="Fahad Ul Hassan Saif Ullah"/>
    <d v="2023-11-01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69"/>
    <s v="Ground Level"/>
    <e v="#N/A"/>
    <m/>
    <s v="Fastlink"/>
    <s v="ahssma"/>
    <s v="Ahmed Madbouly"/>
    <s v="Male"/>
    <s v="M"/>
    <n v="99"/>
    <s v="DXB3"/>
  </r>
  <r>
    <n v="201929857"/>
    <s v="tguptapr"/>
    <s v="Pritam Prasad Gupta"/>
    <d v="2023-08-31T00:00:00"/>
    <s v="Temporary"/>
    <s v="AUH1"/>
    <n v="1299"/>
    <s v="Day Shift"/>
    <s v="Saturday"/>
    <s v="Sunday"/>
    <s v="Warehouse Associate (TEMP)"/>
    <s v="Y"/>
    <x v="2"/>
    <d v="2024-08-12T00:00:00"/>
    <s v="Replenishment"/>
    <s v="Direct"/>
    <m/>
    <n v="168"/>
    <s v="Ground Level"/>
    <e v="#N/A"/>
    <m/>
    <s v="Innovations - UAE"/>
    <s v="jangelad"/>
    <s v="Julia Angela Deligero"/>
    <s v="Male"/>
    <s v="M"/>
    <n v="99"/>
    <s v="DXB3"/>
  </r>
  <r>
    <n v="202219234"/>
    <s v="nloampon"/>
    <s v="Lovis Amponsah"/>
    <d v="2023-10-09T00:00:00"/>
    <s v="Temporary"/>
    <s v="AUH1"/>
    <n v="1299"/>
    <s v="Day Shift"/>
    <s v="Thursday"/>
    <s v="Friday"/>
    <s v="Warehouse Associate (TEMP)"/>
    <s v="Y"/>
    <x v="2"/>
    <d v="2024-08-12T00:00:00"/>
    <s v="Replenishment"/>
    <s v="Direct"/>
    <m/>
    <n v="167"/>
    <s v="Ground Level"/>
    <e v="#N/A"/>
    <m/>
    <s v="Fastlink"/>
    <s v="gaanasp"/>
    <s v="Gaanashree Shivayogi Patil"/>
    <s v="Male"/>
    <s v="L"/>
    <n v="99"/>
    <s v="DXB3"/>
  </r>
  <r>
    <n v="113139328"/>
    <s v="opandrek"/>
    <s v="Andrews Oppong"/>
    <d v="2024-01-18T00:00:00"/>
    <s v="Temporary"/>
    <s v="AUH1"/>
    <n v="1299"/>
    <s v="Day Shift"/>
    <s v="Monday"/>
    <s v="Tuesday"/>
    <s v="Warehouse Associate (DS)"/>
    <s v="Y"/>
    <x v="2"/>
    <d v="2024-08-12T00:00:00"/>
    <s v="Inbound Stow"/>
    <s v="Direct"/>
    <m/>
    <n v="166"/>
    <s v="Ground Level"/>
    <e v="#N/A"/>
    <m/>
    <s v="Mycon"/>
    <s v="ahssma"/>
    <s v="Ahmed Madbouly"/>
    <s v="Male"/>
    <s v="XL"/>
    <n v="99"/>
    <s v="DXB3"/>
  </r>
  <r>
    <n v="202238220"/>
    <s v="muhakkha"/>
    <s v="Muhammad Waqar Nawaz Nawaz Khan"/>
    <d v="2023-10-16T00:00:00"/>
    <s v="Temporary"/>
    <s v="AUH1"/>
    <n v="1299"/>
    <s v="Day Shift"/>
    <s v="Saturday"/>
    <s v="Sunday"/>
    <s v="Warehouse Associate (TEMP)"/>
    <s v="Y"/>
    <x v="2"/>
    <d v="2024-08-12T00:00:00"/>
    <s v="Vendor receive"/>
    <s v="Direct"/>
    <m/>
    <n v="165"/>
    <s v="Ground Level"/>
    <e v="#N/A"/>
    <m/>
    <s v="Fastlink"/>
    <s v="gaanasp"/>
    <s v="Gaanashree Shivayogi Patil"/>
    <s v="Male"/>
    <s v="L"/>
    <n v="99"/>
    <s v="DXB3"/>
  </r>
  <r>
    <n v="202444384"/>
    <s v="qmuhmuh"/>
    <s v="Muhammad Ameer Khan Muhammad Shafique"/>
    <d v="2023-11-01T00:00:00"/>
    <s v="Temporary"/>
    <s v="AUH1"/>
    <n v="1299"/>
    <s v="Day Shift"/>
    <s v="Thursday"/>
    <s v="Friday"/>
    <s v="Warehouse Associate (TEMP)"/>
    <s v="Y"/>
    <x v="2"/>
    <d v="2024-08-12T00:00:00"/>
    <s v="Vendor receive"/>
    <s v="Direct"/>
    <m/>
    <n v="164"/>
    <s v="Ground Level"/>
    <e v="#N/A"/>
    <m/>
    <s v="Fastlink"/>
    <s v="ahssma"/>
    <s v="Ahmed Madbouly"/>
    <s v="Male"/>
    <s v="L"/>
    <n v="99"/>
    <s v="DXB3"/>
  </r>
  <r>
    <n v="112130810"/>
    <s v="ssakui"/>
    <s v="Ssaku,Ibrahim"/>
    <d v="2022-02-04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63"/>
    <s v="Ground Level"/>
    <e v="#N/A"/>
    <m/>
    <s v="Innovations - UAE"/>
    <s v="jangelad"/>
    <s v="Julia Angela Deligero"/>
    <s v="Male"/>
    <s v="L"/>
    <n v="99"/>
    <s v="DXB3"/>
  </r>
  <r>
    <n v="201567421"/>
    <s v="ketusyl"/>
    <s v="Sylvie Ketu Mangwe"/>
    <d v="2023-06-19T00:00:00"/>
    <s v="Temporary"/>
    <s v="AUH1"/>
    <n v="1299"/>
    <s v="Day Shift"/>
    <s v="Tuesday"/>
    <s v="Wednesday"/>
    <s v="Warehouse Associate (TEMP)"/>
    <s v="Y"/>
    <x v="2"/>
    <d v="2024-08-12T00:00:00"/>
    <s v="Vendor receive"/>
    <s v="Direct"/>
    <m/>
    <n v="548"/>
    <s v="Ground Level"/>
    <e v="#N/A"/>
    <m/>
    <s v="Innovations - UAE"/>
    <s v="ahssma"/>
    <s v="Ahmed Madbouly"/>
    <s v="Female"/>
    <s v="M"/>
    <n v="99"/>
    <s v="DXB3"/>
  </r>
  <r>
    <n v="112318351"/>
    <s v="eanojaam"/>
    <s v="Anoja Susan Ambe"/>
    <d v="2023-06-19T00:00:00"/>
    <s v="Temporary"/>
    <s v="AUH1"/>
    <n v="1299"/>
    <s v="Day Shift"/>
    <s v="Wednesday"/>
    <s v="Thursday"/>
    <s v="Warehouse Associate (TEMP)"/>
    <s v="Y"/>
    <x v="2"/>
    <d v="2024-08-12T00:00:00"/>
    <s v="Inbound Stow"/>
    <s v="Direct"/>
    <m/>
    <n v="547"/>
    <s v="Ground Level"/>
    <e v="#N/A"/>
    <m/>
    <s v="Innovations - UAE"/>
    <s v="ahssma"/>
    <s v="Ahmed Madbouly"/>
    <s v="Female"/>
    <s v="XL"/>
    <n v="99"/>
    <s v="DXB3"/>
  </r>
  <r>
    <n v="102207600"/>
    <s v="irfamuh"/>
    <s v="Muhammad Irfan"/>
    <d v="2017-05-13T00:00:00"/>
    <s v="Regular"/>
    <s v="AUH1"/>
    <n v="1299"/>
    <s v="Day Shift"/>
    <s v="Friday"/>
    <s v="Saturday"/>
    <s v="Warehouse Associate"/>
    <s v="Y"/>
    <x v="2"/>
    <d v="2024-08-12T00:00:00"/>
    <s v="Inbound Stow"/>
    <s v="Direct"/>
    <m/>
    <n v="437"/>
    <s v="Ground Level"/>
    <e v="#N/A"/>
    <m/>
    <s v="Blue Badge"/>
    <s v="ahmadzr"/>
    <s v="Ahmad Adly Ahmad Al- Zoubi"/>
    <s v="Male"/>
    <s v="M"/>
    <n v="99"/>
    <s v="DXB3"/>
  </r>
  <r>
    <n v="201188616"/>
    <s v="nsobstel"/>
    <s v="Nsobila, Stella Anapoka"/>
    <d v="2023-05-22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546"/>
    <s v="Ground Level"/>
    <e v="#N/A"/>
    <m/>
    <s v="Mycon"/>
    <m/>
    <m/>
    <m/>
    <m/>
    <n v="99"/>
    <s v="DXB5"/>
  </r>
  <r>
    <n v="113004735"/>
    <s v="leuongad"/>
    <s v="Leudjieu, Ngadjiu Livine"/>
    <d v="2022-09-12T00:00:00"/>
    <s v="Temporary"/>
    <s v="AUH1"/>
    <n v="1299"/>
    <s v="Day Shift"/>
    <s v="Tuesday"/>
    <s v="Wednesday"/>
    <s v="Warehouse Associate (TEMP)"/>
    <s v="Y"/>
    <x v="2"/>
    <d v="2024-08-12T00:00:00"/>
    <m/>
    <s v="Direct"/>
    <m/>
    <n v="545"/>
    <s v="Ground Level"/>
    <e v="#N/A"/>
    <m/>
    <s v="Mycon"/>
    <m/>
    <m/>
    <m/>
    <m/>
    <n v="99"/>
    <s v="DXB5"/>
  </r>
  <r>
    <n v="112911441"/>
    <s v="ricamoah"/>
    <s v="Amoah, Richard"/>
    <d v="2022-08-18T00:00:00"/>
    <s v="Temporary"/>
    <s v="AUH1"/>
    <n v="1299"/>
    <s v="Day Shift"/>
    <s v="Friday"/>
    <s v="Saturday"/>
    <s v="Warehouse Associate (TEMP)"/>
    <s v="Y"/>
    <x v="2"/>
    <d v="2024-08-12T00:00:00"/>
    <m/>
    <s v="Direct"/>
    <m/>
    <n v="162"/>
    <s v="Ground Level"/>
    <e v="#N/A"/>
    <m/>
    <s v="Mycon"/>
    <m/>
    <m/>
    <m/>
    <m/>
    <n v="99"/>
    <s v="DXB5"/>
  </r>
  <r>
    <n v="202343844"/>
    <s v="mutabisi"/>
    <s v="Tabish Raza"/>
    <d v="2023-10-23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161"/>
    <s v="Ground Level"/>
    <e v="#N/A"/>
    <m/>
    <s v="Innovations - UAE"/>
    <s v="sidamra"/>
    <s v="Amra Siddiqui"/>
    <s v="Male"/>
    <s v="L"/>
    <n v="99"/>
    <s v="DXB3"/>
  </r>
  <r>
    <n v="201499472"/>
    <s v="elizabop"/>
    <s v="Oppong, Elizabeth Serwaa"/>
    <d v="2023-06-05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544"/>
    <s v="Ground Level"/>
    <e v="#N/A"/>
    <m/>
    <s v="Mycon"/>
    <s v="shedidn"/>
    <s v="Nouran Shedid"/>
    <s v="Female"/>
    <s v="XL"/>
    <n v="99"/>
    <s v="DXB3"/>
  </r>
  <r>
    <n v="112408801"/>
    <s v="hymhenri"/>
    <s v="Henrietta Hymore"/>
    <d v="2022-04-02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543"/>
    <s v="Ground Level"/>
    <e v="#N/A"/>
    <m/>
    <s v="Fastlink"/>
    <s v="shedidn"/>
    <s v="Nouran Shedid"/>
    <s v="Female"/>
    <s v="L"/>
    <n v="99"/>
    <s v="DXB3"/>
  </r>
  <r>
    <n v="202333632"/>
    <s v="nabatepa"/>
    <s v="Patricia Nabateregga"/>
    <d v="2023-10-23T00:00:00"/>
    <s v="Temporary"/>
    <s v="AUH1"/>
    <n v="1299"/>
    <s v="Day Shift"/>
    <s v="Friday"/>
    <s v="Saturday"/>
    <s v="Warehouse Associate (TEMP)"/>
    <s v="Y"/>
    <x v="2"/>
    <d v="2024-08-12T00:00:00"/>
    <s v="Picking"/>
    <s v="Direct"/>
    <m/>
    <n v="542"/>
    <s v="Ground Level"/>
    <e v="#N/A"/>
    <m/>
    <s v="Fastlink"/>
    <s v="nchiket"/>
    <s v="Nachiket Chodankar"/>
    <s v="Female"/>
    <s v="L"/>
    <n v="99"/>
    <s v="DXB3"/>
  </r>
  <r>
    <n v="201159569"/>
    <s v="izeeshab"/>
    <s v="Zeeshan Ijaz"/>
    <d v="2023-10-02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60"/>
    <s v="Ground Level"/>
    <e v="#N/A"/>
    <m/>
    <s v="Innovations - UAE"/>
    <s v="nchiket"/>
    <s v="Nachiket Chodankar"/>
    <s v="Male"/>
    <s v="2XL"/>
    <n v="99"/>
    <s v="DXB3"/>
  </r>
  <r>
    <n v="202249378"/>
    <s v="nakajali"/>
    <s v="Jalia Juliet Nakaddu"/>
    <d v="2023-10-16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541"/>
    <s v="Ground Level"/>
    <e v="#N/A"/>
    <m/>
    <s v="Innovations - UAE"/>
    <s v="illatken"/>
    <s v="Irfan Latken"/>
    <s v="Female"/>
    <s v="L"/>
    <n v="99"/>
    <s v="DXB3"/>
  </r>
  <r>
    <n v="202164315"/>
    <s v="romeggya"/>
    <s v="Romeo Gyamfi"/>
    <d v="2023-10-09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59"/>
    <s v="Ground Level"/>
    <e v="#N/A"/>
    <m/>
    <s v="Innovations - UAE"/>
    <s v="nchiket"/>
    <s v="Nachiket Chodankar"/>
    <s v="Male"/>
    <s v="M"/>
    <n v="99"/>
    <s v="DXB3"/>
  </r>
  <r>
    <n v="202219235"/>
    <s v="tmohsial"/>
    <s v="Mohsin Ali"/>
    <d v="2023-10-09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58"/>
    <s v="Ground Level"/>
    <e v="#N/A"/>
    <m/>
    <s v="Innovations - UAE"/>
    <s v="nchiket"/>
    <s v="Nachiket Chodankar"/>
    <s v="Male"/>
    <s v="L"/>
    <n v="99"/>
    <s v="DXB3"/>
  </r>
  <r>
    <n v="200569858"/>
    <s v="ahmedshz"/>
    <s v="Shamim Ahmed"/>
    <d v="2022-10-23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57"/>
    <s v="Ground Level"/>
    <e v="#N/A"/>
    <m/>
    <s v="Mycon"/>
    <s v="tomwier"/>
    <s v="Tom Wiersma"/>
    <s v="Male"/>
    <s v="L"/>
    <n v="99"/>
    <s v="DXB3"/>
  </r>
  <r>
    <n v="202323691"/>
    <s v="gshahzam"/>
    <s v="Muhammad Imran Shahzad"/>
    <d v="2023-10-23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55"/>
    <s v="Ground Level"/>
    <e v="#N/A"/>
    <m/>
    <s v="Innovations - UAE"/>
    <s v="illatken"/>
    <s v="Irfan Latken"/>
    <s v="Male"/>
    <s v="L"/>
    <n v="99"/>
    <s v="DXB3"/>
  </r>
  <r>
    <n v="202460500"/>
    <s v="jackliir"/>
    <s v="_x000a_ Jackline Kagendo Ireri Ireri"/>
    <d v="2023-11-01T00:00:00"/>
    <s v="Temporary"/>
    <s v="AUH1"/>
    <n v="1299"/>
    <s v="Day Shift"/>
    <s v="Wednesday"/>
    <s v="Thursday"/>
    <s v="Warehouse Associate (TEMP)"/>
    <s v="Y"/>
    <x v="2"/>
    <d v="2024-08-12T00:00:00"/>
    <m/>
    <s v="Direct"/>
    <m/>
    <n v="540"/>
    <s v="Ground Level"/>
    <e v="#N/A"/>
    <m/>
    <s v="Quesscorp"/>
    <m/>
    <m/>
    <m/>
    <m/>
    <n v="99"/>
    <s v="DXB5"/>
  </r>
  <r>
    <n v="202238169"/>
    <s v="ejoponsp"/>
    <s v="Joponise Echi Ebot"/>
    <d v="2023-10-09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539"/>
    <s v="Ground Level"/>
    <e v="#N/A"/>
    <m/>
    <s v="Fastlink"/>
    <s v="nchiket"/>
    <s v="Nachiket Chodankar"/>
    <s v="Female"/>
    <s v="L"/>
    <n v="99"/>
    <s v="DXB3"/>
  </r>
  <r>
    <n v="202334262"/>
    <s v="vewuremm"/>
    <s v="Emmanuel Ewur"/>
    <d v="2023-10-23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50"/>
    <s v="Ground Level"/>
    <e v="#N/A"/>
    <m/>
    <s v="Fastlink"/>
    <s v="illatken"/>
    <s v="Irfan Latken"/>
    <s v="Male"/>
    <s v="L"/>
    <n v="99"/>
    <s v="DXB3"/>
  </r>
  <r>
    <n v="202240585"/>
    <s v="droshang"/>
    <s v="Roshan Gurung"/>
    <d v="2023-10-09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49"/>
    <s v="Ground Level"/>
    <e v="#N/A"/>
    <m/>
    <s v="Innovations - UAE"/>
    <s v="illatken"/>
    <s v="Irfan Latken"/>
    <s v="Male"/>
    <s v="L"/>
    <n v="99"/>
    <s v="DXB3"/>
  </r>
  <r>
    <n v="202266083"/>
    <s v="awujacob"/>
    <s v="Jacob Awula"/>
    <d v="2023-10-16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148"/>
    <s v="Ground Level"/>
    <e v="#N/A"/>
    <m/>
    <s v="Innovations - UAE"/>
    <s v="illatken"/>
    <s v="Irfan Latken"/>
    <s v="Male"/>
    <s v="M"/>
    <n v="99"/>
    <s v="DXB3"/>
  </r>
  <r>
    <n v="202158448"/>
    <s v="therepet"/>
    <s v="Theresah Nako Petifo"/>
    <d v="2023-10-02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538"/>
    <s v="Ground Level"/>
    <e v="#N/A"/>
    <m/>
    <s v="Innovations - UAE"/>
    <s v="nchiket"/>
    <s v="Nachiket Chodankar"/>
    <s v="Female"/>
    <s v="M"/>
    <n v="99"/>
    <s v="DXB3"/>
  </r>
  <r>
    <n v="202323393"/>
    <s v="sarjjamm"/>
    <s v="Sarjo Jammeh"/>
    <d v="2023-10-23T00:00:00"/>
    <s v="Temporary"/>
    <s v="AUH1"/>
    <n v="1299"/>
    <s v="Day Shift"/>
    <s v="Wednesday"/>
    <s v="Thursday"/>
    <s v="Warehouse Associate (TEMP)"/>
    <s v="Y"/>
    <x v="2"/>
    <d v="2024-08-12T00:00:00"/>
    <s v="Picking"/>
    <s v="Direct"/>
    <m/>
    <n v="537"/>
    <s v="Ground Level"/>
    <e v="#N/A"/>
    <m/>
    <s v="Innovations - UAE"/>
    <s v="nchiket"/>
    <s v="Nachiket Chodankar"/>
    <s v="Female"/>
    <s v="M"/>
    <n v="99"/>
    <s v="DXB3"/>
  </r>
  <r>
    <n v="202323862"/>
    <s v="baskushw"/>
    <s v="Kush Basnet"/>
    <d v="2023-10-23T00:00:00"/>
    <s v="Temporary"/>
    <s v="AUH1"/>
    <n v="1299"/>
    <s v="Day Shift"/>
    <s v="Tuesday"/>
    <s v="Wednesday"/>
    <s v="Warehouse Associate (TEMP)"/>
    <s v="Y"/>
    <x v="2"/>
    <d v="2024-08-12T00:00:00"/>
    <s v="Picking"/>
    <s v="Direct"/>
    <m/>
    <n v="147"/>
    <s v="Ground Level"/>
    <e v="#N/A"/>
    <m/>
    <s v="Innovations - UAE"/>
    <s v="sidamra"/>
    <s v="Amra Siddiqui"/>
    <s v="Male"/>
    <s v="L"/>
    <n v="99"/>
    <s v="DXB3"/>
  </r>
  <r>
    <n v="112350578"/>
    <s v="pmuhamus"/>
    <s v="Muhammad Usman"/>
    <d v="2022-03-16T00:00:00"/>
    <s v="Temporary"/>
    <s v="AUH1"/>
    <n v="1181"/>
    <s v="Day Shift"/>
    <s v="Wednesday"/>
    <s v="Thursday"/>
    <s v="Warehouse Associate (TEMP)"/>
    <s v="Y"/>
    <x v="2"/>
    <d v="2024-08-12T00:00:00"/>
    <s v="Warehouse Deals"/>
    <s v="Direct"/>
    <m/>
    <n v="146"/>
    <s v="Ground Level"/>
    <e v="#N/A"/>
    <m/>
    <s v="Fastlink"/>
    <s v="aanso"/>
    <s v="Anis Sohail"/>
    <s v="Male"/>
    <s v="XL"/>
    <n v="99"/>
    <s v="DWC5"/>
  </r>
  <r>
    <n v="112383550"/>
    <s v="csaameen"/>
    <s v="Sajjad Ameen"/>
    <d v="2024-01-25T00:00:00"/>
    <s v="Temporary"/>
    <s v="AUH1"/>
    <n v="1181"/>
    <s v="Day Shift"/>
    <s v="Tuesday"/>
    <s v="Wednesday"/>
    <s v="Warehouse Associate (TEMP)"/>
    <s v="Y"/>
    <x v="2"/>
    <d v="2024-08-12T00:00:00"/>
    <s v="Warehouse Deals"/>
    <s v="Direct"/>
    <m/>
    <n v="145"/>
    <s v="Ground Level"/>
    <e v="#N/A"/>
    <m/>
    <s v="Mycon"/>
    <s v="muyibaty"/>
    <s v="Muyibat Yusuf"/>
    <s v="Male"/>
    <s v="L"/>
    <n v="99"/>
    <s v="DWC5"/>
  </r>
  <r>
    <n v="112603890"/>
    <s v="nazakahu"/>
    <s v="Nazakat Hussain"/>
    <d v="2022-05-30T00:00:00"/>
    <s v="Temporary"/>
    <s v="AUH1"/>
    <n v="1181"/>
    <s v="Day Shift"/>
    <s v="Tuesday"/>
    <s v="Wednesday"/>
    <s v="Warehouse Associate (TEMP)"/>
    <s v="Y"/>
    <x v="2"/>
    <d v="2024-08-12T00:00:00"/>
    <s v="Warehouse Deals"/>
    <s v="Direct"/>
    <m/>
    <n v="144"/>
    <s v="Ground Level"/>
    <e v="#N/A"/>
    <m/>
    <s v="Fastlink"/>
    <s v="muyibaty"/>
    <s v="Muyibat Yusuf"/>
    <s v="Male"/>
    <s v="M"/>
    <n v="99"/>
    <s v="DWC5"/>
  </r>
  <r>
    <n v="112350580"/>
    <s v="hyctacha"/>
    <s v="Tacha Hycinth"/>
    <d v="2022-03-16T00:00:00"/>
    <s v="Temporary"/>
    <s v="AUH1"/>
    <n v="1181"/>
    <s v="Day Shift"/>
    <s v="Tuesday"/>
    <s v="Wednesday"/>
    <s v="Warehouse Associate (TEMP)"/>
    <s v="Y"/>
    <x v="2"/>
    <d v="2024-08-12T00:00:00"/>
    <s v="Warehouse Deals"/>
    <s v="Direct"/>
    <m/>
    <n v="143"/>
    <s v="Ground Level"/>
    <e v="#N/A"/>
    <m/>
    <s v="Fastlink"/>
    <s v="rabolanl"/>
    <s v="Ridwan Abolanle Balogun"/>
    <s v="Male"/>
    <s v="XL"/>
    <n v="99"/>
    <s v="DWC5"/>
  </r>
  <r>
    <n v="112549604"/>
    <s v="waftabsp"/>
    <s v="Patil,Aftab Sayyadahamad"/>
    <d v="2022-05-16T00:00:00"/>
    <s v="Temporary"/>
    <s v="AUH1"/>
    <n v="1299"/>
    <s v="Day Shift"/>
    <s v="Thursday"/>
    <s v="Friday"/>
    <s v="Warehouse Associate (TEMP)"/>
    <s v="Y"/>
    <x v="2"/>
    <d v="2024-08-12T00:00:00"/>
    <s v="Inbound Stow"/>
    <s v="Direct"/>
    <m/>
    <n v="142"/>
    <s v="Ground Level"/>
    <e v="#N/A"/>
    <m/>
    <s v="Mycon"/>
    <s v="jangelad"/>
    <s v="Julia Angela Deligero"/>
    <s v="Male"/>
    <s v="2XL"/>
    <n v="99"/>
    <s v="DXB3"/>
  </r>
  <r>
    <n v="112181798"/>
    <s v="bismadar"/>
    <s v="Bismark Darko"/>
    <d v="2024-02-01T00:00:00"/>
    <s v="Temporary"/>
    <s v="AUH1"/>
    <n v="1299"/>
    <s v="Day Shift"/>
    <s v="Sunday"/>
    <s v="Monday"/>
    <s v="Warehouse Associate (DS)"/>
    <s v="Y"/>
    <x v="2"/>
    <d v="2024-08-12T00:00:00"/>
    <s v="Inbound Stow"/>
    <s v="Direct"/>
    <m/>
    <n v="141"/>
    <s v="Ground Level"/>
    <e v="#N/A"/>
    <m/>
    <s v="Mycon"/>
    <s v="gaanasp"/>
    <s v="Gaanashree Shivayogi Patil"/>
    <s v="Male"/>
    <s v="L"/>
    <n v="99"/>
    <s v="DXB3"/>
  </r>
  <r>
    <n v="201635707"/>
    <s v="alfredkh"/>
    <s v="Alfred Kofi Hene"/>
    <d v="2024-02-08T00:00:00"/>
    <s v="Temporary"/>
    <s v="AUH1"/>
    <n v="1299"/>
    <s v="Day Shift"/>
    <s v="Tuesday"/>
    <s v="Wednesday"/>
    <s v="Warehouse Associate (DS)"/>
    <s v="Y"/>
    <x v="2"/>
    <d v="2024-08-12T00:00:00"/>
    <s v="Inbound Stow"/>
    <s v="Direct"/>
    <m/>
    <n v="140"/>
    <s v="Ground Level"/>
    <e v="#N/A"/>
    <m/>
    <s v="Mycon"/>
    <s v="ahssma"/>
    <s v="Ahmed Madbouly"/>
    <s v="Male"/>
    <s v="L"/>
    <n v="99"/>
    <s v="DXB3"/>
  </r>
  <r>
    <n v="112350566"/>
    <s v="gambdorr"/>
    <s v="Doris Gambe"/>
    <d v="2023-03-13T00:00:00"/>
    <s v="Temporary"/>
    <s v="AUH1"/>
    <n v="1299"/>
    <s v="Day Shift"/>
    <s v="Wednesday"/>
    <s v="Thursday"/>
    <s v="Warehouse Associate (DS)"/>
    <s v="Y"/>
    <x v="2"/>
    <d v="2024-08-12T00:00:00"/>
    <s v="Inbound Stow"/>
    <s v="Direct"/>
    <m/>
    <n v="536"/>
    <s v="Ground Level"/>
    <e v="#N/A"/>
    <m/>
    <s v="Fastlink"/>
    <s v="ahssma"/>
    <s v="Ahmed Madbouly"/>
    <s v="Female"/>
    <s v="XL"/>
    <n v="99"/>
    <s v="DXB3"/>
  </r>
  <r>
    <n v="202303201"/>
    <s v="gatluakq"/>
    <s v="Gatluak Kuei Rut Kuei"/>
    <d v="2024-02-12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240"/>
    <s v="Mezzanine Level"/>
    <e v="#N/A"/>
    <m/>
    <s v="Mycon"/>
    <s v="anshafik"/>
    <s v="Shafik,Andrew Adel"/>
    <s v="Male"/>
    <s v="L"/>
    <n v="99"/>
    <s v="DXB3"/>
  </r>
  <r>
    <n v="112782865"/>
    <s v="ibranasx"/>
    <s v="Ibrahim Nassam"/>
    <d v="2024-02-12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41"/>
    <s v="Mezzanine Level"/>
    <e v="#N/A"/>
    <m/>
    <s v="Fastlink"/>
    <s v="anshafik"/>
    <s v="Shafik,Andrew Adel"/>
    <s v="Male"/>
    <s v="L"/>
    <n v="99"/>
    <s v="DXB3"/>
  </r>
  <r>
    <n v="113068715"/>
    <s v="jenjatch"/>
    <s v="Jethro Njatcha Tchuente"/>
    <d v="2022-09-22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242"/>
    <s v="Mezzanine Level"/>
    <e v="#N/A"/>
    <m/>
    <s v="Mycon"/>
    <s v="anshafik"/>
    <s v="Shafik,Andrew Adel"/>
    <s v="Male"/>
    <s v="M"/>
    <n v="99"/>
    <s v="DXB3"/>
  </r>
  <r>
    <n v="201226565"/>
    <s v="joscobbi"/>
    <s v="Josephine Cobbina"/>
    <d v="2023-03-27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578"/>
    <s v="Mezzanine Level"/>
    <e v="#N/A"/>
    <m/>
    <s v="Fastlink"/>
    <s v="anshafik"/>
    <s v="Shafik,Andrew Adel"/>
    <s v="Female"/>
    <s v="M"/>
    <n v="99"/>
    <s v="DXB3"/>
  </r>
  <r>
    <n v="201567428"/>
    <s v="magallwe"/>
    <s v="Magalle Liyana Weerashinge"/>
    <d v="2023-06-19T00:00:00"/>
    <s v="Temporary"/>
    <s v="AUH1"/>
    <n v="1299"/>
    <s v="Day Shift"/>
    <s v="Wednesday"/>
    <s v="Thursday"/>
    <s v="Warehouse Associate (TEMP)"/>
    <s v="Y"/>
    <x v="0"/>
    <d v="2024-08-12T00:00:00"/>
    <s v="Customer Returns"/>
    <s v="Direct"/>
    <m/>
    <n v="1579"/>
    <s v="Mezzanine Level"/>
    <e v="#N/A"/>
    <m/>
    <s v="Innovations - UAE"/>
    <s v="anshafik"/>
    <s v="Shafik,Andrew Adel"/>
    <s v="Female"/>
    <s v="S"/>
    <n v="99"/>
    <s v="DXB3"/>
  </r>
  <r>
    <n v="200568439"/>
    <s v="mfaridme"/>
    <s v="Mamunur Rashid Farid Meah"/>
    <d v="2022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43"/>
    <s v="Mezzanine Level"/>
    <e v="#N/A"/>
    <m/>
    <s v="Fastlink"/>
    <s v="anshafik"/>
    <s v="Shafik,Andrew Adel"/>
    <s v="Male"/>
    <s v="L"/>
    <n v="99"/>
    <s v="DXB3"/>
  </r>
  <r>
    <n v="200568397"/>
    <s v="hpsemabl"/>
    <s v="Patience Doe Semablah"/>
    <d v="2022-10-23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580"/>
    <s v="Mezzanine Level"/>
    <e v="#N/A"/>
    <m/>
    <s v="Fastlink"/>
    <s v="anshafik"/>
    <s v="Shafik,Andrew Adel"/>
    <s v="Female"/>
    <s v="L"/>
    <n v="99"/>
    <s v="DXB3"/>
  </r>
  <r>
    <n v="112318362"/>
    <s v="nkrumahr"/>
    <s v="Roland Eric Afriyie Nkrunmah"/>
    <d v="2022-03-07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44"/>
    <s v="Mezzanine Level"/>
    <e v="#N/A"/>
    <m/>
    <s v="Quesscorp"/>
    <s v="anshafik"/>
    <s v="Shafik,Andrew Adel"/>
    <s v="Male"/>
    <s v="XL"/>
    <n v="99"/>
    <s v="DXB3"/>
  </r>
  <r>
    <n v="112350568"/>
    <s v="shsonnad"/>
    <s v="Sharmila Sonnadara"/>
    <d v="2022-03-16T00:00:00"/>
    <s v="Temporary"/>
    <s v="AUH1"/>
    <n v="1299"/>
    <s v="Day Shift"/>
    <s v="Tuesday"/>
    <s v="Wednesday"/>
    <s v="Warehouse Associate (TEMP)"/>
    <s v="Y"/>
    <x v="0"/>
    <d v="2024-08-12T00:00:00"/>
    <s v="Customer Returns"/>
    <s v="Direct"/>
    <m/>
    <n v="1581"/>
    <s v="Mezzanine Level"/>
    <e v="#N/A"/>
    <m/>
    <s v="Fastlink"/>
    <s v="anshafik"/>
    <s v="Shafik,Andrew Adel"/>
    <s v="Female"/>
    <s v="XL"/>
    <n v="99"/>
    <s v="DXB3"/>
  </r>
  <r>
    <n v="203102689"/>
    <s v="sudhathg"/>
    <s v="Sudhakar Athimulam"/>
    <d v="2024-03-18T00:00:00"/>
    <s v="Temporary"/>
    <s v="AUH1"/>
    <n v="1299"/>
    <s v="Day Shift"/>
    <s v="Friday"/>
    <s v="Saturday"/>
    <s v="Warehouse Associate (DS)"/>
    <s v="Y"/>
    <x v="0"/>
    <d v="2024-08-12T00:00:00"/>
    <s v="Customer Returns"/>
    <s v="Direct"/>
    <m/>
    <n v="1245"/>
    <s v="Mezzanine Level"/>
    <e v="#N/A"/>
    <m/>
    <s v="Adecco"/>
    <s v="anshafik"/>
    <s v="Shafik,Andrew Adel"/>
    <s v="Male"/>
    <s v="XL"/>
    <n v="99"/>
    <s v="DXB3"/>
  </r>
  <r>
    <n v="112130816"/>
    <s v="mslthan"/>
    <s v="Sulthan Sulthan, Mohamed Mussharif"/>
    <d v="2022-02-04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246"/>
    <s v="Mezzanine Level"/>
    <e v="#N/A"/>
    <m/>
    <s v="Fastlink"/>
    <s v="anshafik"/>
    <s v="Shafik,Andrew Adel"/>
    <s v="Male"/>
    <s v="XL"/>
    <n v="99"/>
    <s v="DXB3"/>
  </r>
  <r>
    <n v="203498298"/>
    <s v="chepotsu"/>
    <s v="Susan Chepotip"/>
    <d v="2024-06-17T00:00:00"/>
    <s v="Temporary"/>
    <s v="AUH1"/>
    <n v="1299"/>
    <s v="Day Shift"/>
    <s v="Sunday"/>
    <s v="Monday"/>
    <s v="Warehouse Associate (DS)"/>
    <s v="Y"/>
    <x v="0"/>
    <d v="2024-08-12T00:00:00"/>
    <s v="Customer Returns"/>
    <s v="Direct"/>
    <m/>
    <n v="1247"/>
    <s v="Mezzanine Level"/>
    <e v="#N/A"/>
    <m/>
    <s v="Fastlink"/>
    <s v="anshafik"/>
    <s v="Shafik,Andrew Adel"/>
    <s v="Female"/>
    <s v="NA"/>
    <n v="99"/>
    <s v="DXB3"/>
  </r>
  <r>
    <n v="202998383"/>
    <s v="nakanmad"/>
    <s v="Madinah Nakandi"/>
    <d v="2024-02-12T00:00:00"/>
    <s v="Temporary"/>
    <s v="AUH1"/>
    <n v="1299"/>
    <s v="Day Shift"/>
    <s v="Tuesday"/>
    <s v="Wednesday"/>
    <s v="Warehouse Associate (DS)"/>
    <s v="Y"/>
    <x v="0"/>
    <d v="2024-08-12T00:00:00"/>
    <s v="Customer Returns"/>
    <s v="Direct"/>
    <m/>
    <n v="1582"/>
    <s v="Mezzanine Level"/>
    <e v="#N/A"/>
    <m/>
    <s v="Fastlink"/>
    <s v="anshafik"/>
    <s v="Shafik,Andrew Adel"/>
    <s v="Female"/>
    <s v="L"/>
    <n v="99"/>
    <s v="DXB3"/>
  </r>
  <r>
    <n v="113152190"/>
    <s v="neakcomh"/>
    <s v="Neakoh,Comfort"/>
    <d v="2022-10-17T00:00:00"/>
    <s v="Temporary"/>
    <s v="AUH1"/>
    <n v="1299"/>
    <s v="Day Shift"/>
    <s v="Saturday"/>
    <s v="Sunday"/>
    <s v="Warehouse Associate (TEMP)"/>
    <s v="Y"/>
    <x v="0"/>
    <d v="2024-08-12T00:00:00"/>
    <s v="Customer Returns"/>
    <s v="Direct"/>
    <m/>
    <n v="1583"/>
    <s v="Mezzanine Level"/>
    <e v="#N/A"/>
    <m/>
    <s v="Fastlink"/>
    <s v="anshafik"/>
    <s v="Shafik,Andrew Adel"/>
    <s v="Female"/>
    <s v="M"/>
    <n v="99"/>
    <s v="DXB3"/>
  </r>
  <r>
    <n v="202334311"/>
    <s v="ssyednaj"/>
    <s v="Syed Najam Us Saqib Ameer Ali Shah"/>
    <d v="2023-10-23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39"/>
    <s v="Mezzanine Level"/>
    <e v="#N/A"/>
    <m/>
    <s v="Fastlink"/>
    <s v="anshafik"/>
    <s v="Shafik,Andrew Adel"/>
    <s v="Male"/>
    <s v="M"/>
    <n v="99"/>
    <s v="DXB3"/>
  </r>
  <r>
    <n v="200568619"/>
    <s v="sylvindu"/>
    <s v="Sylvia Magwi Ndum"/>
    <d v="2022-10-23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577"/>
    <s v="Mezzanine Level"/>
    <e v="#N/A"/>
    <m/>
    <s v="Fastlink"/>
    <s v="anshafik"/>
    <s v="Shafik,Andrew Adel"/>
    <s v="Female"/>
    <s v="L"/>
    <n v="99"/>
    <s v="DXB3"/>
  </r>
  <r>
    <n v="201230094"/>
    <s v="habibdta"/>
    <s v="Tariq,Habiba"/>
    <d v="2023-03-27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38"/>
    <s v="Mezzanine Level"/>
    <e v="#N/A"/>
    <m/>
    <s v="Innovations - UAE"/>
    <s v="anshafik"/>
    <s v="Shafik,Andrew Adel"/>
    <s v="Female"/>
    <s v="M"/>
    <n v="99"/>
    <s v="DXB3"/>
  </r>
  <r>
    <n v="202323391"/>
    <s v="zeemuhay"/>
    <s v="Zeeshan Muhammad javed"/>
    <d v="2023-10-23T00:00:00"/>
    <s v="Temporary"/>
    <s v="AUH1"/>
    <n v="1299"/>
    <s v="Day Shift"/>
    <s v="Thursday"/>
    <s v="Friday"/>
    <s v="Warehouse Associate (TEMP)"/>
    <s v="Y"/>
    <x v="0"/>
    <d v="2024-08-12T00:00:00"/>
    <s v="Customer Returns"/>
    <s v="Direct"/>
    <m/>
    <n v="1237"/>
    <s v="Mezzanine Level"/>
    <e v="#N/A"/>
    <m/>
    <s v="Innovations - UAE"/>
    <s v="anshafik"/>
    <s v="Shafik,Andrew Adel"/>
    <s v="Male"/>
    <s v="XL"/>
    <n v="99"/>
    <s v="DXB3"/>
  </r>
  <r>
    <n v="202273051"/>
    <s v="ilsarpon"/>
    <s v="Isaac Sarpong"/>
    <d v="2023-10-16T00:00:00"/>
    <s v="Temporary"/>
    <s v="AUH1"/>
    <n v="1299"/>
    <s v="Day Shift"/>
    <s v="Sunday"/>
    <s v="Monday"/>
    <s v="Warehouse Associate (TEMP)"/>
    <s v="Y"/>
    <x v="0"/>
    <d v="2024-08-12T00:00:00"/>
    <s v="Customer Returns"/>
    <s v="Direct"/>
    <m/>
    <n v="1236"/>
    <s v="Mezzanine Level"/>
    <e v="#N/A"/>
    <m/>
    <s v="Mycon"/>
    <s v="anshafik"/>
    <s v="Shafik,Andrew Adel"/>
    <s v="Male"/>
    <s v="L"/>
    <n v="99"/>
    <s v="DXB3"/>
  </r>
  <r>
    <n v="202998390"/>
    <s v="anmarytu"/>
    <s v="Mary Tutuwaa Ankomah"/>
    <d v="2024-02-12T00:00:00"/>
    <s v="Temporary"/>
    <s v="AUH1"/>
    <n v="1299"/>
    <s v="Day Shift"/>
    <s v="Monday"/>
    <s v="Tuesday"/>
    <s v="Warehouse Associate (TEMP)"/>
    <s v="Y"/>
    <x v="0"/>
    <d v="2024-08-12T00:00:00"/>
    <s v="Customer Returns"/>
    <s v="Direct"/>
    <m/>
    <n v="1576"/>
    <s v="Mezzanine Level"/>
    <e v="#N/A"/>
    <m/>
    <s v="Fastlink"/>
    <s v="anshafik"/>
    <s v="Shafik,Andrew Adel"/>
    <s v="Female"/>
    <s v="M"/>
    <n v="99"/>
    <s v="DXB3"/>
  </r>
  <r>
    <n v="203498565"/>
    <s v="moreenok"/>
    <s v="Moreen Okenyuri Nyakundi"/>
    <d v="2024-06-17T00:00:00"/>
    <s v="Temporary"/>
    <s v="AUH1"/>
    <n v="1299"/>
    <s v="Day Shift"/>
    <s v="Sunday"/>
    <s v="Monday"/>
    <s v="Warehouse Associate (DS)"/>
    <s v="Y"/>
    <x v="0"/>
    <d v="2024-08-12T00:00:00"/>
    <s v="Customer Returns"/>
    <s v="Direct"/>
    <m/>
    <n v="1575"/>
    <s v="Mezzanine Level"/>
    <e v="#N/A"/>
    <m/>
    <s v="Fastlink"/>
    <s v="anshafik"/>
    <s v="Shafik,Andrew Adel"/>
    <s v="Female"/>
    <s v="NA"/>
    <n v="99"/>
    <s v="DXB3"/>
  </r>
  <r>
    <n v="203498301"/>
    <s v="njsamwel"/>
    <s v="Samwel Njenga"/>
    <d v="2024-06-17T00:00:00"/>
    <s v="Temporary"/>
    <s v="AUH1"/>
    <n v="1299"/>
    <s v="Day Shift"/>
    <s v="Wednesday"/>
    <s v="Thursday"/>
    <s v="Warehouse Associate (DS)"/>
    <s v="Y"/>
    <x v="0"/>
    <d v="2024-08-12T00:00:00"/>
    <s v="Customer Returns"/>
    <s v="Direct"/>
    <m/>
    <n v="1164"/>
    <s v="Mezzanine Level"/>
    <e v="#N/A"/>
    <m/>
    <s v="Fastlink"/>
    <s v="anshafik"/>
    <s v="Shafik,Andrew Adel"/>
    <s v="Male"/>
    <s v="NA"/>
    <n v="99"/>
    <s v="DXB3"/>
  </r>
  <r>
    <n v="202185070"/>
    <s v="nakawooa"/>
    <s v="Aminah Nakawooya"/>
    <d v="2024-01-29T00:00:00"/>
    <s v="Temporary"/>
    <s v="AUH1"/>
    <n v="1299"/>
    <s v="Day Shift"/>
    <s v="Friday"/>
    <s v="Saturday"/>
    <s v="Warehouse Associate (TEMP)"/>
    <s v="Y"/>
    <x v="0"/>
    <d v="2024-08-12T00:00:00"/>
    <s v="Customer Returns"/>
    <s v="Direct"/>
    <m/>
    <n v="1572"/>
    <s v="Mezzanine Level"/>
    <e v="#N/A"/>
    <m/>
    <s v="Fastlink"/>
    <s v="anshafik"/>
    <s v="Shafik,Andrew Adel"/>
    <s v="Female"/>
    <s v="XL"/>
    <n v="99"/>
    <s v="DXB3"/>
  </r>
  <r>
    <n v="102205649"/>
    <s v="gylrdg"/>
    <s v="De Guzman, Gaylord"/>
    <d v="2017-05-13T00:00:00"/>
    <s v="Regular"/>
    <s v="AUH1"/>
    <n v="1183"/>
    <s v="Day Shift"/>
    <s v="Friday"/>
    <s v="Saturday"/>
    <s v="HUB Supervisor, Sort Center"/>
    <s v="N"/>
    <x v="3"/>
    <d v="2024-08-12T00:00:00"/>
    <m/>
    <s v="Direct"/>
    <m/>
    <n v="81"/>
    <s v="Ground Level"/>
    <e v="#N/A"/>
    <m/>
    <s v="Blue Badge"/>
    <m/>
    <m/>
    <m/>
    <m/>
    <n v="3"/>
    <s v="DXB8"/>
  </r>
  <r>
    <n v="108479750"/>
    <s v="aanso"/>
    <s v="Anis Sohail"/>
    <d v="2020-10-26T00:00:00"/>
    <s v="Regular"/>
    <s v="AUH1"/>
    <n v="1183"/>
    <s v="Day Shift"/>
    <s v="Sunday"/>
    <s v="Monday"/>
    <s v="HUB Supervisor, Sort Center"/>
    <s v="N"/>
    <x v="3"/>
    <d v="2024-08-12T00:00:00"/>
    <m/>
    <s v="Direct"/>
    <m/>
    <n v="85"/>
    <s v="Ground Level"/>
    <e v="#N/A"/>
    <m/>
    <s v="Blue Badge"/>
    <m/>
    <m/>
    <m/>
    <m/>
    <n v="3"/>
    <s v="DXB8"/>
  </r>
  <r>
    <n v="102981768"/>
    <s v="nmbella"/>
    <s v="Ndutu Mbella Gilbert"/>
    <d v="2017-11-05T00:00:00"/>
    <s v="Regular"/>
    <s v="AUH1"/>
    <n v="1182"/>
    <s v="Day Shift"/>
    <s v="Tuesday"/>
    <s v="Wednesday"/>
    <s v="Step up Lead"/>
    <s v="N"/>
    <x v="3"/>
    <d v="2024-08-12T00:00:00"/>
    <s v="Warehouse Deals"/>
    <s v="Direct"/>
    <m/>
    <n v="83"/>
    <s v="Ground Level"/>
    <e v="#N/A"/>
    <m/>
    <s v="Blue Badge"/>
    <s v="naveedsa"/>
    <s v="Naveed Saeed"/>
    <s v="Male"/>
    <s v="L"/>
    <n v="3"/>
    <s v="DWC5"/>
  </r>
  <r>
    <n v="102207635"/>
    <s v="aposas"/>
    <s v="Posas,Alexandro Delacueva"/>
    <d v="2017-05-13T00:00:00"/>
    <s v="Regular"/>
    <s v="AUH1"/>
    <n v="1299"/>
    <s v="Day Shift"/>
    <s v="Sunday"/>
    <s v="Monday"/>
    <s v="Operations Supervisor"/>
    <s v="N"/>
    <x v="3"/>
    <d v="2024-08-12T00:00:00"/>
    <m/>
    <s v="Direct"/>
    <m/>
    <n v="82"/>
    <s v="Ground Level"/>
    <e v="#N/A"/>
    <m/>
    <s v="Blue Badge"/>
    <m/>
    <m/>
    <m/>
    <m/>
    <n v="3"/>
    <s v="DWC3"/>
  </r>
  <r>
    <n v="108019714"/>
    <s v="lhuzesay"/>
    <s v="Huzefa Yusuf Sayed"/>
    <d v="2022-07-15T00:00:00"/>
    <s v="Regular"/>
    <s v="AUH1"/>
    <n v="1299"/>
    <s v="Day Shift"/>
    <s v="Sunday"/>
    <s v="Monday"/>
    <s v="FC Lead"/>
    <s v="N"/>
    <x v="4"/>
    <d v="2024-08-12T00:00:00"/>
    <m/>
    <s v="Direct"/>
    <m/>
    <n v="1107"/>
    <s v="Mezzanine Level"/>
    <e v="#N/A"/>
    <m/>
    <s v="Blue Badge"/>
    <m/>
    <m/>
    <m/>
    <m/>
    <n v="3"/>
    <s v="DXB5"/>
  </r>
  <r>
    <n v="103876189"/>
    <s v="egyamfi"/>
    <s v="Edward Owusu Gyamfi"/>
    <d v="2020-08-24T00:00:00"/>
    <s v="Regular"/>
    <s v="AUH1"/>
    <n v="1299"/>
    <s v="Day Shift"/>
    <s v="Friday"/>
    <s v="Saturday"/>
    <s v="OPERATIONS LEAD"/>
    <s v="N"/>
    <x v="4"/>
    <d v="2024-08-12T00:00:00"/>
    <s v="OB Lead/PA"/>
    <s v="Direct"/>
    <m/>
    <n v="1104"/>
    <s v="Mezzanine Level"/>
    <e v="#N/A"/>
    <m/>
    <s v="Blue Badge"/>
    <s v="jgergis"/>
    <s v="John Gergis"/>
    <s v="Male"/>
    <s v="M"/>
    <n v="3"/>
    <s v="DXB3"/>
  </r>
  <r>
    <n v="102207657"/>
    <s v="azafar"/>
    <s v="Zafar,Abbas Zafarullah"/>
    <d v="2017-05-13T00:00:00"/>
    <s v="Regular"/>
    <s v="AUH1"/>
    <n v="1299"/>
    <s v="Day Shift"/>
    <s v="Wednesday"/>
    <s v="Thursday"/>
    <s v="Operations Supervisor"/>
    <s v="N"/>
    <x v="4"/>
    <d v="2024-08-12T00:00:00"/>
    <s v="OB Lead/PA"/>
    <s v="Direct"/>
    <m/>
    <n v="1099"/>
    <s v="Mezzanine Level"/>
    <e v="#N/A"/>
    <m/>
    <s v="Blue Badge"/>
    <s v="shedidn"/>
    <s v="Nouran Shedid"/>
    <s v="Male"/>
    <s v="M"/>
    <n v="3"/>
    <s v="DXB3"/>
  </r>
  <r>
    <n v="110804937"/>
    <s v="agsamue"/>
    <s v="Agyemang Samuel"/>
    <d v="2022-09-27T00:00:00"/>
    <s v="Regular"/>
    <s v="AUH1"/>
    <n v="1299"/>
    <s v="Day Shift"/>
    <s v="Sunday"/>
    <s v="Monday"/>
    <s v="FC Supervisor"/>
    <s v="N"/>
    <x v="4"/>
    <d v="2024-08-12T00:00:00"/>
    <m/>
    <s v="Direct"/>
    <m/>
    <n v="1108"/>
    <s v="Mezzanine Level"/>
    <e v="#N/A"/>
    <m/>
    <s v="Blue Badge"/>
    <m/>
    <m/>
    <m/>
    <m/>
    <n v="3"/>
    <s v="AUH1"/>
  </r>
  <r>
    <n v="105480601"/>
    <s v="atshahz"/>
    <s v="Atif Shahzad"/>
    <d v="2022-10-05T00:00:00"/>
    <s v="Regular"/>
    <s v="AUH1"/>
    <n v="1299"/>
    <s v="Day Shift"/>
    <s v="Friday"/>
    <s v="Saturday"/>
    <s v="FC Associate I"/>
    <s v="N"/>
    <x v="4"/>
    <d v="2024-08-12T00:00:00"/>
    <s v="Pack - Single"/>
    <s v="Direct"/>
    <m/>
    <n v="1105"/>
    <s v="Mezzanine Level"/>
    <e v="#N/A"/>
    <m/>
    <s v="Blue Badge"/>
    <s v="jgergis"/>
    <s v="John Gergis"/>
    <s v="Male"/>
    <s v="XL"/>
    <n v="3"/>
    <s v="DXB3"/>
  </r>
  <r>
    <n v="104383492"/>
    <s v="alizhma"/>
    <s v="Ahmad Ali Muhammad Anwar"/>
    <d v="2022-06-16T00:00:00"/>
    <s v="Regular"/>
    <s v="AUH1"/>
    <n v="1182"/>
    <s v="Day Shift"/>
    <s v="Tuesday"/>
    <s v="Wednesday"/>
    <s v="FC Associate I"/>
    <s v="N"/>
    <x v="3"/>
    <d v="2024-08-12T00:00:00"/>
    <m/>
    <s v="Direct"/>
    <m/>
    <n v="84"/>
    <s v="Ground Level"/>
    <e v="#N/A"/>
    <m/>
    <s v="Blue Badge"/>
    <m/>
    <m/>
    <m/>
    <m/>
    <n v="3"/>
    <s v="DXB8"/>
  </r>
  <r>
    <n v="103725232"/>
    <s v="uzziad"/>
    <s v="Ziad,Usama"/>
    <d v="2020-11-30T00:00:00"/>
    <s v="Regular"/>
    <s v="AUH1"/>
    <n v="1299"/>
    <s v="Day Shift"/>
    <s v="Friday"/>
    <s v="Saturday"/>
    <s v="OPERATIONS LEAD"/>
    <s v="N"/>
    <x v="4"/>
    <d v="2024-08-12T00:00:00"/>
    <s v="OB Lead/PA"/>
    <s v="Direct"/>
    <m/>
    <n v="1102"/>
    <s v="Mezzanine Level"/>
    <e v="#N/A"/>
    <m/>
    <s v="Blue Badge"/>
    <s v="nchiket"/>
    <s v="Nachiket Chodankar"/>
    <s v="Male"/>
    <s v="M"/>
    <n v="3"/>
    <s v="DXB3"/>
  </r>
  <r>
    <n v="102434114"/>
    <s v="jaimsonr"/>
    <s v="Rosales,Jaimson Ramos"/>
    <d v="2017-06-18T00:00:00"/>
    <s v="Regular"/>
    <s v="AUH1"/>
    <n v="1299"/>
    <s v="Day Shift"/>
    <s v="Friday"/>
    <s v="Saturday"/>
    <s v="OPERATIONS LEAD"/>
    <s v="N"/>
    <x v="4"/>
    <d v="2024-08-12T00:00:00"/>
    <s v="OB Lead/PA"/>
    <s v="Direct"/>
    <m/>
    <n v="1100"/>
    <s v="Mezzanine Level"/>
    <e v="#N/A"/>
    <m/>
    <s v="Blue Badge"/>
    <s v="illatken"/>
    <s v="Irfan Latken"/>
    <s v="Male"/>
    <s v="M"/>
    <n v="3"/>
    <s v="DXB3"/>
  </r>
  <r>
    <n v="102582339"/>
    <s v="noufalf"/>
    <s v="Faziludeen,Noufal"/>
    <d v="2017-08-13T00:00:00"/>
    <s v="Regular"/>
    <s v="AUH1"/>
    <n v="1299"/>
    <s v="Day Shift"/>
    <s v="Tuesday"/>
    <s v="Wednesday"/>
    <s v="OPERATIONS LEAD"/>
    <s v="N"/>
    <x v="4"/>
    <d v="2024-08-12T00:00:00"/>
    <s v="OB Problem Solve"/>
    <s v="Direct"/>
    <m/>
    <n v="1101"/>
    <s v="Mezzanine Level"/>
    <e v="#N/A"/>
    <m/>
    <s v="Blue Badge"/>
    <s v="illatken"/>
    <s v="Irfan Latken"/>
    <s v="Male"/>
    <s v="M"/>
    <n v="3"/>
    <s v="DXB3"/>
  </r>
  <r>
    <n v="102207624"/>
    <s v="mnarshad"/>
    <s v="Muhammad Ashik Narshad"/>
    <d v="2021-09-20T00:00:00"/>
    <s v="Regular"/>
    <s v="AUH1"/>
    <n v="1299"/>
    <s v="Day Shift"/>
    <s v="Sunday"/>
    <s v="Monday"/>
    <s v="OPERATIONS LEAD"/>
    <s v="N"/>
    <x v="4"/>
    <d v="2024-08-12T00:00:00"/>
    <s v="OB Lead/PA"/>
    <s v="Direct"/>
    <m/>
    <n v="1098"/>
    <s v="Mezzanine Level"/>
    <e v="#N/A"/>
    <m/>
    <s v="Blue Badge"/>
    <s v="sidamra"/>
    <s v="Amra Siddiqui"/>
    <s v="Male"/>
    <s v="L"/>
    <n v="3"/>
    <s v="DXB3"/>
  </r>
  <r>
    <n v="106268183"/>
    <s v="valapnab"/>
    <s v="Nabeel Thazhath"/>
    <d v="2022-09-27T00:00:00"/>
    <s v="Regular"/>
    <s v="AUH1"/>
    <n v="1299"/>
    <s v="Day Shift"/>
    <s v="Wednesday"/>
    <s v="Thursday"/>
    <s v="Operations Supervisor"/>
    <s v="N"/>
    <x v="4"/>
    <d v="2024-08-12T00:00:00"/>
    <s v="Picking"/>
    <s v="Direct"/>
    <m/>
    <n v="1106"/>
    <s v="Mezzanine Level"/>
    <e v="#N/A"/>
    <m/>
    <s v="Blue Badge"/>
    <s v="nchiket"/>
    <s v="Nachiket Chodankar"/>
    <s v="Male"/>
    <s v="XL"/>
    <n v="3"/>
    <s v="AUH1"/>
  </r>
  <r>
    <n v="203341965"/>
    <s v="aninanur"/>
    <s v="Anurag Kambrath Anilan"/>
    <d v="2024-05-20T00:00:00"/>
    <s v="Temporary"/>
    <s v="AUH1"/>
    <n v="1299"/>
    <s v="Day Shift"/>
    <s v="Wednesday"/>
    <s v="Thursday"/>
    <s v="Warehouse Associate (AUH1)"/>
    <s v="N"/>
    <x v="4"/>
    <d v="2024-08-18T00:00:00"/>
    <s v="Pack"/>
    <s v="Direct"/>
    <m/>
    <n v="1027"/>
    <s v="Mezzanine Level"/>
    <e v="#N/A"/>
    <s v="India"/>
    <s v="Adecco"/>
    <s v="tomwier"/>
    <m/>
    <m/>
    <m/>
    <n v="99"/>
    <s v="DXB3"/>
  </r>
  <r>
    <n v="203341961"/>
    <s v="armohani"/>
    <s v="Arun Mohan"/>
    <d v="2024-05-20T00:00:00"/>
    <s v="Temporary"/>
    <s v="AUH1"/>
    <n v="1299"/>
    <s v="Day Shift"/>
    <s v="Wednesday"/>
    <s v="Thursday"/>
    <s v="Warehouse Associate (AUH1)"/>
    <s v="N"/>
    <x v="4"/>
    <d v="2024-08-18T00:00:00"/>
    <s v="Pack"/>
    <s v="Direct"/>
    <m/>
    <n v="1026"/>
    <s v="Mezzanine Level"/>
    <e v="#N/A"/>
    <s v="India"/>
    <s v="Adecco"/>
    <s v="tomwier"/>
    <m/>
    <m/>
    <m/>
    <n v="99"/>
    <s v="DXB3"/>
  </r>
  <r>
    <n v="203342036"/>
    <s v="nyirebev"/>
    <s v="Evans Nyirenda"/>
    <d v="2024-05-20T00:00:00"/>
    <s v="Temporary"/>
    <s v="AUH1"/>
    <n v="1299"/>
    <s v="Day Shift"/>
    <s v="Friday"/>
    <s v="Saturday"/>
    <s v="Warehouse Associate (AUH1)"/>
    <s v="N"/>
    <x v="4"/>
    <d v="2024-08-18T00:00:00"/>
    <s v="Pack"/>
    <s v="Direct"/>
    <m/>
    <n v="1033"/>
    <s v="Mezzanine Level"/>
    <e v="#N/A"/>
    <s v="Malawy"/>
    <s v="Adecco"/>
    <s v="tomwier"/>
    <m/>
    <m/>
    <m/>
    <n v="99"/>
    <s v="DXB3"/>
  </r>
  <r>
    <n v="203341957"/>
    <s v="gousperu"/>
    <s v="Goushik Perumal"/>
    <d v="2024-05-20T00:00:00"/>
    <s v="Temporary"/>
    <s v="AUH1"/>
    <n v="1299"/>
    <s v="Day Shift"/>
    <s v="Sunday"/>
    <s v="Monday"/>
    <s v="Warehouse Associate (AUH1)"/>
    <s v="N"/>
    <x v="4"/>
    <d v="2024-08-20T00:00:00"/>
    <s v="Pack"/>
    <s v="Direct"/>
    <m/>
    <n v="1023"/>
    <s v="Mezzanine Level"/>
    <e v="#N/A"/>
    <s v="India"/>
    <s v="Adecco"/>
    <s v="tomwier"/>
    <m/>
    <m/>
    <m/>
    <n v="99"/>
    <s v="DXB3"/>
  </r>
  <r>
    <n v="203342033"/>
    <s v="lleonakw"/>
    <s v="Leonard Liwiekwo Kwamogha"/>
    <d v="2024-05-20T00:00:00"/>
    <s v="Temporary"/>
    <s v="AUH1"/>
    <n v="1299"/>
    <s v="Day Shift"/>
    <s v="Monday"/>
    <s v="Tuesday"/>
    <s v="Warehouse Associate (AUH1)"/>
    <s v="N"/>
    <x v="4"/>
    <d v="2024-08-18T00:00:00"/>
    <s v="Pack"/>
    <s v="Direct"/>
    <m/>
    <n v="1031"/>
    <s v="Mezzanine Level"/>
    <e v="#N/A"/>
    <s v="Cameroon"/>
    <s v="Adecco"/>
    <s v="tomwier"/>
    <m/>
    <m/>
    <m/>
    <n v="99"/>
    <s v="DXB3"/>
  </r>
  <r>
    <n v="203342034"/>
    <s v="chatthud"/>
    <s v="Chathurika Sewwandi Thushari"/>
    <d v="2024-05-20T00:00:00"/>
    <s v="Temporary"/>
    <s v="AUH1"/>
    <n v="1299"/>
    <s v="Day Shift"/>
    <s v="Sunday"/>
    <s v="Monday"/>
    <s v="Warehouse Associate (AUH1)"/>
    <s v="N"/>
    <x v="4"/>
    <d v="2024-08-20T00:00:00"/>
    <s v="Pick"/>
    <s v="Direct"/>
    <m/>
    <n v="1235"/>
    <s v="Mezzanine Level"/>
    <e v="#N/A"/>
    <s v="India"/>
    <s v="Adecco"/>
    <s v="tomwier"/>
    <m/>
    <m/>
    <m/>
    <n v="99"/>
    <s v="DXB3"/>
  </r>
  <r>
    <n v="203342039"/>
    <s v="achardec"/>
    <s v="Debabrata Acharya"/>
    <d v="2024-05-20T00:00:00"/>
    <s v="Temporary"/>
    <s v="AUH1"/>
    <n v="1299"/>
    <s v="Day Shift"/>
    <s v="Thursday"/>
    <s v="Friday"/>
    <s v="Warehouse Associate (AUH1)"/>
    <s v="N"/>
    <x v="4"/>
    <d v="2024-08-18T00:00:00"/>
    <s v="Pick"/>
    <s v="Direct"/>
    <m/>
    <n v="1036"/>
    <s v="Mezzanine Level"/>
    <e v="#N/A"/>
    <s v="India"/>
    <s v="Adecco"/>
    <s v="tomwier"/>
    <m/>
    <m/>
    <m/>
    <n v="99"/>
    <s v="DXB3"/>
  </r>
  <r>
    <n v="203355686"/>
    <s v="jeawcruz"/>
    <s v="Jearic B . Dela Cruz"/>
    <d v="2024-05-20T00:00:00"/>
    <s v="Temporary"/>
    <s v="AUH1"/>
    <n v="1299"/>
    <s v="Day Shift"/>
    <s v="Friday"/>
    <s v="Saturday"/>
    <s v="Warehouse Associate (AUH1)"/>
    <s v="N"/>
    <x v="4"/>
    <d v="2024-08-18T00:00:00"/>
    <s v="Pick"/>
    <s v="Direct"/>
    <m/>
    <n v="1039"/>
    <s v="Mezzanine Level"/>
    <e v="#N/A"/>
    <s v="NA"/>
    <s v="Adecco"/>
    <s v="tomwier"/>
    <m/>
    <m/>
    <m/>
    <n v="99"/>
    <s v="DXB3"/>
  </r>
  <r>
    <n v="203355684"/>
    <s v="jerickmu"/>
    <s v="Jerick Neil Muan"/>
    <d v="2024-05-20T00:00:00"/>
    <s v="Temporary"/>
    <s v="AUH1"/>
    <n v="1299"/>
    <s v="Day Shift"/>
    <s v="Monday"/>
    <s v="Tuesday"/>
    <s v="Warehouse Associate (AUH1)"/>
    <s v="N"/>
    <x v="4"/>
    <d v="2024-08-18T00:00:00"/>
    <s v="Pick"/>
    <s v="Direct"/>
    <m/>
    <n v="1038"/>
    <s v="Mezzanine Level"/>
    <e v="#N/A"/>
    <s v="NA"/>
    <s v="Adecco"/>
    <s v="tomwier"/>
    <m/>
    <m/>
    <m/>
    <n v="99"/>
    <s v="DXB3"/>
  </r>
  <r>
    <n v="203342038"/>
    <s v="somdjohn"/>
    <s v="John Som"/>
    <d v="2024-05-20T00:00:00"/>
    <s v="Temporary"/>
    <s v="AUH1"/>
    <n v="1299"/>
    <s v="Day Shift"/>
    <s v="Friday"/>
    <s v="Saturday"/>
    <s v="Warehouse Associate (AUH1)"/>
    <s v="N"/>
    <x v="4"/>
    <d v="2024-08-18T00:00:00"/>
    <s v="Pick"/>
    <s v="Direct"/>
    <m/>
    <n v="1035"/>
    <s v="Mezzanine Level"/>
    <e v="#N/A"/>
    <s v="Philippines"/>
    <s v="Adecco"/>
    <s v="tomwier"/>
    <m/>
    <m/>
    <m/>
    <n v="99"/>
    <s v="DXB3"/>
  </r>
  <r>
    <n v="203342035"/>
    <s v="abamarko"/>
    <s v="Markos Kidane Bahiru"/>
    <d v="2024-05-20T00:00:00"/>
    <s v="Temporary"/>
    <s v="AUH1"/>
    <n v="1299"/>
    <s v="Day Shift"/>
    <s v="Monday"/>
    <s v="Tuesday"/>
    <s v="Warehouse Associate (AUH1)"/>
    <s v="N"/>
    <x v="4"/>
    <d v="2024-08-18T00:00:00"/>
    <s v="Pick"/>
    <s v="Direct"/>
    <m/>
    <n v="1032"/>
    <s v="Mezzanine Level"/>
    <e v="#N/A"/>
    <s v="Ethiopia"/>
    <s v="Adecco"/>
    <s v="tomwier"/>
    <m/>
    <m/>
    <m/>
    <n v="99"/>
    <s v="DXB3"/>
  </r>
  <r>
    <n v="203342032"/>
    <s v="siddeimo"/>
    <s v="Mohamed Ilham Mohamed Siddeek"/>
    <d v="2024-05-20T00:00:00"/>
    <s v="Temporary"/>
    <s v="AUH1"/>
    <n v="1299"/>
    <s v="Day Shift"/>
    <s v="Saturday"/>
    <s v="Sunday"/>
    <s v="Warehouse Associate (AUH1)"/>
    <s v="N"/>
    <x v="4"/>
    <d v="2024-08-19T00:00:00"/>
    <s v="Pick"/>
    <s v="Direct"/>
    <m/>
    <n v="1030"/>
    <s v="Mezzanine Level"/>
    <e v="#N/A"/>
    <s v="Sri Lanka"/>
    <s v="Adecco"/>
    <s v="tomwier"/>
    <m/>
    <m/>
    <m/>
    <n v="99"/>
    <s v="DXB3"/>
  </r>
  <r>
    <n v="203341966"/>
    <s v="lanshapa"/>
    <s v="Paul Taping Lansha"/>
    <d v="2024-05-20T00:00:00"/>
    <s v="Temporary"/>
    <s v="AUH1"/>
    <n v="1299"/>
    <s v="Day Shift"/>
    <s v="Friday"/>
    <s v="Saturday"/>
    <s v="Warehouse Associate (AUH1)"/>
    <s v="N"/>
    <x v="4"/>
    <d v="2024-08-18T00:00:00"/>
    <s v="Pick"/>
    <s v="Direct"/>
    <m/>
    <n v="1028"/>
    <s v="Mezzanine Level"/>
    <e v="#N/A"/>
    <s v="Cameroon"/>
    <s v="Adecco"/>
    <s v="tomwier"/>
    <m/>
    <m/>
    <m/>
    <n v="99"/>
    <s v="DXB3"/>
  </r>
  <r>
    <n v="203341964"/>
    <s v="ampritac"/>
    <s v="Rita Abbiw Amponsah"/>
    <d v="2024-05-20T00:00:00"/>
    <s v="Temporary"/>
    <s v="AUH1"/>
    <n v="1299"/>
    <s v="Day Shift"/>
    <s v="Thursday"/>
    <s v="Friday"/>
    <s v="Warehouse Associate (AUH1)"/>
    <s v="N"/>
    <x v="4"/>
    <d v="2024-08-18T00:00:00"/>
    <s v="Pick"/>
    <s v="Direct"/>
    <m/>
    <n v="1526"/>
    <s v="Mezzanine Level"/>
    <e v="#N/A"/>
    <s v="Ghana"/>
    <s v="Adecco"/>
    <s v="tomwier"/>
    <m/>
    <m/>
    <m/>
    <n v="99"/>
    <s v="DXB3"/>
  </r>
  <r>
    <n v="203342037"/>
    <s v="jsalmmoh"/>
    <s v="Salman Mohammad "/>
    <d v="2024-05-20T00:00:00"/>
    <s v="Temporary"/>
    <s v="AUH1"/>
    <n v="1299"/>
    <s v="Day Shift"/>
    <s v="Tuesday"/>
    <s v="Wednesday"/>
    <s v="Warehouse Associate (AUH1)"/>
    <s v="N"/>
    <x v="4"/>
    <d v="2024-08-18T00:00:00"/>
    <s v="Pick"/>
    <s v="Direct"/>
    <m/>
    <n v="1034"/>
    <s v="Mezzanine Level"/>
    <e v="#N/A"/>
    <s v="India"/>
    <s v="Adecco"/>
    <s v="tomwier"/>
    <m/>
    <m/>
    <m/>
    <n v="99"/>
    <s v="DXB3"/>
  </r>
  <r>
    <n v="203342068"/>
    <s v="bsanmoyo"/>
    <s v="Sandisiwe Moyo"/>
    <d v="2024-05-20T00:00:00"/>
    <s v="Temporary"/>
    <s v="AUH1"/>
    <n v="1299"/>
    <s v="Day Shift"/>
    <s v="Tuesday"/>
    <s v="Wednesday"/>
    <s v="Warehouse Associate (AUH1)"/>
    <s v="N"/>
    <x v="4"/>
    <d v="2024-08-18T00:00:00"/>
    <s v="Pick"/>
    <s v="Direct"/>
    <m/>
    <n v="1037"/>
    <s v="Mezzanine Level"/>
    <e v="#N/A"/>
    <s v="Zimbabwe"/>
    <s v="Adecco"/>
    <s v="tomwier"/>
    <m/>
    <m/>
    <m/>
    <n v="99"/>
    <s v="DXB3"/>
  </r>
  <r>
    <n v="203342030"/>
    <s v="avinkorm"/>
    <s v="Avinash Korukonda Seshagiri Rao"/>
    <d v="2024-05-20T00:00:00"/>
    <s v="Temporary"/>
    <s v="AUH1"/>
    <n v="1299"/>
    <s v="Day Shift"/>
    <s v="Monday"/>
    <s v="Tuesday"/>
    <s v="Warehouse Associate (AUH1)"/>
    <s v="N"/>
    <x v="4"/>
    <d v="2024-08-18T00:00:00"/>
    <s v="Rebin"/>
    <s v="Direct"/>
    <m/>
    <n v="1029"/>
    <s v="Mezzanine Level"/>
    <e v="#N/A"/>
    <s v="Kenya"/>
    <s v="Adecco"/>
    <s v="tomwier"/>
    <m/>
    <m/>
    <m/>
    <n v="99"/>
    <s v="DXB3"/>
  </r>
  <r>
    <n v="203342654"/>
    <s v="qcatampa"/>
    <s v="Carintine Tampa"/>
    <d v="2024-05-20T00:00:00"/>
    <s v="Temporary"/>
    <s v="AUH1"/>
    <n v="1299"/>
    <s v="Day Shift"/>
    <s v="Saturday"/>
    <s v="Sunday"/>
    <s v="Warehouse Associate (AUH1)"/>
    <s v="N"/>
    <x v="4"/>
    <d v="2024-08-19T00:00:00"/>
    <s v="Rebin"/>
    <s v="Direct"/>
    <m/>
    <n v="1525"/>
    <s v="Mezzanine Level"/>
    <e v="#N/A"/>
    <s v="NA"/>
    <s v="Adecco"/>
    <s v="tomwier"/>
    <m/>
    <m/>
    <m/>
    <n v="99"/>
    <s v="DXB3"/>
  </r>
  <r>
    <n v="203341963"/>
    <s v="tturlcyn"/>
    <s v="Cynthia Mboshifor Turlack"/>
    <d v="2024-05-20T00:00:00"/>
    <s v="Temporary"/>
    <s v="AUH1"/>
    <n v="1299"/>
    <s v="Day Shift"/>
    <s v="Wednesday"/>
    <s v="Thursday"/>
    <s v="Warehouse Associate (AUH1)"/>
    <s v="N"/>
    <x v="4"/>
    <d v="2024-08-18T00:00:00"/>
    <s v="Rebin"/>
    <s v="Direct"/>
    <m/>
    <n v="1527"/>
    <s v="Mezzanine Level"/>
    <e v="#N/A"/>
    <s v="Cameroon"/>
    <s v="Adecco"/>
    <s v="tomwier"/>
    <m/>
    <m/>
    <m/>
    <n v="99"/>
    <s v="DXB3"/>
  </r>
  <r>
    <n v="203341958"/>
    <s v="khaztanv"/>
    <s v="Tanveer Khan"/>
    <d v="2024-05-20T00:00:00"/>
    <s v="Temporary"/>
    <s v="AUH1"/>
    <n v="1299"/>
    <s v="Day Shift"/>
    <s v="Friday"/>
    <s v="Saturday"/>
    <s v="Warehouse Associate (AUH1)"/>
    <s v="N"/>
    <x v="4"/>
    <d v="2024-08-18T00:00:00"/>
    <s v="Rebin"/>
    <s v="Direct"/>
    <m/>
    <n v="1024"/>
    <s v="Mezzanine Level"/>
    <e v="#N/A"/>
    <s v="Pakistan"/>
    <s v="Adecco"/>
    <s v="tomwier"/>
    <m/>
    <m/>
    <m/>
    <n v="99"/>
    <s v="DXB3"/>
  </r>
  <r>
    <n v="203470264"/>
    <s v="modiopea"/>
    <s v="Amos Odiope"/>
    <d v="2024-06-13T00:00:00"/>
    <s v="Temporary"/>
    <s v="AUH1"/>
    <n v="1299"/>
    <s v="Day Shift"/>
    <s v="Wednesday"/>
    <s v="Thursday"/>
    <s v="Warehouse Associate (AUH)"/>
    <s v="N"/>
    <x v="4"/>
    <d v="2024-08-18T00:00:00"/>
    <s v="Pack"/>
    <s v="Direct"/>
    <m/>
    <n v="1040"/>
    <s v="Mezzanine Level"/>
    <e v="#N/A"/>
    <s v="Ghana"/>
    <s v="Adecco"/>
    <s v="tomwier"/>
    <m/>
    <m/>
    <m/>
    <n v="99"/>
    <s v="DXB3"/>
  </r>
  <r>
    <n v="203522211"/>
    <s v="dduzandi"/>
    <s v="Zandile Dube "/>
    <d v="2024-06-20T00:00:00"/>
    <s v="Temporary"/>
    <s v="AUH1"/>
    <n v="1299"/>
    <s v="Day Shift"/>
    <s v="Wednesday"/>
    <s v="Thursday"/>
    <s v="Warehouse Associate (AUH)"/>
    <s v="N"/>
    <x v="4"/>
    <d v="2024-08-18T00:00:00"/>
    <s v="Pack"/>
    <s v="Direct"/>
    <m/>
    <n v="1521"/>
    <s v="Mezzanine Level"/>
    <e v="#N/A"/>
    <s v="Zimbabwe"/>
    <s v="Adecco"/>
    <s v="bizthoma"/>
    <m/>
    <m/>
    <m/>
    <n v="99"/>
    <s v="DXB5"/>
  </r>
  <r>
    <n v="203522193"/>
    <s v="devisain"/>
    <s v="Ainembabazi Devis "/>
    <d v="2024-06-20T00:00:00"/>
    <s v="Temporary"/>
    <s v="AUH1"/>
    <n v="1299"/>
    <s v="Day Shift"/>
    <s v="Wednesday"/>
    <s v="Thursday"/>
    <s v="Warehouse Associate (AUH)"/>
    <s v="N"/>
    <x v="4"/>
    <d v="2024-08-18T00:00:00"/>
    <s v="Pack"/>
    <s v="Direct"/>
    <m/>
    <n v="1042"/>
    <s v="Mezzanine Level"/>
    <e v="#N/A"/>
    <s v="Uganda"/>
    <s v="Adecco"/>
    <s v="bizthoma"/>
    <m/>
    <m/>
    <m/>
    <n v="99"/>
    <s v="DXB5"/>
  </r>
  <r>
    <n v="203522217"/>
    <s v="korkwaku"/>
    <s v="Koranteng Joseph Kwaku"/>
    <d v="2024-06-20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43"/>
    <s v="Mezzanine Level"/>
    <e v="#N/A"/>
    <s v="Ghana"/>
    <s v="Adecco"/>
    <s v="bizthoma"/>
    <m/>
    <m/>
    <m/>
    <n v="99"/>
    <s v="DXB5"/>
  </r>
  <r>
    <n v="203477173"/>
    <s v="noreeaku"/>
    <s v="Akullu Noreen 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524"/>
    <s v="Mezzanine Level"/>
    <e v="#N/A"/>
    <s v="Ghana"/>
    <s v="Adecco"/>
    <s v="bizthoma"/>
    <m/>
    <m/>
    <m/>
    <n v="99"/>
    <s v="DXB5"/>
  </r>
  <r>
    <n v="203522194"/>
    <s v="ramjbang"/>
    <s v="Ramatu Bangura"/>
    <d v="2024-06-20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522"/>
    <s v="Mezzanine Level"/>
    <e v="#N/A"/>
    <s v="Sierra Leone"/>
    <s v="Adecco"/>
    <s v="bizthoma"/>
    <m/>
    <m/>
    <m/>
    <n v="99"/>
    <s v="DXB5"/>
  </r>
  <r>
    <n v="203522119"/>
    <s v="binsayma"/>
    <s v="Mahmood Bin Sayeed Saadi "/>
    <d v="2024-06-20T00:00:00"/>
    <s v="Temporary"/>
    <s v="AUH1"/>
    <n v="1299"/>
    <s v="Day Shift"/>
    <s v="Saturday"/>
    <s v="Sunday"/>
    <s v="Warehouse Associate (AUH)"/>
    <s v="N"/>
    <x v="4"/>
    <d v="2024-08-19T00:00:00"/>
    <s v="Pick"/>
    <s v="Direct"/>
    <m/>
    <n v="1041"/>
    <s v="Mezzanine Level"/>
    <e v="#N/A"/>
    <s v="Yemen"/>
    <s v="Adecco"/>
    <s v="akeefmoh"/>
    <m/>
    <m/>
    <m/>
    <n v="99"/>
    <s v="DXB5"/>
  </r>
  <r>
    <n v="203522118"/>
    <s v="ljacnans"/>
    <s v="Jackie Nansereko    "/>
    <d v="2024-06-20T00:00:00"/>
    <s v="Temporary"/>
    <s v="AUH1"/>
    <n v="1299"/>
    <s v="Day Shift"/>
    <s v="Saturday"/>
    <s v="Sunday"/>
    <s v="Warehouse Associate (AUH)"/>
    <s v="N"/>
    <x v="4"/>
    <d v="2024-08-19T00:00:00"/>
    <s v="Pick"/>
    <s v="Direct"/>
    <m/>
    <n v="1523"/>
    <s v="Mezzanine Level"/>
    <e v="#N/A"/>
    <s v="Ghana"/>
    <s v="Adecco"/>
    <s v="akeefmoh"/>
    <m/>
    <m/>
    <m/>
    <n v="99"/>
    <s v="DXB5"/>
  </r>
  <r>
    <n v="203555843"/>
    <s v="darelall"/>
    <s v="Allen Andrey D. Arellano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45"/>
    <s v="Mezzanine Level"/>
    <e v="#N/A"/>
    <s v="Philippines"/>
    <s v="Adecco"/>
    <s v="sidamra"/>
    <m/>
    <m/>
    <m/>
    <n v="99"/>
    <s v="DXB3"/>
  </r>
  <r>
    <n v="203555847"/>
    <s v="ayyoobkh"/>
    <s v="Mohammed Ayyoobkhan Mohammed Ammar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81"/>
    <s v="Mezzanine Level"/>
    <e v="#N/A"/>
    <s v="Pakistan"/>
    <s v="Adecco"/>
    <s v="sidamra"/>
    <m/>
    <m/>
    <m/>
    <n v="99"/>
    <s v="DXB3"/>
  </r>
  <r>
    <n v="203555842"/>
    <s v="mofhuss"/>
    <s v="Mohammed Shazin Hussain Hussain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76"/>
    <s v="Mezzanine Level"/>
    <e v="#N/A"/>
    <s v="Pakistan"/>
    <s v="Adecco"/>
    <s v="sidamra"/>
    <m/>
    <m/>
    <m/>
    <n v="99"/>
    <s v="DXB3"/>
  </r>
  <r>
    <n v="203555846"/>
    <s v="shajgsar"/>
    <s v="Sarath Shaji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78"/>
    <s v="Mezzanine Level"/>
    <e v="#N/A"/>
    <s v="India"/>
    <s v="Adecco"/>
    <s v="sidamra"/>
    <m/>
    <m/>
    <m/>
    <n v="99"/>
    <s v="DXB3"/>
  </r>
  <r>
    <n v="203555845"/>
    <s v="visdasab"/>
    <s v="Vishnu Nelloolipadikkal Dasan"/>
    <d v="2024-06-27T00:00:00"/>
    <s v="Temporary"/>
    <s v="AUH1"/>
    <n v="1299"/>
    <s v="Day Shift"/>
    <s v="Sunday"/>
    <s v="Monday"/>
    <s v="Warehouse Associate (AUH)"/>
    <s v="N"/>
    <x v="4"/>
    <d v="2024-08-20T00:00:00"/>
    <s v="Pick"/>
    <s v="Direct"/>
    <m/>
    <n v="1077"/>
    <s v="Mezzanine Level"/>
    <e v="#N/A"/>
    <s v="India"/>
    <s v="Adecco"/>
    <s v="sidamra"/>
    <m/>
    <m/>
    <m/>
    <n v="99"/>
    <s v="DXB3"/>
  </r>
  <r>
    <n v="102434089"/>
    <s v="odelap"/>
    <s v="Dela Pane,Orbes"/>
    <d v="2017-06-11T00:00:00"/>
    <s v="Regular"/>
    <s v="AUH1"/>
    <n v="1299"/>
    <s v="Day Shift"/>
    <s v="Sunday"/>
    <s v="Monday"/>
    <s v="Warehouse Associate"/>
    <s v="N"/>
    <x v="4"/>
    <d v="2024-08-20T00:00:00"/>
    <s v="Concessions"/>
    <s v="Direct"/>
    <m/>
    <m/>
    <m/>
    <e v="#N/A"/>
    <m/>
    <s v="Blue Badge"/>
    <s v="John Gergis"/>
    <m/>
    <m/>
    <m/>
    <n v="1"/>
    <s v="DXB3"/>
  </r>
  <r>
    <n v="106268190"/>
    <s v="masifkas"/>
    <s v="KASHIF MASIH"/>
    <d v="2022-07-15T00:00:00"/>
    <s v="Regular"/>
    <s v="AUH1"/>
    <n v="1299"/>
    <s v="Day Shift"/>
    <s v="Friday"/>
    <s v="Saturday"/>
    <s v="FC Associate I"/>
    <s v="N"/>
    <x v="4"/>
    <d v="2024-08-18T00:00:00"/>
    <s v="KICK OUT OP"/>
    <s v="Direct"/>
    <m/>
    <n v="1059"/>
    <s v="Mezzanine Level"/>
    <e v="#N/A"/>
    <m/>
    <s v="Blue Badge"/>
    <s v="Berana,Amor"/>
    <m/>
    <m/>
    <m/>
    <n v="1"/>
    <s v="DXB5"/>
  </r>
  <r>
    <n v="105444861"/>
    <s v="fshehary"/>
    <s v="Fida,Sheharyar"/>
    <d v="2022-11-10T00:00:00"/>
    <s v="Regular"/>
    <s v="AUH1"/>
    <n v="1299"/>
    <s v="Day Shift"/>
    <s v="Tuesday"/>
    <s v="Wednesday"/>
    <s v="FC Associate I"/>
    <s v="N"/>
    <x v="4"/>
    <d v="2024-08-18T00:00:00"/>
    <s v="OB Problem Solve"/>
    <s v="Direct"/>
    <m/>
    <n v="1056"/>
    <s v="Mezzanine Level"/>
    <e v="#N/A"/>
    <m/>
    <s v="Blue Badge"/>
    <s v="Nouran Shedid"/>
    <m/>
    <m/>
    <m/>
    <n v="1"/>
    <s v="DXB3"/>
  </r>
  <r>
    <n v="104033277"/>
    <s v="muzahidk"/>
    <s v="Zahid Khan,Muhammad"/>
    <d v="2022-10-05T00:00:00"/>
    <s v="Regular"/>
    <s v="AUH1"/>
    <n v="1299"/>
    <s v="Day Shift"/>
    <s v="Friday"/>
    <s v="Saturday"/>
    <s v="FC Associate I"/>
    <s v="N"/>
    <x v="4"/>
    <d v="2024-08-18T00:00:00"/>
    <s v="OB Problem Solve"/>
    <s v="Direct"/>
    <m/>
    <n v="1053"/>
    <s v="Mezzanine Level"/>
    <e v="#N/A"/>
    <m/>
    <s v="Blue Badge"/>
    <s v="Fletcher,Ella Jade"/>
    <m/>
    <m/>
    <m/>
    <n v="1"/>
    <s v="DXB5"/>
  </r>
  <r>
    <n v="111164491"/>
    <s v="anvtharu"/>
    <s v="Anish Tharu"/>
    <d v="2022-08-24T00:00:00"/>
    <s v="Regular"/>
    <s v="AUH1"/>
    <n v="1299"/>
    <s v="Day Shift"/>
    <s v="Tuesday"/>
    <s v="Wednesday"/>
    <s v="FC Associate I"/>
    <s v="N"/>
    <x v="4"/>
    <d v="2024-08-18T00:00:00"/>
    <s v="OB Problem Solve"/>
    <s v="Direct"/>
    <m/>
    <n v="1067"/>
    <s v="Mezzanine Level"/>
    <e v="#N/A"/>
    <m/>
    <s v="Blue Badge"/>
    <s v="Nouran Shedid"/>
    <m/>
    <m/>
    <m/>
    <n v="1"/>
    <s v="DXB3"/>
  </r>
  <r>
    <n v="104033275"/>
    <s v="KRAFANTH"/>
    <s v="Kraft,Anthony Del Rosario"/>
    <d v="2020-08-24T00:00:00"/>
    <s v="Regular"/>
    <s v="AUH1"/>
    <n v="1299"/>
    <s v="Day Shift"/>
    <s v="Sunday"/>
    <s v="Monday"/>
    <s v="FC associate"/>
    <s v="N"/>
    <x v="4"/>
    <d v="2024-08-20T00:00:00"/>
    <s v="OB Problem Solve"/>
    <s v="Direct"/>
    <m/>
    <n v="1052"/>
    <s v="Mezzanine Level"/>
    <e v="#N/A"/>
    <m/>
    <s v="Blue Badge"/>
    <s v="Irfan Latken"/>
    <m/>
    <m/>
    <m/>
    <n v="1"/>
    <s v="DXB3"/>
  </r>
  <r>
    <n v="106301305"/>
    <s v="lalaxbab"/>
    <s v="Lalaine Zabala Babas"/>
    <d v="2022-10-05T00:00:00"/>
    <s v="Regular"/>
    <s v="AUH1"/>
    <n v="1299"/>
    <s v="Day Shift"/>
    <s v="Friday"/>
    <s v="Saturday"/>
    <s v="FC Associate I"/>
    <s v="N"/>
    <x v="4"/>
    <d v="2024-08-18T00:00:00"/>
    <s v="OB Problem Solve"/>
    <s v="Direct"/>
    <m/>
    <n v="1528"/>
    <s v="Mezzanine Level"/>
    <e v="#N/A"/>
    <m/>
    <s v="Blue Badge"/>
    <s v="Nouran Shedid"/>
    <m/>
    <m/>
    <m/>
    <n v="1"/>
    <s v="DXB3"/>
  </r>
  <r>
    <n v="110492547"/>
    <s v="mensmarg"/>
    <s v="Margaret Mensah"/>
    <d v="2022-07-15T00:00:00"/>
    <s v="Regular"/>
    <s v="AUH1"/>
    <n v="1299"/>
    <s v="Day Shift"/>
    <s v="Wednesday"/>
    <s v="Thursday"/>
    <s v="FC Associate I"/>
    <s v="N"/>
    <x v="4"/>
    <d v="2024-08-18T00:00:00"/>
    <s v="OB Problem Solve"/>
    <s v="Direct"/>
    <m/>
    <n v="1529"/>
    <s v="Mezzanine Level"/>
    <e v="#N/A"/>
    <m/>
    <s v="Blue Badge"/>
    <s v="Fletcher,Ella Jade"/>
    <m/>
    <m/>
    <m/>
    <n v="1"/>
    <s v="DXB5"/>
  </r>
  <r>
    <n v="103900839"/>
    <s v="gueudjog"/>
    <s v="Kwayep,Gueudjo Giresse Franklin"/>
    <d v="2022-09-27T00:00:00"/>
    <s v="Regular"/>
    <s v="AUH1"/>
    <n v="1299"/>
    <s v="Day Shift"/>
    <s v="Tuesday"/>
    <s v="Wednesday"/>
    <s v="FC Associate I"/>
    <s v="N"/>
    <x v="4"/>
    <d v="2024-08-18T00:00:00"/>
    <s v="PACK PG"/>
    <s v="Direct"/>
    <m/>
    <n v="1051"/>
    <s v="Mezzanine Level"/>
    <e v="#N/A"/>
    <m/>
    <s v="Blue Badge"/>
    <s v="Fletcher,Ella Jade"/>
    <m/>
    <m/>
    <m/>
    <n v="1"/>
    <s v="DXB5"/>
  </r>
  <r>
    <n v="109818061"/>
    <s v="abducibr"/>
    <s v="Ibrahim, Abdul Rauf"/>
    <d v="2022-09-27T00:00:00"/>
    <s v="Regular"/>
    <s v="AUH1"/>
    <n v="1299"/>
    <s v="Day Shift"/>
    <s v="Sunday"/>
    <s v="Monday"/>
    <s v="FC Associate I"/>
    <s v="N"/>
    <x v="4"/>
    <d v="2024-08-20T00:00:00"/>
    <s v="PACK PG"/>
    <s v="Direct"/>
    <m/>
    <n v="1066"/>
    <s v="Mezzanine Level"/>
    <e v="#N/A"/>
    <m/>
    <s v="Blue Badge"/>
    <s v="Nouran Shedid"/>
    <m/>
    <m/>
    <m/>
    <n v="1"/>
    <s v="DXB3"/>
  </r>
  <r>
    <n v="106301312"/>
    <s v="musmmuha"/>
    <s v="Usman Ghani"/>
    <d v="2022-07-15T00:00:00"/>
    <s v="Regular"/>
    <s v="AUH1"/>
    <n v="1299"/>
    <s v="Day Shift"/>
    <s v="Friday"/>
    <s v="Saturday"/>
    <s v="FC Associate I"/>
    <s v="N"/>
    <x v="4"/>
    <d v="2024-08-18T00:00:00"/>
    <s v="PACK PG"/>
    <s v="Direct"/>
    <m/>
    <n v="1062"/>
    <s v="Mezzanine Level"/>
    <e v="#N/A"/>
    <m/>
    <s v="Blue Badge"/>
    <s v="Fletcher,Ella Jade"/>
    <m/>
    <m/>
    <m/>
    <n v="1"/>
    <s v="DXB5"/>
  </r>
  <r>
    <n v="108019725"/>
    <s v="stephsuh"/>
    <s v="Stephen Tante"/>
    <d v="2022-07-15T00:00:00"/>
    <s v="Regular"/>
    <s v="AUH1"/>
    <n v="1299"/>
    <s v="Day Shift"/>
    <s v="Sunday"/>
    <s v="Monday"/>
    <s v="FC Associate I"/>
    <s v="N"/>
    <x v="4"/>
    <d v="2024-08-20T00:00:00"/>
    <s v="Pick PG"/>
    <s v="Direct"/>
    <m/>
    <n v="1063"/>
    <s v="Mezzanine Level"/>
    <e v="#N/A"/>
    <m/>
    <s v="Blue Badge"/>
    <s v="Akeef,Mohammed"/>
    <m/>
    <m/>
    <m/>
    <n v="1"/>
    <s v="DXB5"/>
  </r>
  <r>
    <n v="103020246"/>
    <s v="CRAYMANA"/>
    <s v="Manalo,Christian Ray Joshua"/>
    <d v="2017-11-19T00:00:00"/>
    <s v="Regular"/>
    <s v="AUH1"/>
    <n v="1299"/>
    <s v="Day Shift"/>
    <s v="Sunday"/>
    <s v="Monday"/>
    <s v="Warehouse Associate"/>
    <s v="N"/>
    <x v="4"/>
    <d v="2024-08-20T00:00:00"/>
    <s v="Concessions"/>
    <s v="Direct"/>
    <m/>
    <n v="1048"/>
    <s v="Mezzanine Level"/>
    <e v="#N/A"/>
    <m/>
    <s v="Blue Badge"/>
    <s v="Amra Siddiqui"/>
    <m/>
    <m/>
    <m/>
    <n v="1"/>
    <s v="DXB3"/>
  </r>
  <r>
    <n v="109808051"/>
    <s v="huawais"/>
    <s v="Arif Hussain,Awais Ali"/>
    <d v="2022-11-10T00:00:00"/>
    <s v="Regular"/>
    <s v="AUH1"/>
    <n v="1299"/>
    <s v="Day Shift"/>
    <s v="Sunday"/>
    <s v="Monday"/>
    <s v="FC Associate I"/>
    <s v="N"/>
    <x v="4"/>
    <d v="2024-08-19T00:00:00"/>
    <s v="OB Problem Solve"/>
    <s v="Direct"/>
    <m/>
    <n v="1064"/>
    <s v="Mezzanine Level"/>
    <e v="#N/A"/>
    <m/>
    <s v="Blue Badge"/>
    <s v="Amra Siddiqui"/>
    <m/>
    <m/>
    <m/>
    <n v="1"/>
    <s v="DXB3"/>
  </r>
  <r>
    <n v="105443956"/>
    <s v="NAEEHAMZ"/>
    <s v="Naeem,Hamza Arif"/>
    <d v="2022-11-10T00:00:00"/>
    <s v="Regular"/>
    <s v="AUH1"/>
    <n v="1299"/>
    <s v="Day Shift"/>
    <s v="Monday"/>
    <s v="Tuesday"/>
    <s v="FC Associate I"/>
    <s v="N"/>
    <x v="4"/>
    <d v="2024-08-18T00:00:00"/>
    <s v="Pick PG"/>
    <s v="Direct"/>
    <m/>
    <n v="1054"/>
    <s v="Mezzanine Level"/>
    <e v="#N/A"/>
    <m/>
    <s v="Blue Badge"/>
    <s v="John Gergis"/>
    <m/>
    <m/>
    <m/>
    <n v="1"/>
    <s v="DXB3"/>
  </r>
  <r>
    <n v="103776227"/>
    <s v="javshahi"/>
    <s v="Shahid Javeed"/>
    <d v="2022-08-09T00:00:00"/>
    <s v="Regular"/>
    <s v="AUH1"/>
    <n v="1299"/>
    <s v="Day Shift"/>
    <s v="Wednesday"/>
    <s v="Thursday"/>
    <s v="FC Associate I"/>
    <s v="N"/>
    <x v="4"/>
    <d v="2024-08-18T00:00:00"/>
    <s v="Pick PG"/>
    <s v="Direct"/>
    <m/>
    <n v="1049"/>
    <s v="Mezzanine Level"/>
    <e v="#N/A"/>
    <m/>
    <s v="Blue Badge"/>
    <s v="Nachiket Chodankar"/>
    <m/>
    <m/>
    <m/>
    <n v="1"/>
    <s v="DXB3"/>
  </r>
  <r>
    <n v="106268302"/>
    <s v="qamzamur"/>
    <s v="Qamar,Zamurd Abbas"/>
    <d v="2022-10-05T00:00:00"/>
    <s v="Regular"/>
    <s v="AUH1"/>
    <n v="1299"/>
    <s v="Day Shift"/>
    <s v="Sunday"/>
    <s v="Monday"/>
    <s v="FC Associate I"/>
    <s v="N"/>
    <x v="4"/>
    <d v="2024-08-20T00:00:00"/>
    <s v="Sort PG"/>
    <s v="Direct"/>
    <m/>
    <n v="1060"/>
    <s v="Mezzanine Level"/>
    <e v="#N/A"/>
    <m/>
    <s v="Blue Badge"/>
    <s v="Amra Siddiqui"/>
    <m/>
    <m/>
    <m/>
    <n v="1"/>
    <s v="DXB3"/>
  </r>
  <r>
    <n v="102865830"/>
    <s v="ANVISHNU"/>
    <s v="Ani,Vishnu"/>
    <d v="2017-10-04T00:00:00"/>
    <s v="Regular"/>
    <s v="AUH1"/>
    <n v="1299"/>
    <s v="Day Shift"/>
    <s v="Sunday"/>
    <s v="Monday"/>
    <s v="Warehouse Associate"/>
    <s v="N"/>
    <x v="4"/>
    <d v="2024-08-20T00:00:00"/>
    <s v="Sort PG"/>
    <s v="Direct"/>
    <m/>
    <n v="1047"/>
    <s v="Mezzanine Level"/>
    <e v="#N/A"/>
    <m/>
    <s v="Blue Badge"/>
    <s v="John Gergis"/>
    <m/>
    <m/>
    <m/>
    <n v="1"/>
    <s v="DXB3"/>
  </r>
  <r>
    <n v="105444759"/>
    <s v="offeit"/>
    <s v="Offei,Theophilus Offei"/>
    <d v="2022-11-04T00:00:00"/>
    <s v="Regular"/>
    <s v="AUH1"/>
    <n v="1299"/>
    <s v="Day Shift"/>
    <s v="Friday"/>
    <s v="Saturday"/>
    <s v="FC Associate I"/>
    <s v="N"/>
    <x v="4"/>
    <d v="2024-08-18T00:00:00"/>
    <s v="VRET PG"/>
    <s v="Direct"/>
    <m/>
    <n v="1055"/>
    <s v="Mezzanine Level"/>
    <e v="#N/A"/>
    <m/>
    <s v="Blue Badge"/>
    <s v="Tom Wiersma"/>
    <m/>
    <m/>
    <m/>
    <n v="1"/>
    <s v="DXB3"/>
  </r>
  <r>
    <n v="106268180"/>
    <s v="amoheer"/>
    <s v="Sikander Ali,Moheer Ali"/>
    <d v="2022-10-27T00:00:00"/>
    <s v="Regular"/>
    <s v="AUH1"/>
    <n v="1299"/>
    <s v="Day Shift"/>
    <s v="Sunday"/>
    <s v="Monday"/>
    <s v="FC Associate I"/>
    <s v="N"/>
    <x v="4"/>
    <d v="2024-08-20T00:00:00"/>
    <s v="Sort PG"/>
    <s v="Direct"/>
    <m/>
    <n v="1058"/>
    <s v="Mezzanine Level"/>
    <e v="#N/A"/>
    <m/>
    <s v="Blue Badge"/>
    <s v="Nachiket Chodankar"/>
    <m/>
    <m/>
    <m/>
    <n v="1"/>
    <s v="DXB3"/>
  </r>
  <r>
    <n v="106262687"/>
    <s v="scarktin"/>
    <s v="Tino Scaria"/>
    <d v="2022-07-15T00:00:00"/>
    <s v="Regular"/>
    <s v="AUH1"/>
    <n v="1299"/>
    <s v="Day Shift"/>
    <s v="Saturday"/>
    <s v="Sunday"/>
    <s v="FC Associate I"/>
    <s v="N"/>
    <x v="4"/>
    <d v="2024-08-19T00:00:00"/>
    <s v="TSO PG"/>
    <s v="Direct"/>
    <m/>
    <n v="1057"/>
    <s v="Mezzanine Level"/>
    <e v="#N/A"/>
    <m/>
    <s v="Blue Badge"/>
    <s v="Fletcher,Ella Jade"/>
    <m/>
    <m/>
    <m/>
    <n v="1"/>
    <s v="DXB5"/>
  </r>
  <r>
    <n v="109808062"/>
    <s v="muhwasej"/>
    <s v="Muhammad Boota, Waseem Haider"/>
    <d v="2022-08-09T00:00:00"/>
    <s v="Regular"/>
    <s v="AUH1"/>
    <n v="1299"/>
    <s v="Day Shift"/>
    <s v="Tuesday"/>
    <s v="Wednesday"/>
    <s v="FC Associate I"/>
    <s v="N"/>
    <x v="4"/>
    <d v="2024-08-18T00:00:00"/>
    <s v="TSO PG"/>
    <s v="Direct"/>
    <m/>
    <n v="1065"/>
    <s v="Mezzanine Level"/>
    <e v="#N/A"/>
    <m/>
    <s v="Blue Badge"/>
    <s v="Fletcher,Ella Jade"/>
    <m/>
    <m/>
    <m/>
    <n v="1"/>
    <s v="DXB5"/>
  </r>
  <r>
    <n v="103868662"/>
    <s v="wmuhumai"/>
    <s v="Umair,Muhammad Muhammad"/>
    <d v="2022-10-05T00:00:00"/>
    <s v="Regular"/>
    <s v="AUH1"/>
    <n v="1299"/>
    <s v="Day Shift"/>
    <s v="Friday"/>
    <s v="Saturday"/>
    <s v="FC Associate I"/>
    <s v="N"/>
    <x v="4"/>
    <d v="2024-08-18T00:00:00"/>
    <s v="VRET PG"/>
    <s v="Direct"/>
    <m/>
    <n v="1050"/>
    <s v="Mezzanine Level"/>
    <e v="#N/A"/>
    <m/>
    <s v="Blue Badge"/>
    <s v="Amra Siddiqui"/>
    <m/>
    <m/>
    <m/>
    <n v="1"/>
    <s v="DXB3"/>
  </r>
  <r>
    <n v="108067922"/>
    <s v="fsseyar"/>
    <s v="Farrukh Seyar Muhammad Seyar"/>
    <d v="2022-06-16T00:00:00"/>
    <s v="Regular"/>
    <s v="AUH1"/>
    <n v="1182"/>
    <s v="Day Shift"/>
    <s v="Monday"/>
    <s v="Tuesday"/>
    <s v="FC Associate I"/>
    <s v="N"/>
    <x v="5"/>
    <d v="2024-08-18T00:00:00"/>
    <s v="Ship Clerk"/>
    <s v="Direct"/>
    <m/>
    <n v="67"/>
    <s v="Ground Level"/>
    <e v="#N/A"/>
    <m/>
    <s v="Blue Badge"/>
    <s v="Achraf Jarrari"/>
    <m/>
    <m/>
    <m/>
    <n v="1"/>
    <s v="DXB8"/>
  </r>
  <r>
    <n v="103058874"/>
    <s v="dcutand"/>
    <s v="Dennis Anon Cutanda"/>
    <d v="2017-10-16T00:00:00"/>
    <s v="Regular"/>
    <s v="AUH1"/>
    <n v="1182"/>
    <s v="Day Shift"/>
    <s v="Thursday"/>
    <s v="Friday"/>
    <s v="Logistics Assistant"/>
    <s v="N"/>
    <x v="5"/>
    <d v="2024-08-18T00:00:00"/>
    <s v="Ship Clerk"/>
    <s v="Direct"/>
    <m/>
    <n v="61"/>
    <s v="Ground Level"/>
    <e v="#N/A"/>
    <m/>
    <s v="Blue Badge"/>
    <s v="Naveed Saeed"/>
    <m/>
    <m/>
    <m/>
    <n v="1"/>
    <s v="DWC5"/>
  </r>
  <r>
    <n v="106268205"/>
    <s v="fahakhap"/>
    <s v="Khan,Fahad Afsar Afsar"/>
    <d v="2022-09-15T00:00:00"/>
    <s v="Regular"/>
    <s v="AUH1"/>
    <n v="1182"/>
    <s v="Day Shift"/>
    <s v="Thursday"/>
    <s v="Friday"/>
    <s v="FC Associate I"/>
    <s v="N"/>
    <x v="5"/>
    <d v="2024-08-18T00:00:00"/>
    <s v="Ship Clerk"/>
    <s v="Direct"/>
    <m/>
    <n v="66"/>
    <s v="Ground Level"/>
    <e v="#N/A"/>
    <m/>
    <s v="Blue Badge"/>
    <s v="Muyibat Yusuf"/>
    <m/>
    <m/>
    <m/>
    <n v="1"/>
    <s v="DWC5"/>
  </r>
  <r>
    <n v="105485458"/>
    <s v="alfazan"/>
    <s v="Faizan Ali"/>
    <d v="2022-06-16T00:00:00"/>
    <s v="Regular"/>
    <s v="AUH1"/>
    <n v="1182"/>
    <s v="Day Shift"/>
    <s v="Saturday"/>
    <s v="Sunday"/>
    <s v="FC Associate I"/>
    <s v="N"/>
    <x v="5"/>
    <d v="2024-08-19T00:00:00"/>
    <s v="Ship PG"/>
    <s v="Direct"/>
    <m/>
    <n v="64"/>
    <s v="Ground Level"/>
    <e v="#N/A"/>
    <m/>
    <s v="Blue Badge"/>
    <s v="Naveed Saeed"/>
    <m/>
    <m/>
    <m/>
    <n v="1"/>
    <s v="DWC5"/>
  </r>
  <r>
    <n v="103640429"/>
    <s v="nclearan"/>
    <s v="Clarence Forbit"/>
    <d v="2022-06-12T00:00:00"/>
    <s v="Regular"/>
    <s v="AUH1"/>
    <n v="1182"/>
    <s v="Day Shift"/>
    <s v="Tuesday"/>
    <s v="Wednesday"/>
    <s v="FC Associate I"/>
    <s v="N"/>
    <x v="5"/>
    <d v="2024-08-18T00:00:00"/>
    <s v="Ship PG"/>
    <s v="Direct"/>
    <m/>
    <n v="62"/>
    <s v="Ground Level"/>
    <e v="#N/A"/>
    <m/>
    <s v="Blue Badge"/>
    <s v="Ridwan Abolanle Balogun"/>
    <m/>
    <m/>
    <m/>
    <n v="1"/>
    <s v="DWC5"/>
  </r>
  <r>
    <n v="104042345"/>
    <s v="umerr"/>
    <s v="Umer Rasheed Ur Rehman Rasheed"/>
    <d v="2022-06-12T00:00:00"/>
    <s v="Regular"/>
    <s v="AUH1"/>
    <n v="1182"/>
    <s v="Day Shift"/>
    <s v="Friday"/>
    <s v="Saturday"/>
    <s v="Step up Lead"/>
    <s v="N"/>
    <x v="5"/>
    <d v="2024-08-18T00:00:00"/>
    <s v="Ship PG"/>
    <s v="Direct"/>
    <m/>
    <n v="63"/>
    <s v="Ground Level"/>
    <e v="#N/A"/>
    <m/>
    <s v="Blue Badge"/>
    <s v="Muyibat Yusuf"/>
    <m/>
    <m/>
    <m/>
    <n v="1"/>
    <s v="DWC5"/>
  </r>
  <r>
    <n v="102205688"/>
    <s v="cgeddam"/>
    <s v="Chiranjeevi Geddam"/>
    <d v="2017-05-13T00:00:00"/>
    <s v="Regular"/>
    <s v="AUH1"/>
    <n v="1182"/>
    <s v="Day Shift"/>
    <s v="Wednesday"/>
    <s v="Thursday"/>
    <s v="Logistics Assistant"/>
    <s v="N"/>
    <x v="5"/>
    <d v="2024-08-18T00:00:00"/>
    <s v="Ship Clerk"/>
    <s v="Direct"/>
    <m/>
    <n v="54"/>
    <s v="Ground Level"/>
    <e v="#N/A"/>
    <m/>
    <s v="Blue Badge"/>
    <s v="Naveed Saeed"/>
    <m/>
    <m/>
    <m/>
    <n v="1"/>
    <s v="DWC5"/>
  </r>
  <r>
    <n v="102981727"/>
    <s v="dlacap"/>
    <s v="Derick Lacap Dayrit"/>
    <d v="2017-11-01T00:00:00"/>
    <s v="Regular"/>
    <s v="AUH1"/>
    <n v="1182"/>
    <s v="Day Shift"/>
    <s v="Monday"/>
    <s v="Tuesday"/>
    <s v="Warehouse Associate"/>
    <s v="N"/>
    <x v="5"/>
    <d v="2024-08-18T00:00:00"/>
    <s v="Ship Clerk"/>
    <s v="Direct"/>
    <m/>
    <n v="94"/>
    <s v="Ground Level"/>
    <e v="#N/A"/>
    <m/>
    <s v="Blue Badge"/>
    <s v="Naveed Saeed"/>
    <m/>
    <m/>
    <m/>
    <n v="1"/>
    <s v="DWC5"/>
  </r>
  <r>
    <n v="102582351"/>
    <s v="kmokube"/>
    <s v="Kingsley Mokube Ikoe"/>
    <d v="2017-08-15T00:00:00"/>
    <s v="Regular"/>
    <s v="AUH1"/>
    <n v="1182"/>
    <s v="Day Shift"/>
    <s v="Saturday"/>
    <s v="Sunday"/>
    <s v="Logistics Assistant"/>
    <s v="N"/>
    <x v="5"/>
    <d v="2024-08-19T00:00:00"/>
    <s v="Ship PS"/>
    <s v="Direct"/>
    <m/>
    <n v="57"/>
    <s v="Ground Level"/>
    <e v="#N/A"/>
    <m/>
    <s v="Blue Badge"/>
    <s v="Muyibat Yusuf"/>
    <m/>
    <m/>
    <m/>
    <n v="1"/>
    <s v="DWC5"/>
  </r>
  <r>
    <n v="102206142"/>
    <s v="villaraz"/>
    <s v="Francis-Benedict Ubeda Villaraza"/>
    <d v="2017-05-13T00:00:00"/>
    <s v="Regular"/>
    <s v="AUH1"/>
    <n v="1182"/>
    <s v="Day Shift"/>
    <s v="Tuesday"/>
    <s v="Wednesday"/>
    <s v="Logistics Assistant"/>
    <s v="N"/>
    <x v="5"/>
    <d v="2024-08-18T00:00:00"/>
    <s v="TDR MARSHAL"/>
    <s v="Direct"/>
    <m/>
    <n v="56"/>
    <s v="Ground Level"/>
    <e v="#N/A"/>
    <m/>
    <s v="Blue Badge"/>
    <s v="Achraf Jarrari"/>
    <m/>
    <m/>
    <m/>
    <n v="1"/>
    <s v="DXB8"/>
  </r>
  <r>
    <n v="105545779"/>
    <s v="jemuelc"/>
    <s v="JEMUEL CORTEZ"/>
    <d v="2022-06-12T00:00:00"/>
    <s v="Regular"/>
    <s v="AUH1"/>
    <n v="1182"/>
    <s v="Day Shift"/>
    <s v="Thursday"/>
    <s v="Friday"/>
    <s v="FC Associate I"/>
    <s v="N"/>
    <x v="5"/>
    <d v="2024-08-18T00:00:00"/>
    <s v="TDR MARSHAL"/>
    <s v="Direct"/>
    <m/>
    <n v="65"/>
    <s v="Ground Level"/>
    <e v="#N/A"/>
    <m/>
    <s v="Blue Badge"/>
    <s v="Muyibat Yusuf"/>
    <m/>
    <m/>
    <m/>
    <n v="1"/>
    <s v="DWC5"/>
  </r>
  <r>
    <n v="102205690"/>
    <s v="rggeroni"/>
    <s v="Roland Magpantay Geronimo"/>
    <d v="2017-05-13T00:00:00"/>
    <s v="Regular"/>
    <s v="AUH1"/>
    <n v="1182"/>
    <s v="Day Shift"/>
    <s v="Monday"/>
    <s v="Tuesday"/>
    <s v="Logistics Assistant"/>
    <s v="N"/>
    <x v="5"/>
    <d v="2024-08-18T00:00:00"/>
    <s v="TDR MARSHAL"/>
    <s v="Direct"/>
    <m/>
    <n v="55"/>
    <s v="Ground Level"/>
    <e v="#N/A"/>
    <m/>
    <s v="Blue Badge"/>
    <s v="Ridwan Abolanle Balogun"/>
    <m/>
    <m/>
    <m/>
    <n v="1"/>
    <s v="DWC5"/>
  </r>
  <r>
    <n v="102582357"/>
    <s v="rikoe"/>
    <s v="Rudolf Ikoe Itoe"/>
    <d v="2017-08-15T00:00:00"/>
    <s v="Regular"/>
    <s v="AUH1"/>
    <n v="1182"/>
    <s v="Day Shift"/>
    <s v="Thursday"/>
    <s v="Friday"/>
    <s v="Logistics Assistant"/>
    <s v="N"/>
    <x v="5"/>
    <d v="2024-08-18T00:00:00"/>
    <s v="TDR MARSHAL"/>
    <s v="Direct"/>
    <m/>
    <n v="58"/>
    <s v="Ground Level"/>
    <e v="#N/A"/>
    <m/>
    <s v="Blue Badge"/>
    <s v="Achraf Jarrari"/>
    <m/>
    <m/>
    <m/>
    <n v="1"/>
    <s v="DXB8"/>
  </r>
  <r>
    <n v="102205553"/>
    <s v="skayikka"/>
    <s v="Sudheer Kumar Ayikkara Valappil"/>
    <d v="2017-05-13T00:00:00"/>
    <s v="Regular"/>
    <s v="AUH1"/>
    <n v="1182"/>
    <s v="Day Shift"/>
    <s v="Saturday"/>
    <s v="Sunday"/>
    <s v="Logistics Assistant"/>
    <s v="N"/>
    <x v="5"/>
    <d v="2024-08-19T00:00:00"/>
    <s v="Ship PS"/>
    <s v="Direct"/>
    <m/>
    <n v="53"/>
    <s v="Ground Level"/>
    <e v="#N/A"/>
    <m/>
    <s v="Blue Badge"/>
    <s v="Naveed Saeed"/>
    <m/>
    <m/>
    <m/>
    <n v="1"/>
    <s v="DWC5"/>
  </r>
  <r>
    <n v="203468743"/>
    <s v="abfsesay"/>
    <s v="Abu Sesay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68"/>
    <s v="Mezzanine Level"/>
    <e v="#N/A"/>
    <s v="Sierra Leone"/>
    <s v="Fastlink"/>
    <s v="tomwier"/>
    <m/>
    <m/>
    <m/>
    <n v="99"/>
    <s v="DXB3"/>
  </r>
  <r>
    <n v="203468752"/>
    <s v="temmaaku"/>
    <s v="Emmanuel Akuffo"/>
    <d v="2024-06-13T00:00:00"/>
    <s v="Temporary"/>
    <s v="AUH1"/>
    <n v="1299"/>
    <s v="Day Shift"/>
    <s v="Saturday"/>
    <s v="Sunday"/>
    <s v="Warehouse Associate (AUH)"/>
    <s v="N"/>
    <x v="4"/>
    <d v="2024-08-19T00:00:00"/>
    <s v="Pack"/>
    <s v="Direct"/>
    <m/>
    <n v="1075"/>
    <s v="Mezzanine Level"/>
    <e v="#N/A"/>
    <s v="Ghana"/>
    <s v="Fastlink"/>
    <s v="tomwier"/>
    <m/>
    <m/>
    <m/>
    <n v="99"/>
    <s v="DXB3"/>
  </r>
  <r>
    <n v="203468749"/>
    <s v="boademma"/>
    <s v="Emmanuel Boadi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072"/>
    <s v="Mezzanine Level"/>
    <e v="#N/A"/>
    <s v="Ghana"/>
    <s v="Fastlink"/>
    <s v="tomwier"/>
    <m/>
    <m/>
    <m/>
    <n v="99"/>
    <s v="DXB3"/>
  </r>
  <r>
    <n v="203468746"/>
    <s v="fdyeboah"/>
    <s v="Frederick Yeboah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70"/>
    <s v="Mezzanine Level"/>
    <e v="#N/A"/>
    <s v="Ghana"/>
    <s v="Fastlink"/>
    <s v="tomwier"/>
    <m/>
    <m/>
    <m/>
    <n v="99"/>
    <s v="DXB3"/>
  </r>
  <r>
    <n v="203468748"/>
    <s v="grahamuc"/>
    <s v="Graham Muchinikila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071"/>
    <s v="Mezzanine Level"/>
    <e v="#N/A"/>
    <s v="Zambia"/>
    <s v="Fastlink"/>
    <s v="tomwier"/>
    <m/>
    <m/>
    <m/>
    <n v="99"/>
    <s v="DXB3"/>
  </r>
  <r>
    <n v="203468745"/>
    <s v="otooibra"/>
    <s v="Ibrahim Otoo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069"/>
    <s v="Mezzanine Level"/>
    <e v="#N/A"/>
    <s v="Ghana"/>
    <s v="Fastlink"/>
    <s v="tomwier"/>
    <m/>
    <m/>
    <m/>
    <n v="99"/>
    <s v="DXB3"/>
  </r>
  <r>
    <n v="203468750"/>
    <s v="enleopol"/>
    <s v="Leopold Ntong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073"/>
    <s v="Mezzanine Level"/>
    <e v="#N/A"/>
    <s v="Cameroon"/>
    <s v="Fastlink"/>
    <s v="tomwier"/>
    <m/>
    <m/>
    <m/>
    <n v="99"/>
    <s v="DXB3"/>
  </r>
  <r>
    <n v="203468753"/>
    <s v="lintawia"/>
    <s v="Linda Tawiah"/>
    <d v="2024-06-13T00:00:00"/>
    <s v="Temporary"/>
    <s v="AUH1"/>
    <n v="1299"/>
    <s v="Day Shift"/>
    <s v="Monday"/>
    <s v="Tuesday"/>
    <s v="Warehouse Associate (AUH)"/>
    <s v="N"/>
    <x v="4"/>
    <d v="2024-08-18T00:00:00"/>
    <s v="Pack"/>
    <s v="Direct"/>
    <m/>
    <n v="1530"/>
    <s v="Mezzanine Level"/>
    <e v="#N/A"/>
    <s v="Ghana"/>
    <s v="Fastlink"/>
    <s v="tomwier"/>
    <m/>
    <m/>
    <m/>
    <n v="99"/>
    <s v="DXB3"/>
  </r>
  <r>
    <n v="203468747"/>
    <s v="reginkum"/>
    <s v="Regina Afua Kumi"/>
    <d v="2024-06-13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531"/>
    <s v="Mezzanine Level"/>
    <e v="#N/A"/>
    <s v="Ghana"/>
    <s v="Fastlink"/>
    <s v="tomwier"/>
    <m/>
    <m/>
    <m/>
    <n v="99"/>
    <s v="DXB3"/>
  </r>
  <r>
    <n v="203468744"/>
    <s v="shadrkwa"/>
    <s v="Shadrack Kwarteng"/>
    <d v="2024-06-13T00:00:00"/>
    <s v="Temporary"/>
    <s v="AUH1"/>
    <n v="1299"/>
    <s v="Day Shift"/>
    <s v="Saturday"/>
    <s v="Sunday"/>
    <s v="Warehouse Associate (AUH)"/>
    <s v="N"/>
    <x v="4"/>
    <d v="2024-08-19T00:00:00"/>
    <s v="Pack"/>
    <s v="Direct"/>
    <m/>
    <n v="1082"/>
    <s v="Mezzanine Level"/>
    <e v="#N/A"/>
    <s v="Ghana"/>
    <s v="Fastlink"/>
    <s v="tomwier"/>
    <m/>
    <m/>
    <m/>
    <n v="99"/>
    <s v="DXB3"/>
  </r>
  <r>
    <n v="203512948"/>
    <s v="yendbism"/>
    <s v="Bismark Yendaw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091"/>
    <s v="Mezzanine Level"/>
    <e v="#N/A"/>
    <s v="Ghana"/>
    <s v="Fastlink"/>
    <s v="sidamra"/>
    <m/>
    <m/>
    <m/>
    <n v="99"/>
    <s v="DXB3"/>
  </r>
  <r>
    <n v="203512670"/>
    <s v="brmusanz"/>
    <s v="Brenda Musanzika"/>
    <d v="2024-06-20T00:00:00"/>
    <s v="Temporary"/>
    <s v="AUH1"/>
    <n v="1299"/>
    <s v="Day Shift"/>
    <s v="Friday"/>
    <s v="Saturday"/>
    <s v="Warehouse Associate (AUH)"/>
    <s v="N"/>
    <x v="4"/>
    <d v="2024-08-18T00:00:00"/>
    <s v="Pack"/>
    <s v="Direct"/>
    <m/>
    <n v="1536"/>
    <s v="Mezzanine Level"/>
    <e v="#N/A"/>
    <s v="Uganda"/>
    <s v="Fastlink"/>
    <s v="sidamra"/>
    <m/>
    <m/>
    <m/>
    <n v="99"/>
    <s v="DXB3"/>
  </r>
  <r>
    <n v="203512662"/>
    <s v="hapchefu"/>
    <s v="Happy Che Funeh Ngwabineh"/>
    <d v="2024-06-20T00:00:00"/>
    <s v="Temporary"/>
    <s v="AUH1"/>
    <n v="1299"/>
    <s v="Day Shift"/>
    <s v="Saturday"/>
    <s v="Sunday"/>
    <s v="Warehouse Associate (AUH)"/>
    <s v="N"/>
    <x v="4"/>
    <d v="2024-08-19T00:00:00"/>
    <s v="Pack"/>
    <s v="Direct"/>
    <m/>
    <n v="1083"/>
    <s v="Mezzanine Level"/>
    <e v="#N/A"/>
    <s v="Cameroon"/>
    <s v="Fastlink"/>
    <s v="sidamra"/>
    <m/>
    <m/>
    <m/>
    <n v="99"/>
    <s v="DXB3"/>
  </r>
  <r>
    <n v="203512949"/>
    <s v="hnkansah"/>
    <s v="Harriet Anto Nkansah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41"/>
    <s v="Mezzanine Level"/>
    <e v="#N/A"/>
    <s v="Ghana"/>
    <s v="Fastlink"/>
    <s v="sidamra"/>
    <m/>
    <m/>
    <m/>
    <n v="99"/>
    <s v="DXB3"/>
  </r>
  <r>
    <n v="203512666"/>
    <s v="ykwadwoj"/>
    <s v="Joseph Sunkwa Kwadwo"/>
    <d v="2024-06-20T00:00:00"/>
    <s v="Temporary"/>
    <s v="AUH1"/>
    <n v="1299"/>
    <s v="Day Shift"/>
    <s v="Thursday"/>
    <s v="Friday"/>
    <s v="Warehouse Associate (AUH)"/>
    <s v="N"/>
    <x v="4"/>
    <d v="2024-08-18T00:00:00"/>
    <s v="Pack"/>
    <s v="Direct"/>
    <m/>
    <n v="1086"/>
    <s v="Mezzanine Level"/>
    <e v="#N/A"/>
    <s v="Ghana"/>
    <s v="Fastlink"/>
    <s v="sidamra"/>
    <m/>
    <m/>
    <m/>
    <n v="99"/>
    <s v="DXB3"/>
  </r>
  <r>
    <n v="203512669"/>
    <s v="justicyi"/>
    <s v="Justice Mimba Yin"/>
    <d v="2024-06-20T00:00:00"/>
    <s v="Temporary"/>
    <s v="AUH1"/>
    <n v="1299"/>
    <s v="Day Shift"/>
    <s v="Tuesday"/>
    <s v="Wednesday"/>
    <s v="Warehouse Associate (AUH)"/>
    <s v="N"/>
    <x v="4"/>
    <d v="2024-08-18T00:00:00"/>
    <s v="Pack"/>
    <s v="Direct"/>
    <m/>
    <n v="1088"/>
    <s v="Mezzanine Level"/>
    <e v="#N/A"/>
    <s v="Ghana"/>
    <s v="Fastlink"/>
    <s v="sidamra"/>
    <m/>
    <m/>
    <m/>
    <n v="99"/>
    <s v="DXB3"/>
  </r>
  <r>
    <n v="203512951"/>
    <s v="samargrl"/>
    <s v="Margretta Teta Saytue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543"/>
    <s v="Mezzanine Level"/>
    <e v="#N/A"/>
    <s v="Liberia"/>
    <s v="Fastlink"/>
    <s v="sidamra"/>
    <m/>
    <m/>
    <m/>
    <n v="99"/>
    <s v="DXB3"/>
  </r>
  <r>
    <n v="203512663"/>
    <s v="nimubvum"/>
    <s v="Nigel Tanatswa Mubvumba"/>
    <d v="2024-06-20T00:00:00"/>
    <s v="Temporary"/>
    <s v="AUH1"/>
    <n v="1299"/>
    <s v="Day Shift"/>
    <s v="Sunday"/>
    <s v="Monday"/>
    <s v="Warehouse Associate (AUH)"/>
    <s v="N"/>
    <x v="4"/>
    <d v="2024-08-20T00:00:00"/>
    <s v="Pack"/>
    <s v="Direct"/>
    <m/>
    <n v="1084"/>
    <s v="Mezzanine Level"/>
    <e v="#N/A"/>
    <s v="Zimbabwe"/>
    <s v="Fastlink"/>
    <s v="sidamra"/>
    <m/>
    <m/>
    <m/>
    <n v="99"/>
    <s v="DXB3"/>
  </r>
  <r>
    <n v="203512947"/>
    <s v="etamarac"/>
    <s v="Rachael Motto Etama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40"/>
    <s v="Mezzanine Level"/>
    <e v="#N/A"/>
    <s v="Cameroon"/>
    <s v="Fastlink"/>
    <s v="sidamra"/>
    <m/>
    <m/>
    <m/>
    <n v="99"/>
    <s v="DXB3"/>
  </r>
  <r>
    <n v="203512952"/>
    <s v="takmorri"/>
    <s v="Takudzwa Morris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092"/>
    <s v="Mezzanine Level"/>
    <e v="#N/A"/>
    <s v="Zimbabwe"/>
    <s v="Fastlink"/>
    <s v="sidamra"/>
    <m/>
    <m/>
    <m/>
    <n v="99"/>
    <s v="DXB3"/>
  </r>
  <r>
    <n v="203514412"/>
    <s v="mayisyak"/>
    <s v="Ayishetu Yakubu"/>
    <d v="2024-06-20T00:00:00"/>
    <s v="Temporary"/>
    <s v="AUH1"/>
    <n v="1299"/>
    <s v="Day Shift"/>
    <s v="Wednesday"/>
    <s v="Thursday"/>
    <s v="Warehouse Associate (AUH)"/>
    <s v="N"/>
    <x v="4"/>
    <d v="2024-08-18T00:00:00"/>
    <s v="Pick"/>
    <s v="Direct"/>
    <m/>
    <n v="1546"/>
    <s v="Mezzanine Level"/>
    <e v="#N/A"/>
    <s v="Ghana"/>
    <s v="Fastlink"/>
    <s v="sidamra"/>
    <m/>
    <m/>
    <m/>
    <n v="99"/>
    <s v="DXB3"/>
  </r>
  <r>
    <n v="203513810"/>
    <s v="bradonku"/>
    <s v="Bradon Bin Kum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093"/>
    <s v="Mezzanine Level"/>
    <e v="#N/A"/>
    <s v="Ghana"/>
    <s v="Fastlink"/>
    <s v="sidamra"/>
    <m/>
    <m/>
    <m/>
    <n v="99"/>
    <s v="DXB3"/>
  </r>
  <r>
    <n v="203514419"/>
    <s v="frimptel"/>
    <s v="Elijah Frimpong"/>
    <d v="2024-06-20T00:00:00"/>
    <s v="Temporary"/>
    <s v="AUH1"/>
    <n v="1299"/>
    <s v="Day Shift"/>
    <s v="Wednesday"/>
    <s v="Thursday"/>
    <s v="Warehouse Associate (AUH)"/>
    <s v="N"/>
    <x v="4"/>
    <d v="2024-08-18T00:00:00"/>
    <s v="Pick"/>
    <s v="Direct"/>
    <m/>
    <n v="1094"/>
    <s v="Mezzanine Level"/>
    <e v="#N/A"/>
    <s v="Ghana"/>
    <s v="Fastlink"/>
    <s v="sidamra"/>
    <m/>
    <m/>
    <m/>
    <n v="99"/>
    <s v="DXB3"/>
  </r>
  <r>
    <n v="203514420"/>
    <s v="halnkwak"/>
    <s v="Halirou Ndafangho Nkwanui"/>
    <d v="2024-06-20T00:00:00"/>
    <s v="Temporary"/>
    <s v="AUH1"/>
    <n v="1299"/>
    <s v="Day Shift"/>
    <s v="Friday"/>
    <s v="Saturday"/>
    <s v="Warehouse Associate (AUH)"/>
    <s v="N"/>
    <x v="4"/>
    <d v="2024-08-18T00:00:00"/>
    <s v="Pick"/>
    <s v="Direct"/>
    <m/>
    <n v="1095"/>
    <s v="Mezzanine Level"/>
    <e v="#N/A"/>
    <s v="Cameroon"/>
    <s v="Fastlink"/>
    <s v="sidamra"/>
    <m/>
    <m/>
    <m/>
    <n v="99"/>
    <s v="DXB3"/>
  </r>
  <r>
    <n v="203512945"/>
    <s v="nsamelet"/>
    <s v="Leticia Diale Nsame"/>
    <d v="2024-06-20T00:00:00"/>
    <s v="Temporary"/>
    <s v="AUH1"/>
    <n v="1299"/>
    <s v="Day Shift"/>
    <s v="Monday"/>
    <s v="Tuesday"/>
    <s v="Warehouse Associate (AUH)"/>
    <s v="N"/>
    <x v="4"/>
    <d v="2024-08-18T00:00:00"/>
    <s v="Pick"/>
    <s v="Direct"/>
    <m/>
    <n v="1538"/>
    <s v="Mezzanine Level"/>
    <e v="#N/A"/>
    <s v="Cameroon"/>
    <s v="Fastlink"/>
    <s v="sidamra"/>
    <m/>
    <m/>
    <m/>
    <n v="99"/>
    <s v="DXB3"/>
  </r>
  <r>
    <n v="203512950"/>
    <s v="taneriss"/>
    <s v="Nerissa Tahuwona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42"/>
    <s v="Mezzanine Level"/>
    <e v="#N/A"/>
    <s v="Zimbabwe"/>
    <s v="Fastlink"/>
    <s v="sidamra"/>
    <m/>
    <m/>
    <m/>
    <n v="99"/>
    <s v="DXB3"/>
  </r>
  <r>
    <n v="203512944"/>
    <s v="nyajeser"/>
    <s v="Nyashadzashe Fidelis Jesero"/>
    <d v="2024-06-20T00:00:00"/>
    <s v="Temporary"/>
    <s v="AUH1"/>
    <n v="1299"/>
    <s v="Day Shift"/>
    <s v="Friday"/>
    <s v="Saturday"/>
    <s v="Warehouse Associate (AUH)"/>
    <s v="N"/>
    <x v="4"/>
    <d v="2024-08-18T00:00:00"/>
    <s v="Pick"/>
    <s v="Direct"/>
    <m/>
    <n v="1090"/>
    <s v="Mezzanine Level"/>
    <e v="#N/A"/>
    <s v="Zimbabwe"/>
    <s v="Fastlink"/>
    <s v="sidamra"/>
    <m/>
    <m/>
    <m/>
    <n v="99"/>
    <s v="DXB3"/>
  </r>
  <r>
    <n v="203512946"/>
    <s v="priszmaw"/>
    <s v="Priscilla Mawusi"/>
    <d v="2024-06-20T00:00:00"/>
    <s v="Temporary"/>
    <s v="AUH1"/>
    <n v="1299"/>
    <s v="Day Shift"/>
    <s v="Thursday"/>
    <s v="Friday"/>
    <s v="Warehouse Associate (AUH)"/>
    <s v="N"/>
    <x v="4"/>
    <d v="2024-08-18T00:00:00"/>
    <s v="Pick"/>
    <s v="Direct"/>
    <m/>
    <n v="1539"/>
    <s v="Mezzanine Level"/>
    <e v="#N/A"/>
    <s v="Ghana"/>
    <s v="Fastlink"/>
    <s v="sidamra"/>
    <m/>
    <m/>
    <m/>
    <n v="99"/>
    <s v="DXB3"/>
  </r>
  <r>
    <n v="203512943"/>
    <s v="cshingai"/>
    <s v="Shingai Chinaa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089"/>
    <s v="Mezzanine Level"/>
    <e v="#N/A"/>
    <s v="Zimbabwe"/>
    <s v="Fastlink"/>
    <s v="sidamra"/>
    <m/>
    <m/>
    <m/>
    <n v="99"/>
    <s v="DXB3"/>
  </r>
  <r>
    <n v="203512964"/>
    <s v="adjsusan"/>
    <s v="Susana Adjei"/>
    <d v="2024-06-20T00:00:00"/>
    <s v="Temporary"/>
    <s v="AUH1"/>
    <n v="1299"/>
    <s v="Day Shift"/>
    <s v="Tuesday"/>
    <s v="Wednesday"/>
    <s v="Warehouse Associate (AUH)"/>
    <s v="N"/>
    <x v="4"/>
    <d v="2024-08-18T00:00:00"/>
    <s v="Pick"/>
    <s v="Direct"/>
    <m/>
    <n v="1545"/>
    <s v="Mezzanine Level"/>
    <e v="#N/A"/>
    <s v="Ghana"/>
    <s v="Fastlink"/>
    <s v="sidamra"/>
    <m/>
    <m/>
    <m/>
    <n v="99"/>
    <s v="DXB3"/>
  </r>
  <r>
    <n v="203512664"/>
    <s v="mbafadel"/>
    <s v="Adeline Mbafack"/>
    <d v="2024-06-20T00:00:00"/>
    <s v="Temporary"/>
    <s v="AUH1"/>
    <n v="1299"/>
    <s v="Day Shift"/>
    <s v="Thursday"/>
    <s v="Friday"/>
    <s v="Warehouse Associate (AUH)"/>
    <s v="N"/>
    <x v="4"/>
    <d v="2024-08-18T00:00:00"/>
    <s v="Rebin"/>
    <s v="Direct"/>
    <m/>
    <n v="1533"/>
    <s v="Mezzanine Level"/>
    <e v="#N/A"/>
    <s v="Cameroon"/>
    <s v="Fastlink"/>
    <s v="sidamra"/>
    <m/>
    <m/>
    <m/>
    <n v="99"/>
    <s v="DXB3"/>
  </r>
  <r>
    <n v="203512667"/>
    <s v="bimbrend"/>
    <s v="Brenda Nkuo Bih"/>
    <d v="2024-06-20T00:00:00"/>
    <s v="Temporary"/>
    <s v="AUH1"/>
    <n v="1299"/>
    <s v="Day Shift"/>
    <s v="Sunday"/>
    <s v="Monday"/>
    <s v="Warehouse Associate (AUH)"/>
    <s v="N"/>
    <x v="4"/>
    <d v="2024-08-20T00:00:00"/>
    <s v="Rebin"/>
    <s v="Direct"/>
    <m/>
    <n v="1535"/>
    <s v="Mezzanine Level"/>
    <e v="#N/A"/>
    <s v="Cameroon"/>
    <s v="Fastlink"/>
    <s v="sidamra"/>
    <m/>
    <m/>
    <m/>
    <n v="99"/>
    <s v="DXB3"/>
  </r>
  <r>
    <n v="203512665"/>
    <s v="atuahech"/>
    <s v="Christiana Atuahene"/>
    <d v="2024-06-20T00:00:00"/>
    <s v="Temporary"/>
    <s v="AUH1"/>
    <n v="1299"/>
    <s v="Day Shift"/>
    <s v="Friday"/>
    <s v="Saturday"/>
    <s v="Warehouse Associate (AUH)"/>
    <s v="N"/>
    <x v="4"/>
    <d v="2024-08-18T00:00:00"/>
    <s v="Rebin"/>
    <s v="Direct"/>
    <m/>
    <n v="1534"/>
    <s v="Mezzanine Level"/>
    <e v="#N/A"/>
    <s v="Ghana"/>
    <s v="Fastlink"/>
    <s v="sidamra"/>
    <m/>
    <m/>
    <m/>
    <n v="99"/>
    <s v="DXB3"/>
  </r>
  <r>
    <n v="203512671"/>
    <s v="mbehclau"/>
    <s v="Claudette Nkobo Mbeh"/>
    <d v="2024-06-20T00:00:00"/>
    <s v="Temporary"/>
    <s v="AUH1"/>
    <n v="1299"/>
    <s v="Day Shift"/>
    <s v="Wednesday"/>
    <s v="Thursday"/>
    <s v="Warehouse Associate (AUH)"/>
    <s v="N"/>
    <x v="4"/>
    <d v="2024-08-18T00:00:00"/>
    <s v="Rebin"/>
    <s v="Direct"/>
    <m/>
    <n v="1537"/>
    <s v="Mezzanine Level"/>
    <e v="#N/A"/>
    <s v="Cameroon"/>
    <s v="Fastlink"/>
    <s v="sidamra"/>
    <m/>
    <m/>
    <m/>
    <n v="99"/>
    <s v="DXB3"/>
  </r>
  <r>
    <n v="203512668"/>
    <s v="henredws"/>
    <s v="Henry Nii Yemoh Edwards"/>
    <d v="2024-06-20T00:00:00"/>
    <s v="Temporary"/>
    <s v="AUH1"/>
    <n v="1299"/>
    <s v="Day Shift"/>
    <s v="Thursday"/>
    <s v="Friday"/>
    <s v="Warehouse Associate (AUH)"/>
    <s v="N"/>
    <x v="4"/>
    <d v="2024-08-18T00:00:00"/>
    <s v="Rebin"/>
    <s v="Direct"/>
    <m/>
    <n v="1087"/>
    <s v="Mezzanine Level"/>
    <e v="#N/A"/>
    <s v="Ghana"/>
    <s v="Fastlink"/>
    <s v="sidamra"/>
    <m/>
    <m/>
    <m/>
    <n v="99"/>
    <s v="DXB3"/>
  </r>
  <r>
    <n v="203521656"/>
    <s v="mzingand"/>
    <s v="Mzingaye Arnold Ndlovu"/>
    <d v="2024-06-20T00:00:00"/>
    <s v="Temporary"/>
    <s v="AUH1"/>
    <n v="1299"/>
    <s v="Day Shift"/>
    <s v="Monday"/>
    <s v="Tuesday"/>
    <s v="Warehouse Associate (AUH)"/>
    <s v="N"/>
    <x v="4"/>
    <d v="2024-08-18T00:00:00"/>
    <s v="Pick"/>
    <s v="Direct"/>
    <m/>
    <n v="1097"/>
    <s v="Mezzanine Level"/>
    <e v="#N/A"/>
    <s v="Zimbabwe"/>
    <s v="Fastlink"/>
    <s v="akeefmoh"/>
    <m/>
    <m/>
    <m/>
    <n v="99"/>
    <s v="DXB5"/>
  </r>
  <r>
    <n v="203521655"/>
    <s v="umabrigh"/>
    <s v="Bright Marufiya"/>
    <d v="2024-06-20T00:00:00"/>
    <s v="Temporary"/>
    <s v="AUH1"/>
    <n v="1299"/>
    <s v="Day Shift"/>
    <s v="Monday"/>
    <s v="Tuesday"/>
    <s v="Warehouse Associate (AUH)"/>
    <s v="N"/>
    <x v="4"/>
    <d v="2024-08-18T00:00:00"/>
    <s v="Pick"/>
    <s v="Direct"/>
    <m/>
    <n v="1096"/>
    <s v="Mezzanine Level"/>
    <e v="#N/A"/>
    <s v="Ghana"/>
    <s v="Fastlink"/>
    <s v="akeefmoh"/>
    <m/>
    <m/>
    <m/>
    <n v="99"/>
    <s v="DXB5"/>
  </r>
  <r>
    <n v="203521658"/>
    <s v="zsaopoku"/>
    <s v="Samuel Opoku"/>
    <d v="2024-06-20T00:00:00"/>
    <s v="Temporary"/>
    <s v="AUH1"/>
    <n v="1299"/>
    <s v="Day Shift"/>
    <s v="Friday"/>
    <s v="Saturday"/>
    <s v="Warehouse Associate (AUH)"/>
    <s v="N"/>
    <x v="4"/>
    <d v="2024-08-18T00:00:00"/>
    <s v="Pick"/>
    <s v="Direct"/>
    <m/>
    <n v="1109"/>
    <s v="Mezzanine Level"/>
    <e v="#N/A"/>
    <s v="Ghana"/>
    <s v="Fastlink"/>
    <s v="akeefmoh"/>
    <m/>
    <m/>
    <m/>
    <n v="99"/>
    <s v="DXB5"/>
  </r>
  <r>
    <n v="203513498"/>
    <s v="ocshadra"/>
    <s v="Shadrack Otoo"/>
    <d v="2024-06-20T00:00:00"/>
    <s v="Temporary"/>
    <s v="AUH1"/>
    <n v="1181"/>
    <s v="Day Shift"/>
    <s v="Thursday"/>
    <s v="Friday"/>
    <s v="Warehouse Associate (AUH)"/>
    <s v="N"/>
    <x v="5"/>
    <d v="2024-08-18T00:00:00"/>
    <s v="Manual Sort"/>
    <s v="Direct"/>
    <m/>
    <n v="70"/>
    <s v="Ground Level"/>
    <e v="#N/A"/>
    <s v="Ghana"/>
    <s v="Fastlink"/>
    <s v="saladimz"/>
    <m/>
    <m/>
    <m/>
    <n v="99"/>
    <s v="DXB8"/>
  </r>
  <r>
    <n v="203513497"/>
    <s v="frimpofe"/>
    <s v="Felix Frimpong"/>
    <d v="2024-06-20T00:00:00"/>
    <s v="Temporary"/>
    <s v="AUH1"/>
    <n v="1181"/>
    <s v="Day Shift"/>
    <s v="Tuesday"/>
    <s v="Wednesday"/>
    <s v="Warehouse Associate (AUH)"/>
    <s v="N"/>
    <x v="5"/>
    <d v="2024-08-18T00:00:00"/>
    <s v="Manual Sort"/>
    <s v="Direct"/>
    <m/>
    <n v="69"/>
    <s v="Ground Level"/>
    <e v="#N/A"/>
    <s v="Ghana"/>
    <s v="Fastlink"/>
    <s v="saladimz"/>
    <m/>
    <m/>
    <m/>
    <n v="99"/>
    <s v="DXB8"/>
  </r>
  <r>
    <n v="203513499"/>
    <s v="aboagyra"/>
    <s v="Raphael Osei Aboagye"/>
    <d v="2024-06-20T00:00:00"/>
    <s v="Temporary"/>
    <s v="AUH1"/>
    <n v="1181"/>
    <s v="Day Shift"/>
    <s v="Thursday"/>
    <s v="Friday"/>
    <s v="Warehouse Associate (AUH)"/>
    <s v="N"/>
    <x v="5"/>
    <d v="2024-08-18T00:00:00"/>
    <s v="Manual Sort"/>
    <s v="Direct"/>
    <m/>
    <n v="71"/>
    <s v="Ground Level"/>
    <e v="#N/A"/>
    <s v="Ghana"/>
    <s v="Fastlink"/>
    <s v="saladimz"/>
    <m/>
    <m/>
    <m/>
    <n v="99"/>
    <s v="DXB8"/>
  </r>
  <r>
    <n v="203513399"/>
    <s v="ampsheil"/>
    <s v="Sheila Yeboah Ampene"/>
    <d v="2024-06-20T00:00:00"/>
    <s v="Temporary"/>
    <s v="AUH1"/>
    <n v="1181"/>
    <s v="Day Shift"/>
    <s v="Sunday"/>
    <s v="Monday"/>
    <s v="Warehouse Associate (AUH)"/>
    <s v="N"/>
    <x v="5"/>
    <d v="2024-08-19T00:00:00"/>
    <s v="Manual Sort"/>
    <s v="Direct"/>
    <m/>
    <n v="524"/>
    <s v="Ground Level"/>
    <e v="#N/A"/>
    <s v="Ghana"/>
    <s v="Fastlink"/>
    <s v="gylrdg"/>
    <m/>
    <m/>
    <m/>
    <n v="99"/>
    <s v="DXB8"/>
  </r>
  <r>
    <n v="203513400"/>
    <s v="kmintahe"/>
    <s v="Evans Mintah"/>
    <d v="2024-06-20T00:00:00"/>
    <s v="Temporary"/>
    <s v="AUH1"/>
    <n v="1181"/>
    <s v="Day Shift"/>
    <s v="Saturday"/>
    <s v="Sunday"/>
    <s v="Warehouse Associate (AUH)"/>
    <s v="N"/>
    <x v="5"/>
    <d v="2024-08-19T00:00:00"/>
    <s v="Manual Sort"/>
    <s v="Direct"/>
    <m/>
    <n v="68"/>
    <s v="Ground Level"/>
    <e v="#N/A"/>
    <s v="Ghana"/>
    <s v="Fastlink"/>
    <s v="gylrdg"/>
    <m/>
    <m/>
    <m/>
    <n v="99"/>
    <s v="DXB8"/>
  </r>
  <r>
    <n v="203555153"/>
    <s v="naepatie"/>
    <s v="Patience Oduro Kyeremaa"/>
    <d v="2024-06-27T00:00:00"/>
    <s v="Temporary"/>
    <s v="AUH1"/>
    <n v="1181"/>
    <s v="Day Shift"/>
    <s v="Friday"/>
    <s v="Saturday"/>
    <s v="Warehouse Associate (AUH)"/>
    <s v="N"/>
    <x v="5"/>
    <d v="2024-08-18T00:00:00"/>
    <s v="Manual Sort"/>
    <s v="Direct"/>
    <m/>
    <n v="520"/>
    <s v="Ground Level"/>
    <e v="#N/A"/>
    <s v="Ghana"/>
    <s v="Fastlink"/>
    <s v="pwnichol"/>
    <m/>
    <m/>
    <m/>
    <n v="99"/>
    <s v="DXB8"/>
  </r>
  <r>
    <n v="203555156"/>
    <s v="consboam"/>
    <s v="Constance Konadu Boamah"/>
    <d v="2024-06-27T00:00:00"/>
    <s v="Temporary"/>
    <s v="AUH1"/>
    <n v="1181"/>
    <s v="Day Shift"/>
    <s v="Friday"/>
    <s v="Saturday"/>
    <s v="Warehouse Associate (AUH)"/>
    <s v="N"/>
    <x v="5"/>
    <d v="2024-08-18T00:00:00"/>
    <s v="Manual Sort"/>
    <s v="Direct"/>
    <m/>
    <n v="521"/>
    <s v="Ground Level"/>
    <e v="#N/A"/>
    <s v="Ghana"/>
    <s v="Fastlink"/>
    <s v="pwnichol"/>
    <m/>
    <m/>
    <m/>
    <n v="99"/>
    <s v="DXB8"/>
  </r>
  <r>
    <n v="203555155"/>
    <s v="juntataw"/>
    <s v="Junita Mejumeh Tataw"/>
    <d v="2024-06-27T00:00:00"/>
    <s v="Temporary"/>
    <s v="AUH1"/>
    <n v="1181"/>
    <s v="Day Shift"/>
    <s v="Monday"/>
    <s v="Tuesday"/>
    <s v="Warehouse Associate (AUH)"/>
    <s v="N"/>
    <x v="5"/>
    <d v="2024-08-18T00:00:00"/>
    <s v="Manual Sort"/>
    <s v="Direct"/>
    <m/>
    <n v="522"/>
    <s v="Ground Level"/>
    <e v="#N/A"/>
    <s v="Ghana"/>
    <s v="Fastlink"/>
    <s v="pwnichol"/>
    <m/>
    <m/>
    <m/>
    <n v="99"/>
    <s v="DXB8"/>
  </r>
  <r>
    <n v="203555224"/>
    <s v="beryllin"/>
    <s v="Berylline Naa Ayeley Okine"/>
    <d v="2024-06-27T00:00:00"/>
    <s v="Temporary"/>
    <s v="AUH1"/>
    <n v="1181"/>
    <s v="Day Shift"/>
    <s v="Tuesday"/>
    <s v="Wednesday"/>
    <s v="Warehouse Associate (AUH)"/>
    <s v="N"/>
    <x v="5"/>
    <d v="2024-08-18T00:00:00"/>
    <s v="Manual Sort"/>
    <s v="Direct"/>
    <m/>
    <n v="518"/>
    <s v="Ground Level"/>
    <e v="#N/A"/>
    <s v="Ghana"/>
    <s v="Fastlink"/>
    <s v="gylrdg"/>
    <m/>
    <m/>
    <m/>
    <n v="99"/>
    <s v="DXB8"/>
  </r>
  <r>
    <n v="203555208"/>
    <s v="kyerewpa"/>
    <s v="Patience Anuomena Nangku"/>
    <d v="2024-06-27T00:00:00"/>
    <s v="Temporary"/>
    <s v="AUH1"/>
    <n v="1181"/>
    <s v="Day Shift"/>
    <s v="Sunday"/>
    <s v="Monday"/>
    <s v="Warehouse Associate (AUH)"/>
    <s v="N"/>
    <x v="5"/>
    <d v="2024-08-20T00:00:00"/>
    <s v="Manual Sort"/>
    <s v="Direct"/>
    <m/>
    <n v="523"/>
    <s v="Ground Level"/>
    <e v="#N/A"/>
    <s v="Ghana"/>
    <s v="Fastlink"/>
    <s v="gylrdg"/>
    <m/>
    <m/>
    <m/>
    <n v="99"/>
    <s v="DXB8"/>
  </r>
  <r>
    <n v="203555213"/>
    <s v="senesthe"/>
    <s v="Esther Edem Senahey"/>
    <d v="2024-06-27T00:00:00"/>
    <s v="Temporary"/>
    <s v="AUH1"/>
    <n v="1181"/>
    <s v="Day Shift"/>
    <s v="Saturday"/>
    <s v="Sunday"/>
    <s v="Warehouse Associate (AUH)"/>
    <s v="N"/>
    <x v="5"/>
    <d v="2024-08-19T00:00:00"/>
    <s v="Manual Sort"/>
    <s v="Direct"/>
    <m/>
    <n v="519"/>
    <s v="Ground Level"/>
    <e v="#N/A"/>
    <s v="Ghana"/>
    <s v="Fastlink"/>
    <s v="gylrdg"/>
    <m/>
    <m/>
    <m/>
    <n v="99"/>
    <s v="DXB8"/>
  </r>
  <r>
    <n v="203555206"/>
    <s v="dordanyo"/>
    <s v="Dora Danyo"/>
    <d v="2024-06-27T00:00:00"/>
    <s v="Temporary"/>
    <s v="AUH1"/>
    <n v="1181"/>
    <s v="Day Shift"/>
    <s v="Sunday"/>
    <s v="Monday"/>
    <s v="Warehouse Associate (AUH)"/>
    <s v="N"/>
    <x v="5"/>
    <d v="2024-08-20T00:00:00"/>
    <s v="Manual Sort"/>
    <s v="Direct"/>
    <m/>
    <n v="526"/>
    <s v="Ground Level"/>
    <e v="#N/A"/>
    <s v="Ghana"/>
    <s v="Fastlink"/>
    <s v="gylrdg"/>
    <m/>
    <m/>
    <m/>
    <n v="99"/>
    <s v="DXB8"/>
  </r>
  <r>
    <n v="203555205"/>
    <s v="tonkelyo"/>
    <s v="Kely Clarie Tonfack"/>
    <d v="2024-06-27T00:00:00"/>
    <s v="Temporary"/>
    <s v="AUH1"/>
    <n v="1181"/>
    <s v="Day Shift"/>
    <s v="Tuesday"/>
    <s v="Wednesday"/>
    <s v="Warehouse Associate (AUH)"/>
    <s v="N"/>
    <x v="5"/>
    <d v="2024-08-18T00:00:00"/>
    <s v="Manual Sort"/>
    <s v="Direct"/>
    <m/>
    <n v="525"/>
    <s v="Ground Level"/>
    <e v="#N/A"/>
    <s v="Ghana"/>
    <s v="Fastlink"/>
    <s v="gylrdg"/>
    <m/>
    <m/>
    <m/>
    <n v="99"/>
    <s v="DXB8"/>
  </r>
  <r>
    <n v="203555218"/>
    <s v="abigasar"/>
    <s v="Abigail Asare"/>
    <d v="2024-06-27T00:00:00"/>
    <s v="Temporary"/>
    <s v="AUH1"/>
    <n v="1181"/>
    <s v="Day Shift"/>
    <s v="Friday"/>
    <s v="Saturday"/>
    <s v="Warehouse Associate (AUH)"/>
    <s v="N"/>
    <x v="5"/>
    <d v="2024-08-18T00:00:00"/>
    <s v="Manual Sort"/>
    <s v="Direct"/>
    <m/>
    <n v="527"/>
    <s v="Ground Level"/>
    <e v="#N/A"/>
    <s v="Ghana"/>
    <s v="Fastlink"/>
    <s v="gylrdg"/>
    <m/>
    <m/>
    <m/>
    <n v="99"/>
    <s v="DXB8"/>
  </r>
  <r>
    <n v="203555221"/>
    <s v="kadyamus"/>
    <s v="Phoebe Kadyamusuma"/>
    <d v="2024-06-27T00:00:00"/>
    <s v="Temporary"/>
    <s v="AUH1"/>
    <n v="1181"/>
    <s v="Day Shift"/>
    <s v="Wednesday"/>
    <s v="Thursday"/>
    <s v="Warehouse Associate (AUH)"/>
    <s v="N"/>
    <x v="5"/>
    <d v="2024-08-18T00:00:00"/>
    <s v="Manual Sort"/>
    <s v="Direct"/>
    <m/>
    <n v="528"/>
    <s v="Ground Level"/>
    <e v="#N/A"/>
    <s v="Ghana"/>
    <s v="Fastlink"/>
    <s v="gylrdg"/>
    <m/>
    <m/>
    <m/>
    <n v="99"/>
    <s v="DXB8"/>
  </r>
  <r>
    <n v="203635599"/>
    <s v="norcleme"/>
    <s v="Clement  Klu  Boye Nortey "/>
    <d v="2024-07-08T00:00:00"/>
    <s v="Temporary"/>
    <s v="AUH1"/>
    <n v="1181"/>
    <s v="Day Shift"/>
    <s v="Sunday"/>
    <s v="Monday"/>
    <s v="Warehouse Associate (AUH)"/>
    <s v="N"/>
    <x v="5"/>
    <d v="2024-08-20T00:00:00"/>
    <s v="Manual Sort"/>
    <s v="Direct"/>
    <m/>
    <n v="79"/>
    <s v="Ground Level"/>
    <e v="#N/A"/>
    <s v="Ghana"/>
    <s v="Fastlink"/>
    <s v="saladimz"/>
    <m/>
    <m/>
    <m/>
    <n v="99"/>
    <s v="DXB8"/>
  </r>
  <r>
    <n v="203635600"/>
    <s v="ansahfsa"/>
    <s v="Samuel Kwesi Ansah "/>
    <d v="2024-07-08T00:00:00"/>
    <s v="Temporary"/>
    <s v="AUH1"/>
    <n v="1181"/>
    <s v="Day Shift"/>
    <s v="Thursday"/>
    <s v="Friday"/>
    <s v="Warehouse Associate (AUH)"/>
    <s v="N"/>
    <x v="5"/>
    <d v="2024-08-18T00:00:00"/>
    <s v="Manual Sort"/>
    <s v="Direct"/>
    <m/>
    <n v="80"/>
    <s v="Ground Level"/>
    <e v="#N/A"/>
    <s v="Ghana"/>
    <s v="Fastlink"/>
    <s v="saladimz"/>
    <m/>
    <m/>
    <m/>
    <n v="99"/>
    <s v="DXB8"/>
  </r>
  <r>
    <n v="203635598"/>
    <s v="mavhunga"/>
    <s v="Admire Mavhunga"/>
    <d v="2024-07-08T00:00:00"/>
    <s v="Temporary"/>
    <s v="AUH1"/>
    <n v="1181"/>
    <s v="Day Shift"/>
    <s v="Wednesday"/>
    <s v="Thursday"/>
    <s v="Warehouse Associate (AUH)"/>
    <s v="N"/>
    <x v="5"/>
    <d v="2024-08-18T00:00:00"/>
    <s v="Manual Sort"/>
    <s v="Direct"/>
    <m/>
    <n v="92"/>
    <s v="Ground Level"/>
    <e v="#N/A"/>
    <s v="Ghana"/>
    <s v="Fastlink"/>
    <s v="saladimz"/>
    <m/>
    <m/>
    <m/>
    <n v="99"/>
    <s v="DXB8"/>
  </r>
  <r>
    <n v="203635597"/>
    <s v="skoromal"/>
    <s v="Lans Koroma "/>
    <d v="2024-07-08T00:00:00"/>
    <s v="Temporary"/>
    <s v="AUH1"/>
    <n v="1181"/>
    <s v="Day Shift"/>
    <s v="Wednesday"/>
    <s v="Thursday"/>
    <s v="Warehouse Associate (AUH)"/>
    <s v="N"/>
    <x v="5"/>
    <d v="2024-08-18T00:00:00"/>
    <s v="Manual Sort"/>
    <s v="Direct"/>
    <m/>
    <n v="77"/>
    <s v="Ground Level"/>
    <e v="#N/A"/>
    <s v="Sierra Leone"/>
    <s v="Fastlink"/>
    <s v="saladimz"/>
    <m/>
    <m/>
    <m/>
    <n v="99"/>
    <s v="DXB8"/>
  </r>
  <r>
    <n v="203635601"/>
    <s v="awesmail"/>
    <s v="Esmaila Chamban Awawou"/>
    <d v="2024-07-08T00:00:00"/>
    <s v="Temporary"/>
    <s v="AUH1"/>
    <n v="1181"/>
    <s v="Day Shift"/>
    <s v="Monday"/>
    <s v="Tuesday"/>
    <s v="Warehouse Associate (AUH)"/>
    <s v="N"/>
    <x v="5"/>
    <d v="2024-08-18T00:00:00"/>
    <s v="Manual Sort"/>
    <s v="Direct"/>
    <m/>
    <n v="534"/>
    <s v="Ground Level"/>
    <e v="#N/A"/>
    <s v="Ghana"/>
    <s v="Fastlink"/>
    <s v="saladimz"/>
    <m/>
    <m/>
    <m/>
    <n v="99"/>
    <s v="DXB8"/>
  </r>
  <r>
    <n v="203635484"/>
    <s v="yrebeccq"/>
    <s v="Rebecca Yeboah "/>
    <d v="2024-07-08T00:00:00"/>
    <s v="Temporary"/>
    <s v="AUH1"/>
    <n v="1181"/>
    <s v="Day Shift"/>
    <s v="Wednesday"/>
    <s v="Thursday"/>
    <s v="Warehouse Associate (AUH1)"/>
    <s v="N"/>
    <x v="5"/>
    <d v="2024-08-18T00:00:00"/>
    <s v="Manual Sort"/>
    <s v="Direct"/>
    <m/>
    <n v="529"/>
    <s v="Ground Level"/>
    <e v="#N/A"/>
    <s v="Ghana"/>
    <s v="Fastlink"/>
    <s v="saladimz"/>
    <m/>
    <m/>
    <m/>
    <n v="99"/>
    <s v="DXB8"/>
  </r>
  <r>
    <n v="203635486"/>
    <s v="dadziekg"/>
    <s v="Gifty Dadzie "/>
    <d v="2024-07-08T00:00:00"/>
    <s v="Temporary"/>
    <s v="AUH1"/>
    <n v="1181"/>
    <s v="Day Shift"/>
    <s v="Monday"/>
    <s v="Tuesday"/>
    <s v="Warehouse Associate (AUH1)"/>
    <s v="N"/>
    <x v="5"/>
    <d v="2024-08-18T00:00:00"/>
    <s v="Manual Sort"/>
    <s v="Direct"/>
    <m/>
    <n v="530"/>
    <s v="Ground Level"/>
    <e v="#N/A"/>
    <s v="Ghana"/>
    <s v="Fastlink"/>
    <s v="saladimz"/>
    <m/>
    <m/>
    <m/>
    <n v="99"/>
    <s v="DXB8"/>
  </r>
  <r>
    <n v="203635483"/>
    <s v="yfrimisa"/>
    <s v="Isaac Frimpong "/>
    <d v="2024-07-08T00:00:00"/>
    <s v="Temporary"/>
    <s v="AUH1"/>
    <n v="1181"/>
    <s v="Day Shift"/>
    <s v="Friday"/>
    <s v="Saturday"/>
    <s v="Warehouse Associate (AUH1)"/>
    <s v="N"/>
    <x v="5"/>
    <d v="2024-08-18T00:00:00"/>
    <s v="Manual Sort"/>
    <s v="Direct"/>
    <m/>
    <n v="72"/>
    <s v="Ground Level"/>
    <e v="#N/A"/>
    <s v="Ghana"/>
    <s v="Fastlink"/>
    <s v="saladimz"/>
    <m/>
    <m/>
    <m/>
    <n v="99"/>
    <s v="DXB8"/>
  </r>
  <r>
    <n v="203635485"/>
    <s v="asiggodb"/>
    <s v="Godbless Mawunyo Asigbee"/>
    <d v="2024-07-08T00:00:00"/>
    <s v="Temporary"/>
    <s v="AUH1"/>
    <n v="1181"/>
    <s v="Day Shift"/>
    <s v="Wednesday"/>
    <s v="Thursday"/>
    <s v="Warehouse Associate (AUH1)"/>
    <s v="N"/>
    <x v="5"/>
    <d v="2024-08-18T00:00:00"/>
    <s v="Manual Sort"/>
    <s v="Direct"/>
    <m/>
    <n v="73"/>
    <s v="Ground Level"/>
    <e v="#N/A"/>
    <s v="Ghana"/>
    <s v="Fastlink"/>
    <s v="saladimz"/>
    <m/>
    <m/>
    <m/>
    <n v="99"/>
    <s v="DXB8"/>
  </r>
  <r>
    <n v="203635500"/>
    <s v="jenvandi"/>
    <s v="Vandi,Jenneh Matilda"/>
    <d v="2024-07-08T00:00:00"/>
    <s v="Temporary"/>
    <s v="AUH1"/>
    <n v="1181"/>
    <s v="Day Shift"/>
    <s v="Sunday"/>
    <s v="Monday"/>
    <s v="Warehouse Associate (AUH1)"/>
    <s v="N"/>
    <x v="5"/>
    <d v="2024-08-20T00:00:00"/>
    <s v="Manual Sort"/>
    <s v="Direct"/>
    <m/>
    <n v="532"/>
    <s v="Ground Level"/>
    <e v="#N/A"/>
    <s v="Sierra Leone"/>
    <s v="Fastlink"/>
    <s v="saladimz"/>
    <m/>
    <m/>
    <m/>
    <n v="99"/>
    <s v="DXB8"/>
  </r>
  <r>
    <n v="203635498"/>
    <s v="munibmoh"/>
    <s v="Mohammed,Muniru"/>
    <d v="2024-07-08T00:00:00"/>
    <s v="Temporary"/>
    <s v="AUH1"/>
    <n v="1181"/>
    <s v="Day Shift"/>
    <s v="Thursday"/>
    <s v="Friday"/>
    <s v="Warehouse Associate (AUH1)"/>
    <s v="N"/>
    <x v="5"/>
    <d v="2024-08-18T00:00:00"/>
    <s v="Manual Sort"/>
    <s v="Direct"/>
    <m/>
    <n v="76"/>
    <s v="Ground Level"/>
    <e v="#N/A"/>
    <s v="Ghana"/>
    <s v="Fastlink"/>
    <s v="saladimz"/>
    <m/>
    <m/>
    <m/>
    <n v="99"/>
    <s v="DXB8"/>
  </r>
  <r>
    <n v="203635494"/>
    <s v="kudapinj"/>
    <s v="Pinjisi,Kudakwashe Ernest"/>
    <d v="2024-07-08T00:00:00"/>
    <s v="Temporary"/>
    <s v="AUH1"/>
    <n v="1181"/>
    <s v="Day Shift"/>
    <s v="Tuesday"/>
    <s v="Wednesday"/>
    <s v="Warehouse Associate (AUH1)"/>
    <s v="N"/>
    <x v="5"/>
    <d v="2024-08-18T00:00:00"/>
    <s v="Manual Sort"/>
    <s v="Direct"/>
    <m/>
    <n v="74"/>
    <s v="Ground Level"/>
    <e v="#N/A"/>
    <s v="Zimbabwe"/>
    <s v="Fastlink"/>
    <s v="saladimz"/>
    <m/>
    <m/>
    <m/>
    <n v="99"/>
    <s v="DXB8"/>
  </r>
  <r>
    <n v="203635499"/>
    <s v="nkwemman"/>
    <s v="Nkwain,Emmanuella Nakoma"/>
    <d v="2024-07-08T00:00:00"/>
    <s v="Temporary"/>
    <s v="AUH1"/>
    <n v="1181"/>
    <s v="Day Shift"/>
    <s v="Friday"/>
    <s v="Saturday"/>
    <s v="Warehouse Associate (AUH1)"/>
    <s v="N"/>
    <x v="5"/>
    <d v="2024-08-18T00:00:00"/>
    <s v="Manual Sort"/>
    <s v="Direct"/>
    <m/>
    <n v="531"/>
    <s v="Ground Level"/>
    <e v="#N/A"/>
    <s v="Cameroon"/>
    <s v="Fastlink"/>
    <s v="saladimz"/>
    <m/>
    <m/>
    <m/>
    <n v="99"/>
    <s v="DXB8"/>
  </r>
  <r>
    <n v="203635501"/>
    <s v="sedbakoh"/>
    <s v="Bakoh,Sedoline Ndongo"/>
    <d v="2024-07-08T00:00:00"/>
    <s v="Temporary"/>
    <s v="AUH1"/>
    <n v="1181"/>
    <s v="Day Shift"/>
    <s v="Wednesday"/>
    <s v="Thursday"/>
    <s v="Warehouse Associate (AUH1)"/>
    <s v="N"/>
    <x v="5"/>
    <d v="2024-08-18T00:00:00"/>
    <s v="Manual Sort"/>
    <s v="Direct"/>
    <m/>
    <n v="533"/>
    <s v="Ground Level"/>
    <e v="#N/A"/>
    <s v="Cameroon"/>
    <s v="Fastlink"/>
    <s v="saladimz"/>
    <m/>
    <m/>
    <m/>
    <n v="99"/>
    <s v="DXB8"/>
  </r>
  <r>
    <n v="203635497"/>
    <s v="fotsigeo"/>
    <s v="Fotsing,Georgy Omer Dorian"/>
    <d v="2024-07-08T00:00:00"/>
    <s v="Temporary"/>
    <s v="AUH1"/>
    <n v="1181"/>
    <s v="Day Shift"/>
    <s v="Tuesday"/>
    <s v="Wednesday"/>
    <s v="Warehouse Associate (AUH1)"/>
    <s v="N"/>
    <x v="5"/>
    <d v="2024-08-18T00:00:00"/>
    <s v="Manual Sort"/>
    <s v="Direct"/>
    <m/>
    <n v="75"/>
    <s v="Ground Level"/>
    <e v="#N/A"/>
    <s v="Cameroon"/>
    <s v="Fastlink"/>
    <s v="saladimz"/>
    <m/>
    <m/>
    <m/>
    <n v="99"/>
    <s v="DXB8"/>
  </r>
  <r>
    <n v="103909188"/>
    <s v="jumail"/>
    <s v="Muhammed Jumail"/>
    <d v="2020-08-24T00:00:00"/>
    <s v="Regular"/>
    <s v="AUH1"/>
    <n v="1299"/>
    <s v="Day Shift"/>
    <s v="Tuesday"/>
    <s v="Wednesday"/>
    <s v="FC Supervisor"/>
    <s v="N"/>
    <x v="0"/>
    <d v="2024-08-18T00:00:00"/>
    <s v="Receive"/>
    <s v="Direct"/>
    <m/>
    <n v="1142"/>
    <s v="Mezzanine Level"/>
    <e v="#N/A"/>
    <m/>
    <s v="Blue Badge"/>
    <m/>
    <m/>
    <m/>
    <m/>
    <n v="3"/>
    <s v="AUH1"/>
  </r>
  <r>
    <n v="202289609"/>
    <s v="whwdv"/>
    <s v="Mohammed Ali"/>
    <d v="2023-10-16T00:00:00"/>
    <s v="Temporary"/>
    <s v="AUH1"/>
    <n v="1299"/>
    <s v="Day Shift"/>
    <s v="Tuesday"/>
    <s v="Wednesday"/>
    <s v="Warehouse Associate (TEMP)"/>
    <s v="Y"/>
    <x v="4"/>
    <d v="2024-08-18T00:00:00"/>
    <s v="OB -pack"/>
    <s v="Direct"/>
    <m/>
    <n v="1233"/>
    <s v="Mezzanine Level"/>
    <e v="#N/A"/>
    <m/>
    <s v="Quesscorp"/>
    <m/>
    <m/>
    <m/>
    <m/>
    <n v="99"/>
    <s v="DXB5"/>
  </r>
  <r>
    <n v="113139329"/>
    <s v="dzivenub"/>
    <s v="Benedicta Ami"/>
    <d v="2024-01-18T00:00:00"/>
    <s v="Temporary"/>
    <s v="AUH1"/>
    <n v="1299"/>
    <s v="Day Shift"/>
    <s v="Wednesday"/>
    <s v="Thursday"/>
    <s v="Warehouse Associate (DS)"/>
    <s v="Y"/>
    <x v="4"/>
    <d v="2024-08-25T00:00:00"/>
    <s v="OB-PICK"/>
    <s v="Direct"/>
    <m/>
    <m/>
    <m/>
    <e v="#N/A"/>
    <m/>
    <s v="Mycon"/>
    <m/>
    <m/>
    <m/>
    <m/>
    <n v="99"/>
    <s v="DXB5"/>
  </r>
  <r>
    <n v="202353242"/>
    <s v="ngondomh"/>
    <s v="Madeleiine Ngo Ndom"/>
    <d v="2023-10-23T00:00:00"/>
    <s v="Temporary"/>
    <s v="AUH1"/>
    <n v="1299"/>
    <s v="Day Shift"/>
    <s v="Sunday"/>
    <s v="Monday"/>
    <s v="Warehouse Associate (TEMP)"/>
    <s v="Y"/>
    <x v="4"/>
    <d v="2024-08-18T00:00:00"/>
    <s v="OB-PICK"/>
    <s v="Direct"/>
    <m/>
    <n v="1805"/>
    <s v="Mezzanine Level"/>
    <e v="#N/A"/>
    <m/>
    <s v="Quesscorp"/>
    <m/>
    <m/>
    <m/>
    <m/>
    <n v="99"/>
    <s v="DXB5"/>
  </r>
  <r>
    <n v="112851838"/>
    <s v="michbawa"/>
    <s v="Michael Assibid Bawa"/>
    <d v="2023-10-09T00:00:00"/>
    <s v="Temporary"/>
    <s v="AUH1"/>
    <n v="1299"/>
    <s v="Day Shift"/>
    <s v="Monday"/>
    <s v="Tuesday"/>
    <s v="Warehouse Associate (TEMP)"/>
    <s v="Y"/>
    <x v="4"/>
    <d v="2024-08-18T00:00:00"/>
    <s v="OB-PICK"/>
    <s v="Direct"/>
    <m/>
    <n v="1232"/>
    <s v="Mezzanine Level"/>
    <e v="#N/A"/>
    <m/>
    <s v="Mycon"/>
    <m/>
    <m/>
    <m/>
    <m/>
    <n v="99"/>
    <s v="DXB5"/>
  </r>
  <r>
    <n v="202219210"/>
    <s v="tabculbe"/>
    <s v="Culbert John Njock Tabe"/>
    <d v="2023-10-09T00:00:00"/>
    <s v="Temporary"/>
    <s v="AUH1"/>
    <n v="1299"/>
    <s v="Day Shift"/>
    <s v="Tuesday"/>
    <s v="Wednesday"/>
    <s v="Warehouse Associate (TEMP)"/>
    <s v="Y"/>
    <x v="4"/>
    <d v="2024-08-18T00:00:00"/>
    <s v="OB-REBIN"/>
    <s v="Direct"/>
    <m/>
    <m/>
    <m/>
    <e v="#N/A"/>
    <m/>
    <s v="Quesscorp"/>
    <m/>
    <m/>
    <m/>
    <m/>
    <n v="99"/>
    <s v="DXB5"/>
  </r>
  <r>
    <n v="112874983"/>
    <s v="gmichgye"/>
    <s v="Michael Gyedu"/>
    <d v="2024-01-10T00:00:00"/>
    <s v="Temporary"/>
    <s v="AUH1"/>
    <n v="1299"/>
    <s v="Day Shift"/>
    <s v="Saturday"/>
    <s v="Sunday"/>
    <s v="Warehouse Associate (DS)"/>
    <s v="Y"/>
    <x v="4"/>
    <d v="2024-08-18T00:00:00"/>
    <s v="Pick Ambassador"/>
    <s v="Direct"/>
    <m/>
    <n v="1229"/>
    <s v="Mezzanine Level"/>
    <e v="#N/A"/>
    <m/>
    <s v="Fastlink"/>
    <m/>
    <m/>
    <m/>
    <m/>
    <n v="99"/>
    <s v="DXB5"/>
  </r>
  <r>
    <n v="112056001"/>
    <s v="vahmanis"/>
    <s v="Nisar Ahamed"/>
    <d v="2022-09-27T00:00:00"/>
    <s v="Temporary"/>
    <s v="AUH1"/>
    <n v="1299"/>
    <s v="Day Shift"/>
    <s v="Monday"/>
    <s v="Tuesday"/>
    <s v="Warehouse Associate (TEMP)"/>
    <s v="Y"/>
    <x v="4"/>
    <d v="2024-08-18T00:00:00"/>
    <s v="Pick Ambassador"/>
    <s v="Direct"/>
    <m/>
    <n v="1228"/>
    <s v="Mezzanine Level"/>
    <e v="#N/A"/>
    <m/>
    <s v="Mycon"/>
    <m/>
    <m/>
    <m/>
    <m/>
    <n v="99"/>
    <s v="DXB5"/>
  </r>
  <r>
    <n v="112130826"/>
    <s v="shafqr"/>
    <s v="Rasool, Shafqat"/>
    <d v="2022-02-04T00:00:00"/>
    <s v="Temporary"/>
    <s v="AUH1"/>
    <n v="1299"/>
    <s v="Day Shift"/>
    <s v="Monday"/>
    <s v="Tuesday"/>
    <s v="Warehouse Associate (DS)"/>
    <s v="Y"/>
    <x v="4"/>
    <d v="2024-08-18T00:00:00"/>
    <m/>
    <s v="Direct"/>
    <m/>
    <n v="1227"/>
    <s v="Mezzanine Level"/>
    <e v="#N/A"/>
    <m/>
    <s v="Fastlink"/>
    <m/>
    <m/>
    <m/>
    <m/>
    <n v="99"/>
    <s v="DXB3"/>
  </r>
  <r>
    <n v="113139350"/>
    <s v="mashokop"/>
    <s v="Mashoko, Preacher"/>
    <d v="2024-01-25T00:00:00"/>
    <s v="Temporary"/>
    <s v="AUH1"/>
    <n v="1299"/>
    <s v="Day Shift"/>
    <s v="Sunday"/>
    <s v="Monday"/>
    <s v="Warehouse Associate (DS)"/>
    <s v="Y"/>
    <x v="4"/>
    <d v="2024-08-25T00:00:00"/>
    <m/>
    <s v="Direct"/>
    <m/>
    <m/>
    <m/>
    <e v="#N/A"/>
    <m/>
    <s v="Mycon"/>
    <m/>
    <m/>
    <m/>
    <m/>
    <n v="99"/>
    <s v="DXB3"/>
  </r>
  <r>
    <n v="202323696"/>
    <s v="ahshahro"/>
    <s v="Shahroz Ahmad"/>
    <d v="2023-10-23T00:00:00"/>
    <s v="Temporary"/>
    <s v="AUH1"/>
    <n v="1299"/>
    <s v="Day Shift"/>
    <s v="Monday"/>
    <s v="Tuesday"/>
    <s v="Warehouse Associate (TEMP)"/>
    <s v="Y"/>
    <x v="4"/>
    <d v="2024-08-18T00:00:00"/>
    <s v="OB -pack"/>
    <s v="Direct"/>
    <m/>
    <n v="1224"/>
    <s v="Mezzanine Level"/>
    <e v="#N/A"/>
    <m/>
    <s v="Innovations - UAE"/>
    <m/>
    <m/>
    <m/>
    <m/>
    <n v="99"/>
    <s v="DXB3"/>
  </r>
  <r>
    <n v="112677488"/>
    <s v="gwangech"/>
    <s v="Wangechi, Grace"/>
    <d v="2023-09-04T00:00:00"/>
    <s v="Temporary"/>
    <s v="AUH1"/>
    <n v="1299"/>
    <s v="Day Shift"/>
    <s v="Sunday"/>
    <s v="Monday"/>
    <s v="Warehouse Associate (DS)"/>
    <s v="Y"/>
    <x v="4"/>
    <d v="2024-08-18T00:00:00"/>
    <s v="OB -pack"/>
    <s v="Direct"/>
    <m/>
    <n v="1804"/>
    <s v="Mezzanine Level"/>
    <e v="#N/A"/>
    <m/>
    <s v="Fastlink"/>
    <m/>
    <m/>
    <m/>
    <m/>
    <n v="99"/>
    <s v="DXB3"/>
  </r>
  <r>
    <n v="112350563"/>
    <s v="mmannehr"/>
    <s v="Manneh, Mariama"/>
    <d v="2023-09-04T00:00:00"/>
    <s v="Temporary"/>
    <s v="AUH1"/>
    <n v="1299"/>
    <s v="Day Shift"/>
    <s v="Thursday"/>
    <s v="Friday"/>
    <s v="Warehouse Associate (TEMP)"/>
    <s v="Y"/>
    <x v="4"/>
    <d v="2024-08-18T00:00:00"/>
    <s v="OB -pack"/>
    <s v="Direct"/>
    <m/>
    <n v="1803"/>
    <s v="Mezzanine Level"/>
    <e v="#N/A"/>
    <m/>
    <s v="Innovations - UAE"/>
    <m/>
    <m/>
    <m/>
    <m/>
    <n v="99"/>
    <s v="DXB3"/>
  </r>
  <r>
    <n v="112181793"/>
    <s v="amanabub"/>
    <s v="Abubakar, Amandine"/>
    <d v="2022-02-11T00:00:00"/>
    <s v="Temporary"/>
    <s v="AUH1"/>
    <n v="1299"/>
    <s v="Day Shift"/>
    <s v="Monday"/>
    <s v="Tuesday"/>
    <s v="Warehouse Associate (TEMP)"/>
    <s v="Y"/>
    <x v="4"/>
    <d v="2024-08-25T00:00:00"/>
    <s v="OB -pack"/>
    <s v="Direct"/>
    <m/>
    <m/>
    <m/>
    <e v="#N/A"/>
    <m/>
    <s v="Innovations - UAE"/>
    <m/>
    <m/>
    <m/>
    <m/>
    <n v="99"/>
    <s v="DXB3"/>
  </r>
  <r>
    <n v="202219239"/>
    <s v="javemuho"/>
    <s v="_x000a_ Muhammad Umar Javed"/>
    <d v="2023-10-09T00:00:00"/>
    <s v="Temporary"/>
    <s v="AUH1"/>
    <n v="1299"/>
    <s v="Day Shift"/>
    <s v="Sunday"/>
    <s v="Monday"/>
    <s v="Warehouse Associate (TEMP)"/>
    <s v="Y"/>
    <x v="4"/>
    <d v="2024-08-25T00:00:00"/>
    <s v="OB -pack"/>
    <s v="Direct"/>
    <m/>
    <m/>
    <m/>
    <e v="#N/A"/>
    <m/>
    <s v="Quesscorp"/>
    <m/>
    <m/>
    <m/>
    <m/>
    <n v="99"/>
    <s v="DXB5"/>
  </r>
  <r>
    <n v="202266077"/>
    <s v="bhatzam"/>
    <s v="Amar Bhat"/>
    <d v="2023-10-16T00:00:00"/>
    <s v="Temporary"/>
    <s v="AUH1"/>
    <n v="1299"/>
    <s v="Day Shift"/>
    <s v="Wednesday"/>
    <s v="Thursday"/>
    <s v="Warehouse Associate (TEMP)"/>
    <s v="Y"/>
    <x v="4"/>
    <d v="2024-08-18T00:00:00"/>
    <s v="OB -pack"/>
    <s v="Direct"/>
    <m/>
    <n v="1223"/>
    <s v="Mezzanine Level"/>
    <e v="#N/A"/>
    <m/>
    <s v="Innovations - UAE"/>
    <m/>
    <m/>
    <m/>
    <m/>
    <n v="99"/>
    <s v="DXB3"/>
  </r>
  <r>
    <n v="202218616"/>
    <s v="_x000a_ varenjem"/>
    <s v="_x000a_ Armelle Chanel Namme Enjema"/>
    <d v="2023-10-09T00:00:00"/>
    <s v="Temporary"/>
    <s v="AUH1"/>
    <n v="1299"/>
    <s v="Day Shift"/>
    <s v="Thursday"/>
    <s v="Friday"/>
    <s v="Warehouse Associate (TEMP)"/>
    <s v="Y"/>
    <x v="4"/>
    <d v="2024-08-25T00:00:00"/>
    <s v="OB -pack"/>
    <s v="Direct"/>
    <m/>
    <m/>
    <m/>
    <e v="#N/A"/>
    <m/>
    <s v="Quesscorp"/>
    <m/>
    <m/>
    <m/>
    <m/>
    <n v="99"/>
    <s v="DXB5"/>
  </r>
  <r>
    <n v="112462419"/>
    <s v="ajovoust"/>
    <s v="Jovous Tugayineyo Nyesigire"/>
    <d v="2022-04-19T00:00:00"/>
    <s v="Temporary"/>
    <s v="AUH1"/>
    <n v="1299"/>
    <s v="Day Shift"/>
    <s v="Saturday"/>
    <s v="Sunday"/>
    <s v="Warehouse Associate (TEMP)"/>
    <s v="Y"/>
    <x v="4"/>
    <d v="2024-08-25T00:00:00"/>
    <s v="OB -pack"/>
    <s v="Direct"/>
    <m/>
    <m/>
    <m/>
    <e v="#N/A"/>
    <m/>
    <s v="Mycon"/>
    <m/>
    <m/>
    <m/>
    <m/>
    <n v="99"/>
    <s v="DXB3"/>
  </r>
  <r>
    <n v="201260318"/>
    <s v="pradjira"/>
    <s v="Prince Tetteh Adjirackor"/>
    <d v="2023-03-30T00:00:00"/>
    <s v="Temporary"/>
    <s v="AUH1"/>
    <n v="1299"/>
    <s v="Day Shift"/>
    <s v="Tuesday"/>
    <s v="Wednesday"/>
    <s v="Warehouse Associate (TEMP)"/>
    <s v="Y"/>
    <x v="4"/>
    <d v="2024-08-25T00:00:00"/>
    <s v="OB -pack"/>
    <s v="Direct"/>
    <m/>
    <m/>
    <m/>
    <e v="#N/A"/>
    <m/>
    <s v="Mycon"/>
    <m/>
    <m/>
    <m/>
    <m/>
    <n v="99"/>
    <s v="DXB3"/>
  </r>
  <r>
    <n v="112408799"/>
    <s v="leticiny"/>
    <s v="Leticia Nyarko"/>
    <d v="2023-02-27T00:00:00"/>
    <s v="Temporary"/>
    <s v="AUH1"/>
    <n v="1299"/>
    <s v="Day Shift"/>
    <s v="Sunday"/>
    <s v="Monday"/>
    <s v="Warehouse Associate (TEMP)"/>
    <s v="Y"/>
    <x v="4"/>
    <d v="2024-08-25T00:00:00"/>
    <s v="OB -pack"/>
    <s v="Direct"/>
    <m/>
    <m/>
    <m/>
    <e v="#N/A"/>
    <m/>
    <s v="Fastlink"/>
    <m/>
    <m/>
    <m/>
    <m/>
    <n v="99"/>
    <s v="DXB3"/>
  </r>
  <r>
    <n v="112408788"/>
    <s v="feladde"/>
    <s v="Felicia Addea"/>
    <d v="2022-04-02T00:00:00"/>
    <s v="Temporary"/>
    <s v="AUH1"/>
    <n v="1299"/>
    <s v="Day Shift"/>
    <s v="Wednesday"/>
    <s v="Thursday"/>
    <s v="Warehouse Associate (TEMP)"/>
    <s v="Y"/>
    <x v="4"/>
    <d v="2024-08-25T00:00:00"/>
    <s v="OB -pack"/>
    <s v="Direct"/>
    <m/>
    <m/>
    <m/>
    <e v="#N/A"/>
    <m/>
    <s v="Quesscorp"/>
    <m/>
    <m/>
    <m/>
    <m/>
    <n v="99"/>
    <s v="DXB3"/>
  </r>
  <r>
    <n v="112383553"/>
    <s v="mbiztamf"/>
    <s v="Tamfu Shella Mbidu"/>
    <d v="2022-03-25T00:00:00"/>
    <s v="Temporary"/>
    <s v="AUH1"/>
    <n v="1299"/>
    <s v="Day Shift"/>
    <s v="Tuesday"/>
    <s v="Wednesday"/>
    <s v="Warehouse Associate (TEMP)"/>
    <s v="Y"/>
    <x v="4"/>
    <d v="2024-08-25T00:00:00"/>
    <s v="OB -pack"/>
    <s v="Direct"/>
    <m/>
    <m/>
    <m/>
    <e v="#N/A"/>
    <m/>
    <s v="Fastlink"/>
    <m/>
    <m/>
    <m/>
    <m/>
    <n v="99"/>
    <s v="DXB3"/>
  </r>
  <r>
    <n v="201499468"/>
    <s v="asantkel"/>
    <s v="_x000a_ Kelvin Bafo Asante"/>
    <d v="2023-06-05T00:00:00"/>
    <s v="Temporary"/>
    <s v="AUH1"/>
    <n v="1299"/>
    <s v="Day Shift"/>
    <s v="Monday"/>
    <s v="Tuesday"/>
    <s v="Warehouse Associate (TEMP)"/>
    <s v="Y"/>
    <x v="4"/>
    <d v="2024-08-25T00:00:00"/>
    <s v="OB-PICK"/>
    <s v="Direct"/>
    <m/>
    <m/>
    <m/>
    <e v="#N/A"/>
    <m/>
    <s v="Mycon"/>
    <m/>
    <m/>
    <m/>
    <m/>
    <n v="99"/>
    <s v="DXB5"/>
  </r>
  <r>
    <n v="202178813"/>
    <s v="ritanoh"/>
    <s v="Rita Amenan Tanoh"/>
    <d v="2024-01-25T00:00:00"/>
    <s v="Temporary"/>
    <s v="AUH1"/>
    <n v="1299"/>
    <s v="Day Shift"/>
    <s v="Monday"/>
    <s v="Tuesday"/>
    <s v="Warehouse Associate (DS)"/>
    <s v="Y"/>
    <x v="4"/>
    <d v="2024-08-25T00:00:00"/>
    <s v="OB-PICK"/>
    <s v="Direct"/>
    <m/>
    <m/>
    <m/>
    <e v="#N/A"/>
    <m/>
    <s v="Fastlink"/>
    <m/>
    <m/>
    <m/>
    <m/>
    <n v="99"/>
    <s v="DXB3"/>
  </r>
  <r>
    <n v="113194110"/>
    <s v="_x000a_ sackjohi"/>
    <s v="_x000a_ Johanna Sackey"/>
    <d v="2023-05-22T00:00:00"/>
    <s v="Temporary"/>
    <s v="AUH1"/>
    <n v="1299"/>
    <s v="Day Shift"/>
    <s v="Saturday"/>
    <s v="Sunday"/>
    <s v="Warehouse Associate (TEMP)"/>
    <s v="Y"/>
    <x v="4"/>
    <d v="2024-08-18T00:00:00"/>
    <s v="OB-PICK"/>
    <s v="Direct"/>
    <m/>
    <m/>
    <m/>
    <e v="#N/A"/>
    <m/>
    <s v="Fastlink"/>
    <m/>
    <m/>
    <m/>
    <m/>
    <n v="99"/>
    <s v="DXB5"/>
  </r>
  <r>
    <n v="202454100"/>
    <s v="ysoharaf"/>
    <s v="Sohail Ahmed Muhammad Rafiq"/>
    <d v="2023-11-01T00:00:00"/>
    <s v="Temporary"/>
    <s v="AUH1"/>
    <n v="1299"/>
    <s v="Day Shift"/>
    <s v="Monday"/>
    <s v="Tu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280300"/>
    <s v="karifsam"/>
    <s v="Karifala Samoura"/>
    <d v="2023-10-16T00:00:00"/>
    <s v="Temporary"/>
    <s v="AUH1"/>
    <n v="1299"/>
    <s v="Day Shift"/>
    <s v="Friday"/>
    <s v="Saturday"/>
    <s v="Warehouse Associate (TEMP)"/>
    <s v="Y"/>
    <x v="4"/>
    <d v="2024-08-18T00:00:00"/>
    <s v="OB-PICK"/>
    <s v="Direct"/>
    <m/>
    <n v="1222"/>
    <s v="Mezzanine Level"/>
    <e v="#N/A"/>
    <m/>
    <s v="Innovations - UAE"/>
    <m/>
    <m/>
    <m/>
    <m/>
    <n v="99"/>
    <s v="DXB3"/>
  </r>
  <r>
    <n v="111517765"/>
    <s v="abrariaz"/>
    <s v="Abrar Ahmed Riaz Muhammad Riaz"/>
    <d v="2024-02-26T00:00:00"/>
    <s v="Temporary"/>
    <s v="AUH1"/>
    <n v="1299"/>
    <s v="Day Shift"/>
    <s v="Tuesday"/>
    <s v="Wednes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113204913"/>
    <s v="lamelich"/>
    <s v="Amelia J Chea"/>
    <d v="2023-10-09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244342"/>
    <s v="jaborona"/>
    <s v="Abono, Ronate Esa"/>
    <d v="2023-06-05T00:00:00"/>
    <s v="Temporary"/>
    <s v="AUH1"/>
    <n v="1299"/>
    <s v="Day Shift"/>
    <s v="Friday"/>
    <s v="Saturday"/>
    <s v="Warehouse Associate (TEMP)"/>
    <s v="Y"/>
    <x v="4"/>
    <d v="2024-08-18T00:00:00"/>
    <s v="OB-PICK"/>
    <s v="Direct"/>
    <m/>
    <n v="1801"/>
    <s v="Mezzanine Level"/>
    <e v="#N/A"/>
    <m/>
    <s v="Mycon"/>
    <m/>
    <m/>
    <m/>
    <m/>
    <n v="99"/>
    <s v="DXB3"/>
  </r>
  <r>
    <n v="201986369"/>
    <s v="tkyecomf"/>
    <s v="Comfort Frimpong Kyeea"/>
    <d v="2023-09-04T00:00:00"/>
    <s v="Temporary"/>
    <s v="AUH1"/>
    <n v="1299"/>
    <s v="Day Shift"/>
    <s v="Sunday"/>
    <s v="Monday"/>
    <s v="Warehouse Associate (ROH)"/>
    <s v="Y"/>
    <x v="4"/>
    <d v="2024-08-18T00:00:00"/>
    <s v="OB-PICK"/>
    <s v="Direct"/>
    <m/>
    <n v="1800"/>
    <s v="Mezzanine Level"/>
    <e v="#N/A"/>
    <m/>
    <s v="Fastlink"/>
    <m/>
    <m/>
    <m/>
    <m/>
    <n v="99"/>
    <s v="DXB3"/>
  </r>
  <r>
    <n v="202164308"/>
    <s v="rismuham"/>
    <s v="Muhammad Ishaq Muhammad Iilias"/>
    <d v="2023-10-02T00:00:00"/>
    <s v="Temporary"/>
    <s v="AUH1"/>
    <n v="1299"/>
    <s v="Day Shift"/>
    <s v="Tuesday"/>
    <s v="Wednesday"/>
    <s v="Warehouse Associate (TEMP)"/>
    <s v="Y"/>
    <x v="4"/>
    <d v="2024-08-18T00:00:00"/>
    <s v="OB-PICK"/>
    <s v="Direct"/>
    <m/>
    <n v="1221"/>
    <s v="Mezzanine Level"/>
    <e v="#N/A"/>
    <m/>
    <s v="Innovations - UAE"/>
    <m/>
    <m/>
    <m/>
    <m/>
    <n v="99"/>
    <s v="DXB3"/>
  </r>
  <r>
    <n v="202219212"/>
    <s v="nyarkcom"/>
    <s v="Comfort Nyarko"/>
    <d v="2023-10-09T00:00:00"/>
    <s v="Temporary"/>
    <s v="AUH1"/>
    <n v="1299"/>
    <s v="Day Shift"/>
    <s v="Thursday"/>
    <s v="Fri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219690"/>
    <s v="tetabiga"/>
    <s v="Abigail Lomo Tettey"/>
    <d v="2023-08-31T00:00:00"/>
    <s v="Temporary"/>
    <s v="AUH1"/>
    <n v="1299"/>
    <s v="Day Shift"/>
    <s v="Monday"/>
    <s v="Tuesday"/>
    <s v="Warehouse Associate (TEMP)"/>
    <s v="Y"/>
    <x v="4"/>
    <d v="2024-08-18T00:00:00"/>
    <s v="OB-PICK"/>
    <s v="Direct"/>
    <m/>
    <n v="1799"/>
    <s v="Mezzanine Level"/>
    <e v="#N/A"/>
    <m/>
    <s v="Mycon"/>
    <m/>
    <m/>
    <m/>
    <m/>
    <n v="99"/>
    <s v="DXB3"/>
  </r>
  <r>
    <n v="112649481"/>
    <s v="syejavel"/>
    <s v="Syed Zulqurnain Javed"/>
    <d v="2023-10-16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112427482"/>
    <s v="tthagari"/>
    <s v="Garima Tharu Rajendra Tharu"/>
    <d v="2023-10-01T00:00:00"/>
    <s v="Temporary"/>
    <s v="AUH1"/>
    <n v="1299"/>
    <s v="Day Shift"/>
    <s v="Tuesday"/>
    <s v="Wedn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1499471"/>
    <s v="imadarko"/>
    <s v="Mavis Darko"/>
    <d v="2023-10-01T00:00:00"/>
    <s v="Temporary"/>
    <s v="AUH1"/>
    <n v="1299"/>
    <s v="Day Shift"/>
    <s v="Sunday"/>
    <s v="Mon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113184876"/>
    <s v="malmaskh"/>
    <s v="Almas Khan Muhammad Fayyaz Khan"/>
    <d v="2023-11-01T00:00:00"/>
    <s v="Temporary"/>
    <s v="AUH1"/>
    <n v="1299"/>
    <s v="Day Shift"/>
    <s v="Monday"/>
    <s v="Tues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444775"/>
    <s v="oswardmi"/>
    <s v="Osward Miansah Nyisi"/>
    <d v="2023-11-01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Mycon"/>
    <m/>
    <m/>
    <m/>
    <m/>
    <n v="99"/>
    <s v="DXB3"/>
  </r>
  <r>
    <n v="202273436"/>
    <s v="kylouran"/>
    <s v="Lourence Addae Kyeremateng"/>
    <d v="2023-10-16T00:00:00"/>
    <s v="Temporary"/>
    <s v="AUH1"/>
    <n v="1299"/>
    <s v="Day Shift"/>
    <s v="Saturday"/>
    <s v="Sunday"/>
    <s v="Warehouse Associate (TEMP)"/>
    <s v="Y"/>
    <x v="4"/>
    <d v="2024-08-18T00:00:00"/>
    <s v="OB-PICK"/>
    <s v="Direct"/>
    <m/>
    <n v="1220"/>
    <s v="Mezzanine Level"/>
    <e v="#N/A"/>
    <m/>
    <s v="Fastlink"/>
    <m/>
    <m/>
    <m/>
    <m/>
    <n v="99"/>
    <s v="DXB3"/>
  </r>
  <r>
    <n v="202179450"/>
    <s v="stemasaa"/>
    <s v="Stephen Masaazi"/>
    <d v="2023-10-01T00:00:00"/>
    <s v="Temporary"/>
    <s v="AUH1"/>
    <n v="1299"/>
    <s v="Day Shift"/>
    <s v="Tuesday"/>
    <s v="Wedn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0105009"/>
    <s v="muhasmeh"/>
    <s v="Mehran Khalid"/>
    <d v="2023-10-02T00:00:00"/>
    <s v="Temporary"/>
    <s v="AUH1"/>
    <n v="1299"/>
    <s v="Day Shift"/>
    <s v="Friday"/>
    <s v="Satur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196626"/>
    <s v="smbangur"/>
    <s v="Mohamed Baba Bangura"/>
    <d v="2023-09-04T00:00:00"/>
    <s v="Temporary"/>
    <s v="AUH1"/>
    <n v="1299"/>
    <s v="Day Shift"/>
    <s v="Saturday"/>
    <s v="Sun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178924"/>
    <s v="husehafi"/>
    <s v="Hafiz Muhammad Ahmad Mazhar Hussain"/>
    <d v="2023-10-01T00:00:00"/>
    <s v="Temporary"/>
    <s v="AUH1"/>
    <n v="1299"/>
    <s v="Day Shift"/>
    <s v="Monday"/>
    <s v="Tuesday"/>
    <s v="Warehouse Associate (ROH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273095"/>
    <s v="sylvdjan"/>
    <s v="Sylvester Agyapong Djan"/>
    <d v="2023-10-16T00:00:00"/>
    <s v="Temporary"/>
    <s v="AUH1"/>
    <n v="1299"/>
    <s v="Day Shift"/>
    <s v="Saturday"/>
    <s v="Sun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158419"/>
    <s v="nlaernes"/>
    <s v="Ernest Larbi"/>
    <d v="2023-10-02T00:00:00"/>
    <s v="Temporary"/>
    <s v="AUH1"/>
    <n v="1299"/>
    <s v="Day Shift"/>
    <s v="Tuesday"/>
    <s v="Wedne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2158439"/>
    <s v="esmahboo"/>
    <s v="Mahboob Shahzad"/>
    <d v="2023-10-02T00:00:00"/>
    <s v="Temporary"/>
    <s v="AUH1"/>
    <n v="1299"/>
    <s v="Day Shift"/>
    <s v="Wednesday"/>
    <s v="Thurs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1340374"/>
    <s v="njengade"/>
    <s v="Dennis Kinyanjul"/>
    <d v="2023-10-09T00:00:00"/>
    <s v="Temporary"/>
    <s v="AUH1"/>
    <n v="1299"/>
    <s v="Day Shift"/>
    <s v="Thursday"/>
    <s v="Fri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3038697"/>
    <s v="salmanhq"/>
    <s v="Salman Sarwar Sarwar Hussain"/>
    <d v="2024-02-26T00:00:00"/>
    <s v="Temporary"/>
    <s v="AUH1"/>
    <n v="1299"/>
    <s v="Day Shift"/>
    <s v="Sunday"/>
    <s v="Monday"/>
    <s v="Warehouse Associate (TEMP)"/>
    <s v="Y"/>
    <x v="4"/>
    <d v="2024-08-25T00:00:00"/>
    <s v="OB-PICK"/>
    <s v="Direct"/>
    <m/>
    <m/>
    <m/>
    <e v="#N/A"/>
    <m/>
    <s v="Fastlink"/>
    <m/>
    <m/>
    <m/>
    <m/>
    <n v="99"/>
    <s v="DXB3"/>
  </r>
  <r>
    <n v="202249766"/>
    <s v="ahumarmu"/>
    <s v="Umar Munir Ahmed"/>
    <d v="2023-10-16T00:00:00"/>
    <s v="Temporary"/>
    <s v="AUH1"/>
    <n v="1299"/>
    <s v="Day Shift"/>
    <s v="Thursday"/>
    <s v="Fri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202249417"/>
    <s v="mushahen"/>
    <s v="Muhammad Shahenshah"/>
    <d v="2023-10-16T00:00:00"/>
    <s v="Temporary"/>
    <s v="AUH1"/>
    <n v="1299"/>
    <s v="Day Shift"/>
    <s v="Friday"/>
    <s v="Saturday"/>
    <s v="Warehouse Associate (TEMP)"/>
    <s v="Y"/>
    <x v="4"/>
    <d v="2024-08-25T00:00:00"/>
    <s v="OB-PICK"/>
    <s v="Direct"/>
    <m/>
    <m/>
    <m/>
    <e v="#N/A"/>
    <m/>
    <s v="Innovations - UAE"/>
    <m/>
    <m/>
    <m/>
    <m/>
    <n v="99"/>
    <s v="DXB3"/>
  </r>
  <r>
    <n v="112056007"/>
    <s v="randkah"/>
    <s v="Randy Nang Kah"/>
    <d v="2024-03-11T00:00:00"/>
    <s v="Temporary"/>
    <s v="AUH1"/>
    <n v="1299"/>
    <s v="Day Shift"/>
    <s v="Thursday"/>
    <s v="Friday"/>
    <s v="Warehouse Associate (TEMP)"/>
    <s v="Y"/>
    <x v="4"/>
    <d v="2024-08-18T00:00:00"/>
    <s v="OB-PICK"/>
    <s v="Direct"/>
    <m/>
    <n v="1219"/>
    <s v="Mezzanine Level"/>
    <e v="#N/A"/>
    <m/>
    <s v="Fastlink"/>
    <m/>
    <m/>
    <m/>
    <m/>
    <n v="99"/>
    <s v="DXB3"/>
  </r>
  <r>
    <n v="202158437"/>
    <s v="kalmuhad"/>
    <s v="Muhammad Waqas Kaleem Muhammad Kaleem"/>
    <d v="2023-10-02T00:00:00"/>
    <s v="Temporary"/>
    <s v="AUH1"/>
    <n v="1299"/>
    <s v="Day Shift"/>
    <s v="Wednesday"/>
    <s v="Thursday"/>
    <s v="Warehouse Associate (TEMP)"/>
    <s v="Y"/>
    <x v="4"/>
    <d v="2024-08-18T00:00:00"/>
    <s v="OB-PICK"/>
    <s v="Direct"/>
    <m/>
    <n v="1218"/>
    <s v="Mezzanine Level"/>
    <e v="#N/A"/>
    <m/>
    <s v="Fastlink"/>
    <m/>
    <m/>
    <m/>
    <m/>
    <n v="99"/>
    <s v="DXB3"/>
  </r>
  <r>
    <n v="202444783"/>
    <s v="eshzahid"/>
    <s v="Zahid Shah Arbab Khan"/>
    <d v="2023-11-01T00:00:00"/>
    <s v="Temporary"/>
    <s v="AUH1"/>
    <n v="1299"/>
    <s v="Day Shift"/>
    <s v="Sunday"/>
    <s v="Monday"/>
    <s v="Warehouse Associate (TEMP)"/>
    <s v="Y"/>
    <x v="4"/>
    <d v="2024-08-25T00:00:00"/>
    <s v="OB-PICK"/>
    <s v="Direct"/>
    <m/>
    <m/>
    <m/>
    <e v="#N/A"/>
    <m/>
    <s v="Mycon"/>
    <m/>
    <m/>
    <m/>
    <m/>
    <n v="99"/>
    <s v="DXB3"/>
  </r>
  <r>
    <n v="200568738"/>
    <s v="namubhin"/>
    <s v="Hindu Namubiru"/>
    <d v="2024-01-10T00:00:00"/>
    <s v="Temporary"/>
    <s v="AUH1"/>
    <n v="1299"/>
    <s v="Day Shift"/>
    <s v="Sunday"/>
    <s v="Monday"/>
    <s v="Warehouse Associate (DS)"/>
    <s v="Y"/>
    <x v="4"/>
    <d v="2024-08-18T00:00:00"/>
    <s v="Pack Ambassador"/>
    <s v="Direct"/>
    <m/>
    <n v="1217"/>
    <s v="Mezzanine Level"/>
    <e v="#N/A"/>
    <m/>
    <s v="Fastlink"/>
    <m/>
    <m/>
    <m/>
    <m/>
    <n v="99"/>
    <s v="DXB3"/>
  </r>
  <r>
    <n v="202444366"/>
    <s v="malikmug"/>
    <s v="Muhammad Bilal Malik"/>
    <d v="2023-11-01T00:00:00"/>
    <s v="Temporary"/>
    <s v="AUH1"/>
    <n v="1299"/>
    <s v="Day Shift"/>
    <s v="Friday"/>
    <s v="Saturday"/>
    <s v="Warehouse Associate (TEMP)"/>
    <s v="Y"/>
    <x v="4"/>
    <d v="2024-08-18T00:00:00"/>
    <s v="OB-PICK"/>
    <s v="Direct"/>
    <m/>
    <n v="1216"/>
    <s v="Mezzanine Level"/>
    <e v="#N/A"/>
    <m/>
    <s v="Mycon"/>
    <m/>
    <m/>
    <m/>
    <m/>
    <n v="99"/>
    <s v="DXB3"/>
  </r>
  <r>
    <n v="112911449"/>
    <s v="ahmadwad"/>
    <s v="_x000a_ Wasim Ahmad"/>
    <d v="2022-08-15T00:00:00"/>
    <s v="Temporary"/>
    <s v="AUH1"/>
    <n v="1299"/>
    <s v="Day Shift"/>
    <s v="Thursday"/>
    <s v="Friday"/>
    <s v="Warehouse Associate (TEMP)"/>
    <s v="Y"/>
    <x v="4"/>
    <d v="2024-08-18T00:00:00"/>
    <s v="OB-REBIN"/>
    <s v="Direct"/>
    <m/>
    <n v="1215"/>
    <s v="Mezzanine Level"/>
    <e v="#N/A"/>
    <m/>
    <s v="Mycon"/>
    <m/>
    <m/>
    <m/>
    <m/>
    <n v="99"/>
    <s v="DXB5"/>
  </r>
  <r>
    <n v="201987048"/>
    <s v="inkoomno"/>
    <s v="Nora Inkoom"/>
    <d v="2023-09-04T00:00:00"/>
    <s v="Temporary"/>
    <s v="AUH1"/>
    <n v="1299"/>
    <s v="Day Shift"/>
    <s v="Friday"/>
    <s v="Saturday"/>
    <s v="Warehouse Associate (ROH)"/>
    <s v="Y"/>
    <x v="4"/>
    <d v="2024-08-18T00:00:00"/>
    <s v="OB-REBIN"/>
    <s v="Direct"/>
    <m/>
    <n v="1798"/>
    <s v="Mezzanine Level"/>
    <e v="#N/A"/>
    <m/>
    <s v="Mycon"/>
    <m/>
    <m/>
    <m/>
    <m/>
    <n v="99"/>
    <s v="DXB3"/>
  </r>
  <r>
    <n v="112317203"/>
    <s v="sarjaite"/>
    <s v="Sarata Jaiteh"/>
    <d v="2023-02-27T00:00:00"/>
    <s v="Temporary"/>
    <s v="AUH1"/>
    <n v="1299"/>
    <s v="Day Shift"/>
    <s v="Thursday"/>
    <s v="Friday"/>
    <s v="Warehouse Associate (TEMP)"/>
    <s v="Y"/>
    <x v="4"/>
    <d v="2024-08-18T00:00:00"/>
    <s v="OB-IR"/>
    <s v="Direct"/>
    <m/>
    <n v="1797"/>
    <s v="Mezzanine Level"/>
    <e v="#N/A"/>
    <m/>
    <s v="Innovations - UAE"/>
    <m/>
    <m/>
    <m/>
    <m/>
    <n v="99"/>
    <s v="DXB3"/>
  </r>
  <r>
    <n v="201975575"/>
    <s v="hammadya"/>
    <s v="Yasir, Hammad Tariq"/>
    <d v="2023-09-04T00:00:00"/>
    <s v="Temporary"/>
    <s v="AUH1"/>
    <n v="1299"/>
    <s v="Day Shift"/>
    <s v="Thursday"/>
    <s v="Friday"/>
    <s v="Warehouse Associate (TEMP)"/>
    <s v="Y"/>
    <x v="4"/>
    <d v="2024-08-25T00:00:00"/>
    <s v="OB-IR"/>
    <s v="Direct"/>
    <m/>
    <m/>
    <m/>
    <e v="#N/A"/>
    <m/>
    <s v="Fastlink"/>
    <m/>
    <m/>
    <m/>
    <m/>
    <n v="99"/>
    <s v="DXB3"/>
  </r>
  <r>
    <n v="112549611"/>
    <s v="cliffadj"/>
    <s v="Adjei,Clifford"/>
    <d v="2022-05-16T00:00:00"/>
    <s v="Temporary"/>
    <s v="AUH1"/>
    <n v="1299"/>
    <s v="Day Shift"/>
    <s v="Friday"/>
    <s v="Saturday"/>
    <s v="Warehouse Associate (TEMP)"/>
    <s v="Y"/>
    <x v="4"/>
    <d v="2024-08-25T00:00:00"/>
    <s v="OB-IR"/>
    <s v="Direct"/>
    <m/>
    <m/>
    <m/>
    <e v="#N/A"/>
    <m/>
    <s v="Quesscorp"/>
    <m/>
    <m/>
    <m/>
    <m/>
    <n v="99"/>
    <s v="DXB3"/>
  </r>
  <r>
    <n v="112347709"/>
    <s v="aanwfarh"/>
    <s v="Farhan Muhammad Anwar"/>
    <d v="2022-03-17T00:00:00"/>
    <s v="Temporary"/>
    <s v="AUH1"/>
    <n v="1299"/>
    <s v="Day Shift"/>
    <s v="Wednesday"/>
    <s v="Thursday"/>
    <s v="Warehouse Associate (TEMP)"/>
    <s v="Y"/>
    <x v="4"/>
    <d v="2024-08-25T00:00:00"/>
    <s v="OB-REBIN"/>
    <s v="Direct"/>
    <m/>
    <m/>
    <m/>
    <e v="#N/A"/>
    <m/>
    <s v="Fastlink"/>
    <m/>
    <m/>
    <m/>
    <m/>
    <n v="99"/>
    <s v="DXB3"/>
  </r>
  <r>
    <n v="112693536"/>
    <s v="mohmolly"/>
    <s v="Mohammad Molla"/>
    <d v="2022-06-20T00:00:00"/>
    <s v="Temporary"/>
    <s v="AUH1"/>
    <n v="1299"/>
    <s v="Day Shift"/>
    <s v="Tuesday"/>
    <s v="Wednesday"/>
    <s v="Warehouse Associate (TEMP)"/>
    <s v="Y"/>
    <x v="4"/>
    <d v="2024-08-25T00:00:00"/>
    <s v="OB-REBIN"/>
    <s v="Direct"/>
    <m/>
    <m/>
    <m/>
    <e v="#N/A"/>
    <m/>
    <s v="Fastlink"/>
    <m/>
    <m/>
    <m/>
    <m/>
    <n v="99"/>
    <s v="DXB3"/>
  </r>
  <r>
    <n v="202249751"/>
    <s v="hamumuni"/>
    <s v="Mumuni Hassana"/>
    <d v="2023-10-16T00:00:00"/>
    <s v="Temporary"/>
    <s v="AUH1"/>
    <n v="1299"/>
    <s v="Day Shift"/>
    <s v="Saturday"/>
    <s v="Sunday"/>
    <s v="Warehouse Associate (TEMP)"/>
    <s v="Y"/>
    <x v="4"/>
    <d v="2024-08-25T00:00:00"/>
    <s v="OB-SLAM X"/>
    <s v="Direct"/>
    <m/>
    <m/>
    <m/>
    <e v="#N/A"/>
    <m/>
    <s v="Innovations - UAE"/>
    <m/>
    <m/>
    <m/>
    <m/>
    <n v="99"/>
    <s v="DXB3"/>
  </r>
  <r>
    <n v="112644399"/>
    <s v="jarahabx"/>
    <s v="Yussif Jarah Abubakar"/>
    <d v="2022-06-09T00:00:00"/>
    <s v="Temporary"/>
    <s v="AUH1"/>
    <n v="1299"/>
    <s v="Day Shift"/>
    <s v="Thursday"/>
    <s v="Friday"/>
    <s v="Warehouse Associate (TEMP)"/>
    <s v="Y"/>
    <x v="4"/>
    <d v="2024-08-25T00:00:00"/>
    <s v="OB-SLAM X"/>
    <s v="Direct"/>
    <m/>
    <m/>
    <m/>
    <e v="#N/A"/>
    <m/>
    <s v="Quesscorp"/>
    <m/>
    <m/>
    <m/>
    <m/>
    <n v="99"/>
    <s v="DXB3"/>
  </r>
  <r>
    <n v="113090897"/>
    <s v="_x000a_ wyclosei"/>
    <s v="_x000a_ Osei Wycleff"/>
    <d v="2023-08-21T00:00:00"/>
    <s v="Temporary"/>
    <s v="AUH1"/>
    <n v="1299"/>
    <s v="Day Shift"/>
    <s v="Friday"/>
    <s v="Saturday"/>
    <s v="Warehouse Associate (DS)"/>
    <s v="Y"/>
    <x v="4"/>
    <d v="2024-08-18T00:00:00"/>
    <s v="Pick Ambassador"/>
    <s v="Direct"/>
    <m/>
    <m/>
    <m/>
    <e v="#N/A"/>
    <m/>
    <s v="Fastlink"/>
    <m/>
    <m/>
    <m/>
    <m/>
    <n v="99"/>
    <s v="DXB5"/>
  </r>
  <r>
    <n v="202449538"/>
    <s v="zohaimaq"/>
    <s v="Zohaib Maqbool"/>
    <d v="2023-11-01T00:00:00"/>
    <s v="Temporary"/>
    <s v="AUH1"/>
    <n v="1299"/>
    <s v="Day Shift"/>
    <s v="Friday"/>
    <s v="Saturday"/>
    <s v="Warehouse Associate (TEMP)"/>
    <s v="Y"/>
    <x v="4"/>
    <d v="2024-08-25T00:00:00"/>
    <s v="OB-SLAM X"/>
    <s v="Direct"/>
    <m/>
    <m/>
    <m/>
    <e v="#N/A"/>
    <m/>
    <s v="Innovations - UAE"/>
    <m/>
    <m/>
    <m/>
    <m/>
    <n v="99"/>
    <s v="DXB3"/>
  </r>
  <r>
    <n v="113189292"/>
    <s v="matildto"/>
    <s v="Matilda Seyram Tokpo"/>
    <d v="2024-01-18T00:00:00"/>
    <s v="Temporary"/>
    <s v="AUH1"/>
    <n v="1299"/>
    <s v="Day Shift"/>
    <s v="Wednesday"/>
    <s v="Thursday"/>
    <s v="Warehouse Associate (DS)"/>
    <s v="Y"/>
    <x v="4"/>
    <d v="2024-08-18T00:00:00"/>
    <m/>
    <s v="Direct"/>
    <m/>
    <n v="1796"/>
    <s v="Mezzanine Level"/>
    <e v="#N/A"/>
    <m/>
    <s v="Fastlink"/>
    <m/>
    <m/>
    <m/>
    <m/>
    <n v="99"/>
    <s v="DXB3"/>
  </r>
  <r>
    <n v="202178812"/>
    <s v="tchongd"/>
    <s v="Dany Ornelle Tchonga"/>
    <d v="2024-02-15T00:00:00"/>
    <s v="Temporary"/>
    <s v="AUH1"/>
    <n v="1299"/>
    <s v="Day Shift"/>
    <s v="Friday"/>
    <s v="Saturday"/>
    <s v="Warehouse Associate (DS)"/>
    <s v="Y"/>
    <x v="4"/>
    <d v="2024-08-25T00:00:00"/>
    <m/>
    <s v="Direct"/>
    <m/>
    <m/>
    <m/>
    <e v="#N/A"/>
    <m/>
    <s v="Fastlink"/>
    <m/>
    <m/>
    <m/>
    <m/>
    <n v="99"/>
    <s v="DXB3"/>
  </r>
  <r>
    <n v="112693551"/>
    <s v="ahvshaki"/>
    <s v="Shakil Ahmed Shahadat Hossain"/>
    <d v="2022-06-20T00:00:00"/>
    <s v="Temporary"/>
    <s v="AUH1"/>
    <n v="1299"/>
    <s v="Day Shift"/>
    <s v="Thursday"/>
    <s v="Friday"/>
    <s v="Warehouse Associate (TEMP)"/>
    <s v="Y"/>
    <x v="4"/>
    <d v="2024-08-18T00:00:00"/>
    <s v="Pick Ambassador"/>
    <s v="Direct"/>
    <m/>
    <n v="1213"/>
    <s v="Mezzanine Level"/>
    <e v="#N/A"/>
    <m/>
    <s v="Fastlink"/>
    <m/>
    <m/>
    <m/>
    <m/>
    <n v="99"/>
    <s v="DXB3"/>
  </r>
  <r>
    <n v="203253181"/>
    <s v="ajaveedq"/>
    <s v="Javeed Ahmad"/>
    <d v="2024-04-25T00:00:00"/>
    <s v="Temporary"/>
    <s v="AUH1"/>
    <n v="1299"/>
    <s v="Day Shift"/>
    <s v="Wednesday"/>
    <s v="Thursday"/>
    <s v="Warehouse Associate (DS)"/>
    <s v="Y"/>
    <x v="4"/>
    <d v="2024-08-18T00:00:00"/>
    <m/>
    <s v="Direct"/>
    <m/>
    <n v="1212"/>
    <s v="Mezzanine Level"/>
    <e v="#N/A"/>
    <m/>
    <s v="Adecco"/>
    <m/>
    <m/>
    <m/>
    <m/>
    <n v="99"/>
    <s v="DXB3"/>
  </r>
  <r>
    <n v="203253128"/>
    <s v="ashwikuc"/>
    <s v="Ashwin Vinod Kumar"/>
    <d v="2024-04-25T00:00:00"/>
    <s v="Temporary"/>
    <s v="AUH1"/>
    <n v="1299"/>
    <s v="Day Shift"/>
    <s v="Tuesday"/>
    <s v="Wednesday"/>
    <s v="Warehouse Associate (DS)"/>
    <s v="Y"/>
    <x v="4"/>
    <d v="2024-08-25T00:00:00"/>
    <m/>
    <s v="Direct"/>
    <m/>
    <m/>
    <m/>
    <e v="#N/A"/>
    <m/>
    <s v="Adecco"/>
    <m/>
    <m/>
    <m/>
    <m/>
    <n v="99"/>
    <s v="DXB3"/>
  </r>
  <r>
    <n v="202973069"/>
    <s v="evematar"/>
    <s v="Everngelister Tafadzwa Mataruse"/>
    <d v="2024-02-01T00:00:00"/>
    <s v="Temporary"/>
    <s v="AUH1"/>
    <n v="1299"/>
    <s v="Day Shift"/>
    <s v="Monday"/>
    <s v="Tuesday"/>
    <s v="Warehouse Associate (DS)"/>
    <s v="Y"/>
    <x v="4"/>
    <d v="2024-08-25T00:00:00"/>
    <m/>
    <s v="Direct"/>
    <m/>
    <m/>
    <m/>
    <e v="#N/A"/>
    <m/>
    <s v="Fastlink"/>
    <m/>
    <m/>
    <m/>
    <m/>
    <n v="99"/>
    <s v="DXB3"/>
  </r>
  <r>
    <n v="202334268"/>
    <s v="glortabo"/>
    <s v="Gloria Tado"/>
    <d v="2024-01-25T00:00:00"/>
    <s v="Temporary"/>
    <s v="AUH1"/>
    <n v="1299"/>
    <s v="Day Shift"/>
    <s v="Thursday"/>
    <s v="Friday"/>
    <s v="Warehouse Associate (DS)"/>
    <s v="Y"/>
    <x v="4"/>
    <d v="2024-08-25T00:00:00"/>
    <m/>
    <s v="Direct"/>
    <m/>
    <m/>
    <m/>
    <e v="#N/A"/>
    <m/>
    <s v="Fastlink"/>
    <m/>
    <m/>
    <m/>
    <m/>
    <n v="99"/>
    <s v="DXB3"/>
  </r>
  <r>
    <n v="113168246"/>
    <s v="duahtemm"/>
    <s v="Emmanuel Agyemang"/>
    <d v="2022-10-24T00:00:00"/>
    <s v="Temporary"/>
    <s v="AUH1"/>
    <n v="1299"/>
    <s v="Day Shift"/>
    <s v="Saturday"/>
    <s v="Sunday"/>
    <s v="Warehouse Associate (TEMP)"/>
    <s v="Y"/>
    <x v="4"/>
    <d v="2024-08-25T00:00:00"/>
    <s v="OB-wrangle"/>
    <s v="Direct"/>
    <m/>
    <m/>
    <m/>
    <e v="#N/A"/>
    <m/>
    <s v="Innovations - UAE"/>
    <m/>
    <m/>
    <m/>
    <m/>
    <n v="99"/>
    <s v="DXB3"/>
  </r>
  <r>
    <n v="113154784"/>
    <s v="kalhajim"/>
    <s v="Kamara,Alhaji M"/>
    <d v="2024-01-18T00:00:00"/>
    <s v="Temporary"/>
    <s v="AUH1"/>
    <n v="1299"/>
    <s v="Day Shift"/>
    <s v="Monday"/>
    <s v="Tuesday"/>
    <s v="Warehouse Associate (DS)"/>
    <s v="Y"/>
    <x v="4"/>
    <d v="2024-08-25T00:00:00"/>
    <m/>
    <s v="Direct"/>
    <m/>
    <m/>
    <m/>
    <e v="#N/A"/>
    <m/>
    <s v="Mycon"/>
    <m/>
    <m/>
    <m/>
    <m/>
    <n v="99"/>
    <s v="DXB3"/>
  </r>
  <r>
    <n v="202444344"/>
    <s v="lwangaib"/>
    <s v="Ibrahim Lwanga"/>
    <d v="2024-02-01T00:00:00"/>
    <s v="Temporary"/>
    <s v="AUH1"/>
    <n v="1299"/>
    <s v="Day Shift"/>
    <s v="Tuesday"/>
    <s v="Wednesday"/>
    <s v="Warehouse Associate (DS)"/>
    <s v="Y"/>
    <x v="4"/>
    <d v="2024-08-18T00:00:00"/>
    <m/>
    <s v="Direct"/>
    <m/>
    <n v="1211"/>
    <s v="Mezzanine Level"/>
    <e v="#N/A"/>
    <m/>
    <s v="Mycon"/>
    <m/>
    <m/>
    <m/>
    <m/>
    <n v="99"/>
    <s v="DXB3"/>
  </r>
  <r>
    <n v="202303204"/>
    <s v="mhenrybo"/>
    <s v="Henry Boateng Mantey"/>
    <d v="2024-02-01T00:00:00"/>
    <s v="Temporary"/>
    <s v="AUH1"/>
    <n v="1299"/>
    <s v="Day Shift"/>
    <s v="Saturday"/>
    <s v="Sunday"/>
    <s v="Warehouse Associate (DS)"/>
    <s v="Y"/>
    <x v="4"/>
    <d v="2024-08-18T00:00:00"/>
    <m/>
    <s v="Direct"/>
    <m/>
    <n v="1210"/>
    <s v="Mezzanine Level"/>
    <e v="#N/A"/>
    <m/>
    <s v="Mycon"/>
    <m/>
    <m/>
    <m/>
    <m/>
    <n v="99"/>
    <s v="DXB3"/>
  </r>
  <r>
    <n v="203253180"/>
    <s v="budhatar"/>
    <s v="Arun Budhathoki"/>
    <d v="2024-04-25T00:00:00"/>
    <s v="Temporary"/>
    <s v="AUH1"/>
    <n v="1299"/>
    <s v="Day Shift"/>
    <s v="Friday"/>
    <s v="Saturday"/>
    <s v="Warehouse Associate (DS)"/>
    <s v="Y"/>
    <x v="4"/>
    <d v="2024-08-18T00:00:00"/>
    <m/>
    <s v="Direct"/>
    <m/>
    <n v="1209"/>
    <s v="Mezzanine Level"/>
    <e v="#N/A"/>
    <m/>
    <s v="Adecco"/>
    <m/>
    <m/>
    <m/>
    <m/>
    <n v="99"/>
    <s v="DXB3"/>
  </r>
  <r>
    <n v="203253583"/>
    <s v="jacobegb"/>
    <s v="Jacob Egbe Ako"/>
    <d v="2024-04-25T00:00:00"/>
    <s v="Temporary"/>
    <s v="AUH1"/>
    <n v="1299"/>
    <s v="Day Shift"/>
    <s v="Friday"/>
    <s v="Saturday"/>
    <s v="Warehouse Associate (DS)"/>
    <s v="Y"/>
    <x v="4"/>
    <d v="2024-08-18T00:00:00"/>
    <m/>
    <s v="Direct"/>
    <m/>
    <n v="1208"/>
    <s v="Mezzanine Level"/>
    <e v="#N/A"/>
    <m/>
    <s v="Adecco"/>
    <m/>
    <m/>
    <m/>
    <m/>
    <n v="99"/>
    <s v="DXB3"/>
  </r>
  <r>
    <n v="203253131"/>
    <s v="mhussmoi"/>
    <s v="Moin Hussain"/>
    <d v="2024-04-25T00:00:00"/>
    <s v="Temporary"/>
    <s v="AUH1"/>
    <n v="1299"/>
    <s v="Day Shift"/>
    <s v="Monday"/>
    <s v="Tuesday"/>
    <s v="Warehouse Associate (DS)"/>
    <s v="Y"/>
    <x v="4"/>
    <d v="2024-08-18T00:00:00"/>
    <m/>
    <s v="Direct"/>
    <m/>
    <n v="1207"/>
    <s v="Mezzanine Level"/>
    <e v="#N/A"/>
    <m/>
    <s v="Adecco"/>
    <m/>
    <m/>
    <m/>
    <m/>
    <n v="99"/>
    <s v="DXB3"/>
  </r>
  <r>
    <n v="203011027"/>
    <s v="sadatkig"/>
    <s v="Kigozi,Sadat"/>
    <d v="2024-02-19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m/>
    <m/>
    <m/>
    <m/>
    <s v="Fastlink"/>
    <m/>
    <m/>
    <m/>
    <m/>
    <n v="99"/>
    <s v="DXB3"/>
  </r>
  <r>
    <n v="113231610"/>
    <s v="muhamirj"/>
    <s v="Mir,Muhammad Awais"/>
    <d v="2023-08-03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m/>
    <m/>
    <m/>
    <m/>
    <s v="Fastlink"/>
    <m/>
    <m/>
    <m/>
    <m/>
    <n v="99"/>
    <s v="DXB3"/>
  </r>
  <r>
    <n v="201166870"/>
    <s v="oparfran"/>
    <s v="Opare,Francis"/>
    <d v="2024-02-01T00:00:00"/>
    <s v="Temporary"/>
    <s v="AUH1"/>
    <n v="1299"/>
    <s v="Day Shift"/>
    <s v="Saturday"/>
    <s v="Sunday"/>
    <s v="Warehouse Associate (DS)"/>
    <s v="Y"/>
    <x v="2"/>
    <d v="2024-08-12T00:00:00"/>
    <m/>
    <s v="Direct"/>
    <m/>
    <m/>
    <m/>
    <m/>
    <m/>
    <s v="Mycon"/>
    <m/>
    <m/>
    <m/>
    <m/>
    <n v="99"/>
    <s v="DXB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5AB62-4A64-4ED0-A42D-9BA14888917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28">
    <pivotField numFmtId="1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x="1"/>
        <item x="2"/>
        <item x="4"/>
        <item x="5"/>
        <item x="3"/>
        <item t="default"/>
      </items>
    </pivotField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udamodaran.m@gmail.com" TargetMode="External"/><Relationship Id="rId13" Type="http://schemas.openxmlformats.org/officeDocument/2006/relationships/hyperlink" Target="https://admindirectory.corp.amazon.com/users/andebayi" TargetMode="External"/><Relationship Id="rId18" Type="http://schemas.openxmlformats.org/officeDocument/2006/relationships/hyperlink" Target="https://admindirectory.corp.amazon.com/users/isandyam" TargetMode="External"/><Relationship Id="rId26" Type="http://schemas.openxmlformats.org/officeDocument/2006/relationships/hyperlink" Target="mailto:franktumusiime12@gmail.com" TargetMode="External"/><Relationship Id="rId39" Type="http://schemas.openxmlformats.org/officeDocument/2006/relationships/hyperlink" Target="mailto:tonyuae97@gmail.com" TargetMode="External"/><Relationship Id="rId3" Type="http://schemas.openxmlformats.org/officeDocument/2006/relationships/hyperlink" Target="mailto:kiyembafaizal@hotmail.com" TargetMode="External"/><Relationship Id="rId21" Type="http://schemas.openxmlformats.org/officeDocument/2006/relationships/hyperlink" Target="mailto:tymata2000@gmail.com" TargetMode="External"/><Relationship Id="rId34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mailto:samuelawuni75@gmail.com" TargetMode="External"/><Relationship Id="rId12" Type="http://schemas.openxmlformats.org/officeDocument/2006/relationships/hyperlink" Target="https://admindirectory.corp.amazon.com/users/ssegilbe" TargetMode="External"/><Relationship Id="rId17" Type="http://schemas.openxmlformats.org/officeDocument/2006/relationships/hyperlink" Target="https://admindirectory.corp.amazon.com/users/keizokre" TargetMode="External"/><Relationship Id="rId25" Type="http://schemas.openxmlformats.org/officeDocument/2006/relationships/hyperlink" Target="mailto:isaacndyanuhaki@gmail.com" TargetMode="External"/><Relationship Id="rId33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38" Type="http://schemas.openxmlformats.org/officeDocument/2006/relationships/hyperlink" Target="mailto:nahabwerodgers@gmail.com" TargetMode="External"/><Relationship Id="rId2" Type="http://schemas.openxmlformats.org/officeDocument/2006/relationships/hyperlink" Target="mailto:harrietnkansah22@gmail.com" TargetMode="External"/><Relationship Id="rId16" Type="http://schemas.openxmlformats.org/officeDocument/2006/relationships/hyperlink" Target="https://admindirectory.corp.amazon.com/users/kasobfra" TargetMode="External"/><Relationship Id="rId20" Type="http://schemas.openxmlformats.org/officeDocument/2006/relationships/hyperlink" Target="mailto:bayinganaanderson@gmail.com" TargetMode="External"/><Relationship Id="rId29" Type="http://schemas.openxmlformats.org/officeDocument/2006/relationships/hyperlink" Target="mailto:brownfred12@gmail.com" TargetMode="External"/><Relationship Id="rId41" Type="http://schemas.openxmlformats.org/officeDocument/2006/relationships/hyperlink" Target="mailto:geo22edilbert@gmail.com" TargetMode="External"/><Relationship Id="rId1" Type="http://schemas.openxmlformats.org/officeDocument/2006/relationships/hyperlink" Target="mailto:hananabdul345@gmail.com" TargetMode="External"/><Relationship Id="rId6" Type="http://schemas.openxmlformats.org/officeDocument/2006/relationships/hyperlink" Target="mailto:baahb3858@gmail.com" TargetMode="External"/><Relationship Id="rId11" Type="http://schemas.openxmlformats.org/officeDocument/2006/relationships/hyperlink" Target="mailto:allyzaashleyd@gmail.com" TargetMode="External"/><Relationship Id="rId24" Type="http://schemas.openxmlformats.org/officeDocument/2006/relationships/hyperlink" Target="mailto:kimkeizo121@gmail.com" TargetMode="External"/><Relationship Id="rId32" Type="http://schemas.openxmlformats.org/officeDocument/2006/relationships/hyperlink" Target="mailto:animf1234@gmail.com" TargetMode="External"/><Relationship Id="rId37" Type="http://schemas.openxmlformats.org/officeDocument/2006/relationships/hyperlink" Target="mailto:misaelbuliani@gmail.com" TargetMode="External"/><Relationship Id="rId40" Type="http://schemas.openxmlformats.org/officeDocument/2006/relationships/hyperlink" Target="mailto:arathikaricheri@gmail.com" TargetMode="External"/><Relationship Id="rId5" Type="http://schemas.openxmlformats.org/officeDocument/2006/relationships/hyperlink" Target="mailto:annobiljustice@gmail.com" TargetMode="External"/><Relationship Id="rId15" Type="http://schemas.openxmlformats.org/officeDocument/2006/relationships/hyperlink" Target="https://admindirectory.corp.amazon.com/users/tadekizi" TargetMode="External"/><Relationship Id="rId23" Type="http://schemas.openxmlformats.org/officeDocument/2006/relationships/hyperlink" Target="mailto:buqembefrincis32@gmail.com" TargetMode="External"/><Relationship Id="rId28" Type="http://schemas.openxmlformats.org/officeDocument/2006/relationships/hyperlink" Target="mailto:andrewkasagga8@mail.com" TargetMode="External"/><Relationship Id="rId36" Type="http://schemas.openxmlformats.org/officeDocument/2006/relationships/hyperlink" Target="mailto:ssagsuman@gmail.com" TargetMode="External"/><Relationship Id="rId10" Type="http://schemas.openxmlformats.org/officeDocument/2006/relationships/hyperlink" Target="mailto:emmanuelmbaziira240@gmail.com" TargetMode="External"/><Relationship Id="rId19" Type="http://schemas.openxmlformats.org/officeDocument/2006/relationships/hyperlink" Target="mailto:hakimssemboga@gmail.com" TargetMode="External"/><Relationship Id="rId31" Type="http://schemas.openxmlformats.org/officeDocument/2006/relationships/hyperlink" Target="mailto:josephssekandi@gmil.com" TargetMode="External"/><Relationship Id="rId4" Type="http://schemas.openxmlformats.org/officeDocument/2006/relationships/hyperlink" Target="mailto:sth.rn.08@gmail.com" TargetMode="External"/><Relationship Id="rId9" Type="http://schemas.openxmlformats.org/officeDocument/2006/relationships/hyperlink" Target="mailto:mdanas007.ma@gmail.com" TargetMode="External"/><Relationship Id="rId14" Type="http://schemas.openxmlformats.org/officeDocument/2006/relationships/hyperlink" Target="https://admindirectory.corp.amazon.com/users/adebugar" TargetMode="External"/><Relationship Id="rId22" Type="http://schemas.openxmlformats.org/officeDocument/2006/relationships/hyperlink" Target="mailto:lilk122756@gmail.com" TargetMode="External"/><Relationship Id="rId27" Type="http://schemas.openxmlformats.org/officeDocument/2006/relationships/hyperlink" Target="mailto:nabasaeriah@gmail.com" TargetMode="External"/><Relationship Id="rId30" Type="http://schemas.openxmlformats.org/officeDocument/2006/relationships/hyperlink" Target="mailto:kaboggozajora1@gmail.com" TargetMode="External"/><Relationship Id="rId35" Type="http://schemas.openxmlformats.org/officeDocument/2006/relationships/hyperlink" Target="mailto:Josephatekusasira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A925-1839-4254-9AD2-D725B6A35304}">
  <sheetPr codeName="Sheet1"/>
  <dimension ref="A3:I10"/>
  <sheetViews>
    <sheetView workbookViewId="0">
      <selection activeCell="G4" sqref="G4"/>
    </sheetView>
  </sheetViews>
  <sheetFormatPr defaultRowHeight="14.5"/>
  <cols>
    <col min="1" max="1" width="15.54296875" bestFit="1" customWidth="1"/>
    <col min="2" max="2" width="19" bestFit="1" customWidth="1"/>
    <col min="4" max="4" width="10.1796875" bestFit="1" customWidth="1"/>
  </cols>
  <sheetData>
    <row r="3" spans="1:9">
      <c r="A3" s="27" t="s">
        <v>0</v>
      </c>
      <c r="B3" t="s">
        <v>1</v>
      </c>
    </row>
    <row r="4" spans="1:9">
      <c r="A4" s="28" t="s">
        <v>2</v>
      </c>
      <c r="B4">
        <v>141</v>
      </c>
      <c r="D4" s="29" t="s">
        <v>3</v>
      </c>
      <c r="E4" s="29">
        <v>354</v>
      </c>
      <c r="F4" s="29">
        <v>364</v>
      </c>
      <c r="G4" s="23" t="s">
        <v>3</v>
      </c>
      <c r="H4" s="23">
        <f>247+141</f>
        <v>388</v>
      </c>
      <c r="I4" s="30">
        <f>H4-F4</f>
        <v>24</v>
      </c>
    </row>
    <row r="5" spans="1:9">
      <c r="A5" s="28" t="s">
        <v>4</v>
      </c>
      <c r="B5">
        <v>32</v>
      </c>
      <c r="D5" s="29" t="s">
        <v>5</v>
      </c>
      <c r="E5" s="29">
        <v>106</v>
      </c>
      <c r="F5" s="29">
        <v>176</v>
      </c>
      <c r="G5" s="23" t="s">
        <v>5</v>
      </c>
      <c r="H5" s="23">
        <v>184</v>
      </c>
      <c r="I5" s="30">
        <f>H5-F5</f>
        <v>8</v>
      </c>
    </row>
    <row r="6" spans="1:9">
      <c r="A6" s="28" t="s">
        <v>3</v>
      </c>
      <c r="B6">
        <v>247</v>
      </c>
      <c r="D6" s="29" t="s">
        <v>4</v>
      </c>
      <c r="E6" s="29">
        <v>36</v>
      </c>
      <c r="F6" s="29">
        <v>36</v>
      </c>
      <c r="G6" s="23" t="s">
        <v>4</v>
      </c>
      <c r="H6" s="23">
        <v>32</v>
      </c>
      <c r="I6" s="30">
        <f>H6-F6</f>
        <v>-4</v>
      </c>
    </row>
    <row r="7" spans="1:9">
      <c r="A7" s="28" t="s">
        <v>5</v>
      </c>
      <c r="B7">
        <v>184</v>
      </c>
      <c r="D7" s="29" t="s">
        <v>6</v>
      </c>
      <c r="E7" s="29">
        <v>48</v>
      </c>
      <c r="F7" s="29">
        <v>48</v>
      </c>
      <c r="G7" s="23" t="s">
        <v>6</v>
      </c>
      <c r="H7" s="23">
        <v>49</v>
      </c>
      <c r="I7" s="30">
        <f>H7-F7</f>
        <v>1</v>
      </c>
    </row>
    <row r="8" spans="1:9">
      <c r="A8" s="28" t="s">
        <v>6</v>
      </c>
      <c r="B8">
        <v>44</v>
      </c>
      <c r="F8" s="31">
        <f>SUM(F4:F7)</f>
        <v>624</v>
      </c>
      <c r="H8" s="31">
        <f>SUM(H4:H7)</f>
        <v>653</v>
      </c>
      <c r="I8" s="31">
        <f>H8-F8</f>
        <v>29</v>
      </c>
    </row>
    <row r="9" spans="1:9">
      <c r="A9" s="28" t="s">
        <v>7</v>
      </c>
      <c r="B9">
        <v>5</v>
      </c>
      <c r="G9" s="28"/>
    </row>
    <row r="10" spans="1:9">
      <c r="A10" s="28" t="s">
        <v>8</v>
      </c>
      <c r="B10">
        <v>653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5313-7514-4518-B047-602832D60310}">
  <sheetPr codeName="Sheet3"/>
  <dimension ref="A1:AB1369"/>
  <sheetViews>
    <sheetView showGridLines="0" tabSelected="1" topLeftCell="A1272" zoomScale="88" zoomScaleNormal="88" workbookViewId="0">
      <selection activeCell="B1283" sqref="B1283"/>
    </sheetView>
  </sheetViews>
  <sheetFormatPr defaultColWidth="8.7265625" defaultRowHeight="14.5"/>
  <cols>
    <col min="1" max="1" width="4.81640625" style="41" bestFit="1" customWidth="1"/>
    <col min="2" max="3" width="10.1796875" style="41" bestFit="1" customWidth="1"/>
    <col min="4" max="4" width="9.81640625" style="118" bestFit="1" customWidth="1"/>
    <col min="5" max="5" width="37" style="41" bestFit="1" customWidth="1"/>
    <col min="6" max="6" width="9.6328125" style="41" bestFit="1" customWidth="1"/>
    <col min="7" max="8" width="8.54296875" style="41" bestFit="1" customWidth="1"/>
    <col min="9" max="9" width="22.1796875" style="41" bestFit="1" customWidth="1"/>
    <col min="10" max="10" width="12.6328125" style="41" bestFit="1" customWidth="1"/>
    <col min="11" max="11" width="6" style="41" bestFit="1" customWidth="1"/>
    <col min="12" max="12" width="8.36328125" style="41" bestFit="1" customWidth="1"/>
    <col min="13" max="13" width="24.26953125" style="41" bestFit="1" customWidth="1"/>
    <col min="14" max="14" width="15.1796875" style="41" bestFit="1" customWidth="1"/>
    <col min="15" max="15" width="6.7265625" style="41" bestFit="1" customWidth="1"/>
    <col min="16" max="16" width="9.36328125" style="41" bestFit="1" customWidth="1"/>
    <col min="17" max="17" width="12.7265625" style="41" bestFit="1" customWidth="1"/>
    <col min="18" max="18" width="12.08984375" style="41" bestFit="1" customWidth="1"/>
    <col min="19" max="19" width="11.36328125" style="41" bestFit="1" customWidth="1"/>
    <col min="20" max="20" width="6" style="41" bestFit="1" customWidth="1"/>
    <col min="21" max="21" width="8.453125" style="41" bestFit="1" customWidth="1"/>
    <col min="22" max="22" width="6.81640625" style="41" bestFit="1" customWidth="1"/>
    <col min="23" max="23" width="12.36328125" style="41" bestFit="1" customWidth="1"/>
    <col min="24" max="24" width="57.81640625" style="41" bestFit="1" customWidth="1"/>
    <col min="25" max="25" width="21.26953125" style="41" bestFit="1" customWidth="1"/>
    <col min="26" max="26" width="34.81640625" style="41" bestFit="1" customWidth="1"/>
    <col min="27" max="27" width="10.7265625" style="41" bestFit="1" customWidth="1"/>
    <col min="28" max="28" width="9" style="41" bestFit="1" customWidth="1"/>
    <col min="29" max="16384" width="8.7265625" style="41"/>
  </cols>
  <sheetData>
    <row r="1" spans="1:28">
      <c r="A1" s="1" t="s">
        <v>28</v>
      </c>
      <c r="B1" s="1" t="s">
        <v>30</v>
      </c>
      <c r="C1" s="1" t="s">
        <v>29</v>
      </c>
      <c r="D1" s="114" t="s">
        <v>4402</v>
      </c>
      <c r="E1" s="1" t="s">
        <v>32</v>
      </c>
      <c r="F1" s="1" t="s">
        <v>38</v>
      </c>
      <c r="G1" s="1" t="s">
        <v>39</v>
      </c>
      <c r="H1" s="1" t="s">
        <v>40</v>
      </c>
      <c r="I1" s="1" t="s">
        <v>41</v>
      </c>
      <c r="J1" s="3" t="s">
        <v>43</v>
      </c>
      <c r="K1" s="1" t="s">
        <v>9</v>
      </c>
      <c r="L1" s="1" t="s">
        <v>4403</v>
      </c>
      <c r="M1" s="1" t="s">
        <v>54</v>
      </c>
      <c r="N1" s="1" t="s">
        <v>4275</v>
      </c>
      <c r="O1" s="1" t="s">
        <v>849</v>
      </c>
      <c r="P1" s="2" t="s">
        <v>33</v>
      </c>
      <c r="Q1" s="1" t="s">
        <v>45</v>
      </c>
      <c r="R1" s="1" t="s">
        <v>2585</v>
      </c>
      <c r="S1" s="1" t="s">
        <v>4276</v>
      </c>
      <c r="T1" s="1" t="s">
        <v>55</v>
      </c>
      <c r="U1" s="1" t="s">
        <v>56</v>
      </c>
      <c r="V1" s="1" t="s">
        <v>4277</v>
      </c>
      <c r="W1" s="1" t="s">
        <v>4278</v>
      </c>
      <c r="X1" s="26" t="s">
        <v>46</v>
      </c>
      <c r="Y1" s="84" t="s">
        <v>49</v>
      </c>
      <c r="Z1" s="26" t="s">
        <v>50</v>
      </c>
      <c r="AA1" s="26" t="s">
        <v>51</v>
      </c>
      <c r="AB1" s="26" t="s">
        <v>4288</v>
      </c>
    </row>
    <row r="2" spans="1:28">
      <c r="A2" s="4">
        <v>1</v>
      </c>
      <c r="B2" s="95">
        <v>12713138</v>
      </c>
      <c r="C2" s="5">
        <v>206875258</v>
      </c>
      <c r="D2" s="115" t="s">
        <v>3388</v>
      </c>
      <c r="E2" s="4" t="s">
        <v>3389</v>
      </c>
      <c r="F2" s="7" t="s">
        <v>74</v>
      </c>
      <c r="G2" s="7" t="s">
        <v>94</v>
      </c>
      <c r="H2" s="7" t="s">
        <v>89</v>
      </c>
      <c r="I2" s="7" t="s">
        <v>1789</v>
      </c>
      <c r="J2" s="6" t="s">
        <v>2</v>
      </c>
      <c r="K2" s="6" t="s">
        <v>10</v>
      </c>
      <c r="L2" s="4" t="s">
        <v>22</v>
      </c>
      <c r="M2" s="4" t="s">
        <v>4310</v>
      </c>
      <c r="N2" s="4" t="s">
        <v>2584</v>
      </c>
      <c r="O2" s="89"/>
      <c r="P2" s="25">
        <v>46051</v>
      </c>
      <c r="Q2" s="4" t="s">
        <v>78</v>
      </c>
      <c r="R2" s="4" t="s">
        <v>3258</v>
      </c>
      <c r="S2" s="6" t="s">
        <v>3478</v>
      </c>
      <c r="T2" s="4" t="s">
        <v>81</v>
      </c>
      <c r="U2" s="4"/>
      <c r="V2" s="4">
        <v>99</v>
      </c>
      <c r="W2" s="4"/>
      <c r="X2" s="4" t="s">
        <v>3290</v>
      </c>
      <c r="Y2" s="95">
        <v>589937464</v>
      </c>
      <c r="Z2" s="4" t="s">
        <v>3462</v>
      </c>
      <c r="AA2" s="4" t="s">
        <v>3477</v>
      </c>
      <c r="AB2" s="4" t="e">
        <v>#N/A</v>
      </c>
    </row>
    <row r="3" spans="1:28">
      <c r="A3" s="4">
        <v>2</v>
      </c>
      <c r="B3" s="95">
        <v>12168652</v>
      </c>
      <c r="C3" s="5">
        <v>206873715</v>
      </c>
      <c r="D3" s="115" t="s">
        <v>3382</v>
      </c>
      <c r="E3" s="4" t="s">
        <v>3383</v>
      </c>
      <c r="F3" s="7" t="s">
        <v>74</v>
      </c>
      <c r="G3" s="7" t="s">
        <v>88</v>
      </c>
      <c r="H3" s="7" t="s">
        <v>94</v>
      </c>
      <c r="I3" s="7" t="s">
        <v>1789</v>
      </c>
      <c r="J3" s="6" t="s">
        <v>2</v>
      </c>
      <c r="K3" s="6" t="s">
        <v>10</v>
      </c>
      <c r="L3" s="4" t="s">
        <v>22</v>
      </c>
      <c r="M3" s="4" t="s">
        <v>4310</v>
      </c>
      <c r="N3" s="4" t="s">
        <v>2584</v>
      </c>
      <c r="O3" s="89"/>
      <c r="P3" s="25">
        <v>46020</v>
      </c>
      <c r="Q3" s="4" t="s">
        <v>78</v>
      </c>
      <c r="R3" s="4" t="s">
        <v>2586</v>
      </c>
      <c r="S3" s="6" t="s">
        <v>3478</v>
      </c>
      <c r="T3" s="4" t="s">
        <v>81</v>
      </c>
      <c r="U3" s="4"/>
      <c r="V3" s="4">
        <v>99</v>
      </c>
      <c r="W3" s="4"/>
      <c r="X3" s="4" t="s">
        <v>3290</v>
      </c>
      <c r="Y3" s="95">
        <v>507037542</v>
      </c>
      <c r="Z3" s="4" t="s">
        <v>3457</v>
      </c>
      <c r="AA3" s="4" t="s">
        <v>3016</v>
      </c>
      <c r="AB3" s="4" t="s">
        <v>4290</v>
      </c>
    </row>
    <row r="4" spans="1:28">
      <c r="A4" s="4">
        <v>3</v>
      </c>
      <c r="B4" s="5">
        <v>11331507</v>
      </c>
      <c r="C4" s="5">
        <v>203679309</v>
      </c>
      <c r="D4" s="115" t="s">
        <v>235</v>
      </c>
      <c r="E4" s="4" t="s">
        <v>3884</v>
      </c>
      <c r="F4" s="7" t="s">
        <v>82</v>
      </c>
      <c r="G4" s="7" t="s">
        <v>94</v>
      </c>
      <c r="H4" s="7" t="s">
        <v>89</v>
      </c>
      <c r="I4" s="6" t="s">
        <v>1788</v>
      </c>
      <c r="J4" s="7" t="s">
        <v>2</v>
      </c>
      <c r="K4" s="4" t="s">
        <v>10</v>
      </c>
      <c r="L4" s="4" t="s">
        <v>24</v>
      </c>
      <c r="M4" s="4" t="s">
        <v>4310</v>
      </c>
      <c r="N4" s="4" t="s">
        <v>2583</v>
      </c>
      <c r="O4" s="89"/>
      <c r="P4" s="25">
        <v>45488</v>
      </c>
      <c r="Q4" s="4" t="s">
        <v>78</v>
      </c>
      <c r="R4" s="90" t="s">
        <v>3252</v>
      </c>
      <c r="S4" s="6" t="s">
        <v>1795</v>
      </c>
      <c r="T4" s="4" t="s">
        <v>81</v>
      </c>
      <c r="U4" s="4" t="s">
        <v>103</v>
      </c>
      <c r="V4" s="4">
        <v>99</v>
      </c>
      <c r="W4" s="85">
        <v>45853</v>
      </c>
      <c r="X4" s="4" t="s">
        <v>3739</v>
      </c>
      <c r="Y4" s="4">
        <v>545179765</v>
      </c>
      <c r="Z4" s="4" t="s">
        <v>1797</v>
      </c>
      <c r="AA4" s="4" t="s">
        <v>85</v>
      </c>
      <c r="AB4" s="4" t="s">
        <v>4290</v>
      </c>
    </row>
    <row r="5" spans="1:28">
      <c r="A5" s="4">
        <v>4</v>
      </c>
      <c r="B5" s="5">
        <v>14208599</v>
      </c>
      <c r="C5" s="5">
        <v>204864408</v>
      </c>
      <c r="D5" s="115" t="s">
        <v>2278</v>
      </c>
      <c r="E5" s="4" t="s">
        <v>3887</v>
      </c>
      <c r="F5" s="7" t="s">
        <v>82</v>
      </c>
      <c r="G5" s="7" t="s">
        <v>94</v>
      </c>
      <c r="H5" s="7" t="s">
        <v>89</v>
      </c>
      <c r="I5" s="7" t="s">
        <v>1789</v>
      </c>
      <c r="J5" s="7" t="s">
        <v>2</v>
      </c>
      <c r="K5" s="4" t="s">
        <v>10</v>
      </c>
      <c r="L5" s="4" t="s">
        <v>22</v>
      </c>
      <c r="M5" s="4" t="s">
        <v>4310</v>
      </c>
      <c r="N5" s="4" t="s">
        <v>2584</v>
      </c>
      <c r="O5" s="89"/>
      <c r="P5" s="25">
        <v>45684</v>
      </c>
      <c r="Q5" s="4" t="s">
        <v>78</v>
      </c>
      <c r="R5" s="90" t="s">
        <v>3253</v>
      </c>
      <c r="S5" s="6" t="s">
        <v>1795</v>
      </c>
      <c r="T5" s="4" t="s">
        <v>81</v>
      </c>
      <c r="U5" s="4" t="s">
        <v>107</v>
      </c>
      <c r="V5" s="4">
        <v>99</v>
      </c>
      <c r="W5" s="85">
        <v>45740</v>
      </c>
      <c r="X5" s="4" t="s">
        <v>3689</v>
      </c>
      <c r="Y5" s="4"/>
      <c r="Z5" s="4"/>
      <c r="AA5" s="4" t="s">
        <v>85</v>
      </c>
      <c r="AB5" s="4" t="s">
        <v>4290</v>
      </c>
    </row>
    <row r="6" spans="1:28">
      <c r="A6" s="4">
        <v>5</v>
      </c>
      <c r="B6" s="5">
        <v>15398729</v>
      </c>
      <c r="C6" s="5">
        <v>203800376</v>
      </c>
      <c r="D6" s="115" t="s">
        <v>650</v>
      </c>
      <c r="E6" s="4" t="s">
        <v>3886</v>
      </c>
      <c r="F6" s="7" t="s">
        <v>74</v>
      </c>
      <c r="G6" s="7" t="s">
        <v>87</v>
      </c>
      <c r="H6" s="7" t="s">
        <v>75</v>
      </c>
      <c r="I6" s="7" t="s">
        <v>1789</v>
      </c>
      <c r="J6" s="7" t="s">
        <v>2</v>
      </c>
      <c r="K6" s="4" t="s">
        <v>10</v>
      </c>
      <c r="L6" s="4" t="s">
        <v>22</v>
      </c>
      <c r="M6" s="4" t="s">
        <v>4310</v>
      </c>
      <c r="N6" s="4" t="s">
        <v>2584</v>
      </c>
      <c r="O6" s="89"/>
      <c r="P6" s="25">
        <v>45516</v>
      </c>
      <c r="Q6" s="4" t="s">
        <v>78</v>
      </c>
      <c r="R6" s="90" t="s">
        <v>2586</v>
      </c>
      <c r="S6" s="6" t="s">
        <v>1795</v>
      </c>
      <c r="T6" s="4" t="s">
        <v>81</v>
      </c>
      <c r="U6" s="4" t="s">
        <v>349</v>
      </c>
      <c r="V6" s="4">
        <v>99</v>
      </c>
      <c r="W6" s="85">
        <v>45572</v>
      </c>
      <c r="X6" s="4" t="s">
        <v>3689</v>
      </c>
      <c r="Y6" s="4">
        <v>554681172</v>
      </c>
      <c r="Z6" s="4" t="s">
        <v>1798</v>
      </c>
      <c r="AA6" s="4" t="s">
        <v>95</v>
      </c>
      <c r="AB6" s="4" t="s">
        <v>4290</v>
      </c>
    </row>
    <row r="7" spans="1:28">
      <c r="A7" s="4">
        <v>6</v>
      </c>
      <c r="B7" s="5">
        <v>14291119</v>
      </c>
      <c r="C7" s="5">
        <v>206953791</v>
      </c>
      <c r="D7" s="116" t="s">
        <v>4187</v>
      </c>
      <c r="E7" s="95" t="s">
        <v>4188</v>
      </c>
      <c r="F7" s="7" t="s">
        <v>74</v>
      </c>
      <c r="G7" s="7" t="s">
        <v>75</v>
      </c>
      <c r="H7" s="7" t="s">
        <v>76</v>
      </c>
      <c r="I7" s="6" t="s">
        <v>1790</v>
      </c>
      <c r="J7" s="7" t="s">
        <v>2</v>
      </c>
      <c r="K7" s="7" t="s">
        <v>10</v>
      </c>
      <c r="L7" s="7" t="s">
        <v>22</v>
      </c>
      <c r="M7" s="4" t="s">
        <v>4310</v>
      </c>
      <c r="N7" s="4" t="s">
        <v>2584</v>
      </c>
      <c r="O7" s="89"/>
      <c r="P7" s="25">
        <v>46048</v>
      </c>
      <c r="Q7" s="4" t="s">
        <v>78</v>
      </c>
      <c r="R7" s="7" t="s">
        <v>3254</v>
      </c>
      <c r="S7" s="7" t="s">
        <v>1795</v>
      </c>
      <c r="T7" s="7" t="s">
        <v>81</v>
      </c>
      <c r="U7" s="7"/>
      <c r="V7" s="4">
        <v>99</v>
      </c>
      <c r="W7" s="7"/>
      <c r="X7" s="4" t="s">
        <v>3290</v>
      </c>
      <c r="Y7" s="4">
        <v>567846055</v>
      </c>
      <c r="Z7" s="4" t="s">
        <v>4223</v>
      </c>
      <c r="AA7" s="4" t="s">
        <v>3016</v>
      </c>
      <c r="AB7" s="4" t="e">
        <v>#N/A</v>
      </c>
    </row>
    <row r="8" spans="1:28">
      <c r="A8" s="4">
        <v>7</v>
      </c>
      <c r="B8" s="5">
        <v>11557143</v>
      </c>
      <c r="C8" s="5">
        <v>205608373</v>
      </c>
      <c r="D8" s="115" t="s">
        <v>2587</v>
      </c>
      <c r="E8" s="4" t="s">
        <v>3888</v>
      </c>
      <c r="F8" s="7" t="s">
        <v>82</v>
      </c>
      <c r="G8" s="7" t="s">
        <v>87</v>
      </c>
      <c r="H8" s="7" t="s">
        <v>75</v>
      </c>
      <c r="I8" s="7" t="s">
        <v>1789</v>
      </c>
      <c r="J8" s="7" t="s">
        <v>2</v>
      </c>
      <c r="K8" s="4" t="s">
        <v>10</v>
      </c>
      <c r="L8" s="4" t="s">
        <v>22</v>
      </c>
      <c r="M8" s="4" t="s">
        <v>4310</v>
      </c>
      <c r="N8" s="4"/>
      <c r="O8" s="89"/>
      <c r="P8" s="25">
        <v>45845</v>
      </c>
      <c r="Q8" s="4" t="s">
        <v>78</v>
      </c>
      <c r="R8" s="90" t="s">
        <v>3255</v>
      </c>
      <c r="S8" s="6" t="s">
        <v>1795</v>
      </c>
      <c r="T8" s="4" t="s">
        <v>81</v>
      </c>
      <c r="U8" s="4" t="s">
        <v>112</v>
      </c>
      <c r="V8" s="4">
        <v>99</v>
      </c>
      <c r="W8" s="85">
        <v>45901</v>
      </c>
      <c r="X8" s="4" t="s">
        <v>3689</v>
      </c>
      <c r="Y8" s="4">
        <v>562157492</v>
      </c>
      <c r="Z8" s="4" t="s">
        <v>2609</v>
      </c>
      <c r="AA8" s="4" t="s">
        <v>85</v>
      </c>
      <c r="AB8" s="4" t="s">
        <v>4289</v>
      </c>
    </row>
    <row r="9" spans="1:28">
      <c r="A9" s="4">
        <v>8</v>
      </c>
      <c r="B9" s="5">
        <v>14391811</v>
      </c>
      <c r="C9" s="5">
        <v>204869098</v>
      </c>
      <c r="D9" s="115" t="s">
        <v>2286</v>
      </c>
      <c r="E9" s="4" t="s">
        <v>2287</v>
      </c>
      <c r="F9" s="7" t="s">
        <v>82</v>
      </c>
      <c r="G9" s="7" t="s">
        <v>76</v>
      </c>
      <c r="H9" s="7" t="s">
        <v>88</v>
      </c>
      <c r="I9" s="7" t="s">
        <v>1789</v>
      </c>
      <c r="J9" s="7" t="s">
        <v>2</v>
      </c>
      <c r="K9" s="4" t="s">
        <v>10</v>
      </c>
      <c r="L9" s="4" t="s">
        <v>27</v>
      </c>
      <c r="M9" s="4" t="s">
        <v>4310</v>
      </c>
      <c r="N9" s="4" t="s">
        <v>2584</v>
      </c>
      <c r="O9" s="89"/>
      <c r="P9" s="25">
        <v>45691</v>
      </c>
      <c r="Q9" s="4" t="s">
        <v>78</v>
      </c>
      <c r="R9" s="90" t="s">
        <v>3254</v>
      </c>
      <c r="S9" s="6" t="s">
        <v>1795</v>
      </c>
      <c r="T9" s="4" t="s">
        <v>92</v>
      </c>
      <c r="U9" s="4" t="s">
        <v>103</v>
      </c>
      <c r="V9" s="4">
        <v>99</v>
      </c>
      <c r="W9" s="85">
        <v>45747</v>
      </c>
      <c r="X9" s="4" t="s">
        <v>3690</v>
      </c>
      <c r="Y9" s="4" t="s">
        <v>3691</v>
      </c>
      <c r="Z9" s="4" t="s">
        <v>2379</v>
      </c>
      <c r="AA9" s="4" t="s">
        <v>85</v>
      </c>
      <c r="AB9" s="4" t="s">
        <v>4289</v>
      </c>
    </row>
    <row r="10" spans="1:28">
      <c r="A10" s="4">
        <v>9</v>
      </c>
      <c r="B10" s="95">
        <v>13243737</v>
      </c>
      <c r="C10" s="5">
        <v>206875144</v>
      </c>
      <c r="D10" s="115" t="s">
        <v>3427</v>
      </c>
      <c r="E10" s="4" t="s">
        <v>3385</v>
      </c>
      <c r="F10" s="7" t="s">
        <v>82</v>
      </c>
      <c r="G10" s="7" t="s">
        <v>94</v>
      </c>
      <c r="H10" s="7" t="s">
        <v>89</v>
      </c>
      <c r="I10" s="7" t="s">
        <v>1789</v>
      </c>
      <c r="J10" s="6" t="s">
        <v>2</v>
      </c>
      <c r="K10" s="6" t="s">
        <v>10</v>
      </c>
      <c r="L10" s="4" t="s">
        <v>22</v>
      </c>
      <c r="M10" s="4" t="s">
        <v>4310</v>
      </c>
      <c r="N10" s="4" t="s">
        <v>2584</v>
      </c>
      <c r="O10" s="89"/>
      <c r="P10" s="25">
        <v>46020</v>
      </c>
      <c r="Q10" s="4" t="s">
        <v>78</v>
      </c>
      <c r="R10" s="4" t="s">
        <v>3254</v>
      </c>
      <c r="S10" s="6" t="s">
        <v>3478</v>
      </c>
      <c r="T10" s="4" t="s">
        <v>81</v>
      </c>
      <c r="U10" s="4"/>
      <c r="V10" s="4">
        <v>99</v>
      </c>
      <c r="W10" s="4"/>
      <c r="X10" s="4" t="s">
        <v>3290</v>
      </c>
      <c r="Y10" s="95">
        <v>582449589</v>
      </c>
      <c r="Z10" s="4" t="s">
        <v>3459</v>
      </c>
      <c r="AA10" s="4" t="s">
        <v>3477</v>
      </c>
      <c r="AB10" s="4">
        <v>0</v>
      </c>
    </row>
    <row r="11" spans="1:28">
      <c r="A11" s="4">
        <v>10</v>
      </c>
      <c r="B11" s="5">
        <v>12665361</v>
      </c>
      <c r="C11" s="5">
        <v>204299542</v>
      </c>
      <c r="D11" s="115" t="s">
        <v>1694</v>
      </c>
      <c r="E11" s="4" t="s">
        <v>3889</v>
      </c>
      <c r="F11" s="7" t="s">
        <v>82</v>
      </c>
      <c r="G11" s="7" t="s">
        <v>75</v>
      </c>
      <c r="H11" s="7" t="s">
        <v>76</v>
      </c>
      <c r="I11" s="7" t="s">
        <v>1789</v>
      </c>
      <c r="J11" s="7" t="s">
        <v>2</v>
      </c>
      <c r="K11" s="4" t="s">
        <v>10</v>
      </c>
      <c r="L11" s="4" t="s">
        <v>27</v>
      </c>
      <c r="M11" s="4" t="s">
        <v>4310</v>
      </c>
      <c r="N11" s="4" t="s">
        <v>2584</v>
      </c>
      <c r="O11" s="89"/>
      <c r="P11" s="25">
        <v>45586</v>
      </c>
      <c r="Q11" s="4" t="s">
        <v>78</v>
      </c>
      <c r="R11" s="90" t="s">
        <v>3257</v>
      </c>
      <c r="S11" s="6" t="s">
        <v>1795</v>
      </c>
      <c r="T11" s="4" t="s">
        <v>81</v>
      </c>
      <c r="U11" s="4" t="s">
        <v>112</v>
      </c>
      <c r="V11" s="4">
        <v>99</v>
      </c>
      <c r="W11" s="85">
        <v>45642</v>
      </c>
      <c r="X11" s="4" t="s">
        <v>3694</v>
      </c>
      <c r="Y11" s="4">
        <v>524276034</v>
      </c>
      <c r="Z11" s="4" t="s">
        <v>1799</v>
      </c>
      <c r="AA11" s="4" t="s">
        <v>1196</v>
      </c>
      <c r="AB11" s="4" t="s">
        <v>4290</v>
      </c>
    </row>
    <row r="12" spans="1:28">
      <c r="A12" s="4">
        <v>11</v>
      </c>
      <c r="B12" s="95">
        <v>14088587</v>
      </c>
      <c r="C12" s="5">
        <v>206873708</v>
      </c>
      <c r="D12" s="115" t="s">
        <v>3380</v>
      </c>
      <c r="E12" s="4" t="s">
        <v>3381</v>
      </c>
      <c r="F12" s="7" t="s">
        <v>74</v>
      </c>
      <c r="G12" s="7" t="s">
        <v>88</v>
      </c>
      <c r="H12" s="7" t="s">
        <v>94</v>
      </c>
      <c r="I12" s="7" t="s">
        <v>1789</v>
      </c>
      <c r="J12" s="6" t="s">
        <v>2</v>
      </c>
      <c r="K12" s="6" t="s">
        <v>10</v>
      </c>
      <c r="L12" s="4" t="s">
        <v>22</v>
      </c>
      <c r="M12" s="4" t="s">
        <v>4310</v>
      </c>
      <c r="N12" s="4" t="s">
        <v>2584</v>
      </c>
      <c r="O12" s="89"/>
      <c r="P12" s="25">
        <v>46020</v>
      </c>
      <c r="Q12" s="4" t="s">
        <v>78</v>
      </c>
      <c r="R12" s="4" t="s">
        <v>3252</v>
      </c>
      <c r="S12" s="6" t="s">
        <v>3478</v>
      </c>
      <c r="T12" s="4" t="s">
        <v>81</v>
      </c>
      <c r="U12" s="4"/>
      <c r="V12" s="4">
        <v>99</v>
      </c>
      <c r="W12" s="4"/>
      <c r="X12" s="4" t="s">
        <v>3290</v>
      </c>
      <c r="Y12" s="95">
        <v>704129216</v>
      </c>
      <c r="Z12" s="4" t="s">
        <v>3456</v>
      </c>
      <c r="AA12" s="4" t="s">
        <v>3016</v>
      </c>
      <c r="AB12" s="4" t="s">
        <v>4289</v>
      </c>
    </row>
    <row r="13" spans="1:28">
      <c r="A13" s="4">
        <v>12</v>
      </c>
      <c r="B13" s="5">
        <v>12716756</v>
      </c>
      <c r="C13" s="5">
        <v>107117478</v>
      </c>
      <c r="D13" s="115" t="s">
        <v>129</v>
      </c>
      <c r="E13" s="4" t="s">
        <v>3695</v>
      </c>
      <c r="F13" s="7" t="s">
        <v>74</v>
      </c>
      <c r="G13" s="7" t="s">
        <v>75</v>
      </c>
      <c r="H13" s="7" t="s">
        <v>76</v>
      </c>
      <c r="I13" s="6" t="s">
        <v>244</v>
      </c>
      <c r="J13" s="7" t="s">
        <v>2</v>
      </c>
      <c r="K13" s="4" t="s">
        <v>10</v>
      </c>
      <c r="L13" s="4" t="s">
        <v>21</v>
      </c>
      <c r="M13" s="4" t="s">
        <v>4310</v>
      </c>
      <c r="N13" s="4" t="s">
        <v>2583</v>
      </c>
      <c r="O13" s="89"/>
      <c r="P13" s="25">
        <v>44797</v>
      </c>
      <c r="Q13" s="4" t="s">
        <v>78</v>
      </c>
      <c r="R13" s="90" t="s">
        <v>2586</v>
      </c>
      <c r="S13" s="6" t="s">
        <v>1795</v>
      </c>
      <c r="T13" s="4" t="s">
        <v>81</v>
      </c>
      <c r="U13" s="4" t="s">
        <v>112</v>
      </c>
      <c r="V13" s="4">
        <v>3</v>
      </c>
      <c r="W13" s="85"/>
      <c r="X13" s="4" t="s">
        <v>3657</v>
      </c>
      <c r="Y13" s="4">
        <v>0</v>
      </c>
      <c r="Z13" s="4" t="e">
        <v>#N/A</v>
      </c>
      <c r="AA13" s="4" t="s">
        <v>1194</v>
      </c>
      <c r="AB13" s="4" t="s">
        <v>4290</v>
      </c>
    </row>
    <row r="14" spans="1:28">
      <c r="A14" s="4">
        <v>13</v>
      </c>
      <c r="B14" s="5">
        <v>12885098</v>
      </c>
      <c r="C14" s="5">
        <v>204403651</v>
      </c>
      <c r="D14" s="115" t="s">
        <v>1766</v>
      </c>
      <c r="E14" s="4" t="s">
        <v>3894</v>
      </c>
      <c r="F14" s="7" t="s">
        <v>82</v>
      </c>
      <c r="G14" s="7" t="s">
        <v>87</v>
      </c>
      <c r="H14" s="7" t="s">
        <v>75</v>
      </c>
      <c r="I14" s="6" t="s">
        <v>1790</v>
      </c>
      <c r="J14" s="7" t="s">
        <v>2</v>
      </c>
      <c r="K14" s="4" t="s">
        <v>10</v>
      </c>
      <c r="L14" s="4" t="s">
        <v>20</v>
      </c>
      <c r="M14" s="4" t="s">
        <v>4310</v>
      </c>
      <c r="N14" s="4" t="s">
        <v>2584</v>
      </c>
      <c r="O14" s="89"/>
      <c r="P14" s="25">
        <v>45596</v>
      </c>
      <c r="Q14" s="4" t="s">
        <v>78</v>
      </c>
      <c r="R14" s="90" t="s">
        <v>3256</v>
      </c>
      <c r="S14" s="6" t="s">
        <v>1795</v>
      </c>
      <c r="T14" s="4" t="s">
        <v>81</v>
      </c>
      <c r="U14" s="4" t="s">
        <v>112</v>
      </c>
      <c r="V14" s="4">
        <v>99</v>
      </c>
      <c r="W14" s="85">
        <v>46326</v>
      </c>
      <c r="X14" s="4" t="s">
        <v>3696</v>
      </c>
      <c r="Y14" s="4">
        <v>559738796</v>
      </c>
      <c r="Z14" s="4" t="s">
        <v>1800</v>
      </c>
      <c r="AA14" s="4" t="s">
        <v>1194</v>
      </c>
      <c r="AB14" s="4" t="s">
        <v>4289</v>
      </c>
    </row>
    <row r="15" spans="1:28">
      <c r="A15" s="4">
        <v>14</v>
      </c>
      <c r="B15" s="5">
        <v>14035522</v>
      </c>
      <c r="C15" s="5">
        <v>204299562</v>
      </c>
      <c r="D15" s="115" t="s">
        <v>1695</v>
      </c>
      <c r="E15" s="4" t="s">
        <v>3697</v>
      </c>
      <c r="F15" s="7" t="s">
        <v>82</v>
      </c>
      <c r="G15" s="7" t="s">
        <v>89</v>
      </c>
      <c r="H15" s="7" t="s">
        <v>90</v>
      </c>
      <c r="I15" s="6" t="s">
        <v>1790</v>
      </c>
      <c r="J15" s="7" t="s">
        <v>2</v>
      </c>
      <c r="K15" s="4" t="s">
        <v>10</v>
      </c>
      <c r="L15" s="4" t="s">
        <v>27</v>
      </c>
      <c r="M15" s="4" t="s">
        <v>4310</v>
      </c>
      <c r="N15" s="4" t="s">
        <v>2584</v>
      </c>
      <c r="O15" s="89"/>
      <c r="P15" s="25">
        <v>45586</v>
      </c>
      <c r="Q15" s="4" t="s">
        <v>78</v>
      </c>
      <c r="R15" s="90" t="s">
        <v>3258</v>
      </c>
      <c r="S15" s="6" t="s">
        <v>1795</v>
      </c>
      <c r="T15" s="4" t="s">
        <v>81</v>
      </c>
      <c r="U15" s="4" t="s">
        <v>3259</v>
      </c>
      <c r="V15" s="4">
        <v>99</v>
      </c>
      <c r="W15" s="85">
        <v>46316</v>
      </c>
      <c r="X15" s="4" t="s">
        <v>3492</v>
      </c>
      <c r="Y15" s="4">
        <v>528218995</v>
      </c>
      <c r="Z15" s="4" t="s">
        <v>1801</v>
      </c>
      <c r="AA15" s="4" t="s">
        <v>1198</v>
      </c>
      <c r="AB15" s="4" t="s">
        <v>4289</v>
      </c>
    </row>
    <row r="16" spans="1:28">
      <c r="A16" s="4">
        <v>15</v>
      </c>
      <c r="B16" s="5">
        <v>13000290</v>
      </c>
      <c r="C16" s="5">
        <v>206949071</v>
      </c>
      <c r="D16" s="116" t="s">
        <v>4191</v>
      </c>
      <c r="E16" s="95" t="s">
        <v>4192</v>
      </c>
      <c r="F16" s="7" t="s">
        <v>82</v>
      </c>
      <c r="G16" s="7" t="s">
        <v>75</v>
      </c>
      <c r="H16" s="7" t="s">
        <v>76</v>
      </c>
      <c r="I16" s="6" t="s">
        <v>1790</v>
      </c>
      <c r="J16" s="7" t="s">
        <v>2</v>
      </c>
      <c r="K16" s="7" t="s">
        <v>10</v>
      </c>
      <c r="L16" s="7" t="s">
        <v>22</v>
      </c>
      <c r="M16" s="4" t="s">
        <v>4310</v>
      </c>
      <c r="N16" s="4" t="s">
        <v>2584</v>
      </c>
      <c r="O16" s="89"/>
      <c r="P16" s="25">
        <v>46048</v>
      </c>
      <c r="Q16" s="4" t="s">
        <v>78</v>
      </c>
      <c r="R16" s="7" t="s">
        <v>3258</v>
      </c>
      <c r="S16" s="7" t="s">
        <v>1795</v>
      </c>
      <c r="T16" s="7" t="s">
        <v>81</v>
      </c>
      <c r="U16" s="7"/>
      <c r="V16" s="4">
        <v>99</v>
      </c>
      <c r="W16" s="7"/>
      <c r="X16" s="4" t="s">
        <v>3290</v>
      </c>
      <c r="Y16" s="4" t="s">
        <v>4226</v>
      </c>
      <c r="Z16" s="4" t="s">
        <v>4227</v>
      </c>
      <c r="AA16" s="4" t="s">
        <v>3168</v>
      </c>
      <c r="AB16" s="4" t="e">
        <v>#N/A</v>
      </c>
    </row>
    <row r="17" spans="1:28" ht="14.5" customHeight="1">
      <c r="A17" s="4">
        <v>16</v>
      </c>
      <c r="B17" s="5">
        <v>13625250</v>
      </c>
      <c r="C17" s="5">
        <v>203083928</v>
      </c>
      <c r="D17" s="115" t="s">
        <v>236</v>
      </c>
      <c r="E17" s="4" t="s">
        <v>3895</v>
      </c>
      <c r="F17" s="7" t="s">
        <v>74</v>
      </c>
      <c r="G17" s="7" t="s">
        <v>87</v>
      </c>
      <c r="H17" s="7" t="s">
        <v>75</v>
      </c>
      <c r="I17" s="6" t="s">
        <v>1788</v>
      </c>
      <c r="J17" s="7" t="s">
        <v>2</v>
      </c>
      <c r="K17" s="4" t="s">
        <v>10</v>
      </c>
      <c r="L17" s="4" t="s">
        <v>24</v>
      </c>
      <c r="M17" s="4" t="s">
        <v>4310</v>
      </c>
      <c r="N17" s="4" t="s">
        <v>2583</v>
      </c>
      <c r="O17" s="89"/>
      <c r="P17" s="25">
        <v>45488</v>
      </c>
      <c r="Q17" s="4" t="s">
        <v>78</v>
      </c>
      <c r="R17" s="90" t="s">
        <v>3260</v>
      </c>
      <c r="S17" s="6" t="s">
        <v>1795</v>
      </c>
      <c r="T17" s="4" t="s">
        <v>81</v>
      </c>
      <c r="U17" s="4" t="s">
        <v>107</v>
      </c>
      <c r="V17" s="4">
        <v>99</v>
      </c>
      <c r="W17" s="85">
        <v>45853</v>
      </c>
      <c r="X17" s="4" t="s">
        <v>3739</v>
      </c>
      <c r="Y17" s="4">
        <v>568790263</v>
      </c>
      <c r="Z17" s="4" t="s">
        <v>1802</v>
      </c>
      <c r="AA17" s="4" t="s">
        <v>85</v>
      </c>
      <c r="AB17" s="4" t="s">
        <v>4289</v>
      </c>
    </row>
    <row r="18" spans="1:28" ht="14.5" customHeight="1">
      <c r="A18" s="4">
        <v>17</v>
      </c>
      <c r="B18" s="5">
        <v>11002959</v>
      </c>
      <c r="C18" s="5">
        <v>206926473</v>
      </c>
      <c r="D18" s="115" t="s">
        <v>4155</v>
      </c>
      <c r="E18" s="4" t="s">
        <v>4027</v>
      </c>
      <c r="F18" s="7" t="s">
        <v>74</v>
      </c>
      <c r="G18" s="7" t="s">
        <v>90</v>
      </c>
      <c r="H18" s="7" t="s">
        <v>87</v>
      </c>
      <c r="I18" s="6" t="s">
        <v>1789</v>
      </c>
      <c r="J18" s="7" t="s">
        <v>2</v>
      </c>
      <c r="K18" s="4" t="s">
        <v>10</v>
      </c>
      <c r="L18" s="4" t="s">
        <v>22</v>
      </c>
      <c r="M18" s="4" t="s">
        <v>4310</v>
      </c>
      <c r="N18" s="4" t="s">
        <v>2584</v>
      </c>
      <c r="O18" s="89"/>
      <c r="P18" s="25">
        <v>46048</v>
      </c>
      <c r="Q18" s="4" t="s">
        <v>78</v>
      </c>
      <c r="R18" s="4" t="s">
        <v>3252</v>
      </c>
      <c r="S18" s="6" t="s">
        <v>1795</v>
      </c>
      <c r="T18" s="4" t="s">
        <v>81</v>
      </c>
      <c r="U18" s="4"/>
      <c r="V18" s="4">
        <v>99</v>
      </c>
      <c r="W18" s="85">
        <v>46778</v>
      </c>
      <c r="X18" s="4" t="s">
        <v>3290</v>
      </c>
      <c r="Y18" s="4" t="s">
        <v>4042</v>
      </c>
      <c r="Z18" s="4" t="s">
        <v>4055</v>
      </c>
      <c r="AA18" s="4" t="s">
        <v>3168</v>
      </c>
      <c r="AB18" s="4" t="s">
        <v>4290</v>
      </c>
    </row>
    <row r="19" spans="1:28" ht="14.5" customHeight="1">
      <c r="A19" s="4">
        <v>18</v>
      </c>
      <c r="B19" s="5">
        <v>11815931</v>
      </c>
      <c r="C19" s="5">
        <v>203469072</v>
      </c>
      <c r="D19" s="115" t="s">
        <v>160</v>
      </c>
      <c r="E19" s="4" t="s">
        <v>3896</v>
      </c>
      <c r="F19" s="7" t="s">
        <v>82</v>
      </c>
      <c r="G19" s="7" t="s">
        <v>76</v>
      </c>
      <c r="H19" s="7" t="s">
        <v>88</v>
      </c>
      <c r="I19" s="6" t="s">
        <v>1788</v>
      </c>
      <c r="J19" s="7" t="s">
        <v>2</v>
      </c>
      <c r="K19" s="4" t="s">
        <v>10</v>
      </c>
      <c r="L19" s="4" t="s">
        <v>24</v>
      </c>
      <c r="M19" s="4" t="s">
        <v>4310</v>
      </c>
      <c r="N19" s="4" t="s">
        <v>2583</v>
      </c>
      <c r="O19" s="89"/>
      <c r="P19" s="25">
        <v>45456</v>
      </c>
      <c r="Q19" s="4" t="s">
        <v>78</v>
      </c>
      <c r="R19" s="90" t="s">
        <v>3256</v>
      </c>
      <c r="S19" s="6" t="s">
        <v>1795</v>
      </c>
      <c r="T19" s="4" t="s">
        <v>92</v>
      </c>
      <c r="U19" s="4" t="s">
        <v>112</v>
      </c>
      <c r="V19" s="4">
        <v>99</v>
      </c>
      <c r="W19" s="85">
        <v>45821</v>
      </c>
      <c r="X19" s="4" t="s">
        <v>3688</v>
      </c>
      <c r="Y19" s="4">
        <v>562493345</v>
      </c>
      <c r="Z19" s="4" t="s">
        <v>1803</v>
      </c>
      <c r="AA19" s="4" t="s">
        <v>1195</v>
      </c>
      <c r="AB19" s="4" t="s">
        <v>4290</v>
      </c>
    </row>
    <row r="20" spans="1:28">
      <c r="A20" s="4">
        <v>19</v>
      </c>
      <c r="B20" s="95">
        <v>12068071</v>
      </c>
      <c r="C20" s="5">
        <v>206875142</v>
      </c>
      <c r="D20" s="115" t="s">
        <v>3431</v>
      </c>
      <c r="E20" s="4" t="s">
        <v>3391</v>
      </c>
      <c r="F20" s="7" t="s">
        <v>82</v>
      </c>
      <c r="G20" s="7" t="s">
        <v>94</v>
      </c>
      <c r="H20" s="7" t="s">
        <v>89</v>
      </c>
      <c r="I20" s="7" t="s">
        <v>1789</v>
      </c>
      <c r="J20" s="6" t="s">
        <v>2</v>
      </c>
      <c r="K20" s="6" t="s">
        <v>10</v>
      </c>
      <c r="L20" s="4" t="s">
        <v>22</v>
      </c>
      <c r="M20" s="4" t="s">
        <v>4310</v>
      </c>
      <c r="N20" s="4" t="s">
        <v>2584</v>
      </c>
      <c r="O20" s="89"/>
      <c r="P20" s="25">
        <v>46020</v>
      </c>
      <c r="Q20" s="4" t="s">
        <v>78</v>
      </c>
      <c r="R20" s="4" t="s">
        <v>3261</v>
      </c>
      <c r="S20" s="6" t="s">
        <v>3478</v>
      </c>
      <c r="T20" s="4" t="s">
        <v>81</v>
      </c>
      <c r="U20" s="4"/>
      <c r="V20" s="4">
        <v>99</v>
      </c>
      <c r="W20" s="4"/>
      <c r="X20" s="4" t="s">
        <v>3290</v>
      </c>
      <c r="Y20" s="95">
        <v>589875300</v>
      </c>
      <c r="Z20" s="4" t="s">
        <v>3464</v>
      </c>
      <c r="AA20" s="4" t="s">
        <v>3016</v>
      </c>
      <c r="AB20" s="4">
        <v>0</v>
      </c>
    </row>
    <row r="21" spans="1:28">
      <c r="A21" s="4">
        <v>20</v>
      </c>
      <c r="B21" s="106">
        <v>13384849</v>
      </c>
      <c r="C21" s="5">
        <v>206953811</v>
      </c>
      <c r="D21" s="115" t="s">
        <v>4256</v>
      </c>
      <c r="E21" s="4" t="s">
        <v>4255</v>
      </c>
      <c r="F21" s="7" t="s">
        <v>82</v>
      </c>
      <c r="G21" s="7" t="s">
        <v>75</v>
      </c>
      <c r="H21" s="7" t="s">
        <v>76</v>
      </c>
      <c r="I21" s="7" t="s">
        <v>1790</v>
      </c>
      <c r="J21" s="7" t="s">
        <v>2</v>
      </c>
      <c r="K21" s="4" t="s">
        <v>10</v>
      </c>
      <c r="L21" s="111" t="s">
        <v>22</v>
      </c>
      <c r="M21" s="4" t="s">
        <v>4309</v>
      </c>
      <c r="N21" s="4"/>
      <c r="O21" s="89"/>
      <c r="P21" s="25">
        <v>46048</v>
      </c>
      <c r="Q21" s="4" t="s">
        <v>78</v>
      </c>
      <c r="R21" s="90" t="s">
        <v>3262</v>
      </c>
      <c r="S21" s="6" t="s">
        <v>1795</v>
      </c>
      <c r="T21" s="4" t="s">
        <v>81</v>
      </c>
      <c r="U21" s="4"/>
      <c r="V21" s="4">
        <v>99</v>
      </c>
      <c r="W21" s="85"/>
      <c r="X21" s="4"/>
      <c r="Y21" s="4"/>
      <c r="Z21" s="4"/>
      <c r="AA21" s="4"/>
      <c r="AB21" s="4" t="s">
        <v>4289</v>
      </c>
    </row>
    <row r="22" spans="1:28">
      <c r="A22" s="4">
        <v>21</v>
      </c>
      <c r="B22" s="95">
        <v>12000454</v>
      </c>
      <c r="C22" s="5">
        <v>206875146</v>
      </c>
      <c r="D22" s="115" t="s">
        <v>3521</v>
      </c>
      <c r="E22" s="4" t="s">
        <v>3491</v>
      </c>
      <c r="F22" s="7" t="s">
        <v>82</v>
      </c>
      <c r="G22" s="7" t="s">
        <v>88</v>
      </c>
      <c r="H22" s="7" t="s">
        <v>94</v>
      </c>
      <c r="I22" s="7" t="s">
        <v>1789</v>
      </c>
      <c r="J22" s="4" t="s">
        <v>2</v>
      </c>
      <c r="K22" s="6" t="s">
        <v>10</v>
      </c>
      <c r="L22" s="4" t="s">
        <v>22</v>
      </c>
      <c r="M22" s="4" t="s">
        <v>4310</v>
      </c>
      <c r="N22" s="4" t="s">
        <v>2584</v>
      </c>
      <c r="O22" s="89"/>
      <c r="P22" s="25">
        <v>46020</v>
      </c>
      <c r="Q22" s="4" t="s">
        <v>78</v>
      </c>
      <c r="R22" s="4" t="s">
        <v>3253</v>
      </c>
      <c r="S22" s="4" t="s">
        <v>3478</v>
      </c>
      <c r="T22" s="4" t="s">
        <v>81</v>
      </c>
      <c r="U22" s="4"/>
      <c r="V22" s="4">
        <v>99</v>
      </c>
      <c r="W22" s="4"/>
      <c r="X22" s="4" t="s">
        <v>3290</v>
      </c>
      <c r="Y22" s="4">
        <v>755487636</v>
      </c>
      <c r="Z22" s="4" t="s">
        <v>3507</v>
      </c>
      <c r="AA22" s="4" t="s">
        <v>3477</v>
      </c>
      <c r="AB22" s="4">
        <v>0</v>
      </c>
    </row>
    <row r="23" spans="1:28">
      <c r="A23" s="4">
        <v>22</v>
      </c>
      <c r="B23" s="5">
        <v>15020714</v>
      </c>
      <c r="C23" s="5">
        <v>205496017</v>
      </c>
      <c r="D23" s="115" t="s">
        <v>2548</v>
      </c>
      <c r="E23" s="4" t="s">
        <v>3700</v>
      </c>
      <c r="F23" s="7" t="s">
        <v>82</v>
      </c>
      <c r="G23" s="7" t="s">
        <v>90</v>
      </c>
      <c r="H23" s="7" t="s">
        <v>87</v>
      </c>
      <c r="I23" s="7" t="s">
        <v>1789</v>
      </c>
      <c r="J23" s="7" t="s">
        <v>2</v>
      </c>
      <c r="K23" s="4" t="s">
        <v>10</v>
      </c>
      <c r="L23" s="4" t="s">
        <v>23</v>
      </c>
      <c r="M23" s="4" t="s">
        <v>4310</v>
      </c>
      <c r="N23" s="4" t="s">
        <v>2584</v>
      </c>
      <c r="O23" s="89"/>
      <c r="P23" s="25">
        <v>45831</v>
      </c>
      <c r="Q23" s="4" t="s">
        <v>78</v>
      </c>
      <c r="R23" s="90" t="s">
        <v>3254</v>
      </c>
      <c r="S23" s="6" t="s">
        <v>1795</v>
      </c>
      <c r="T23" s="4" t="s">
        <v>92</v>
      </c>
      <c r="U23" s="4" t="s">
        <v>349</v>
      </c>
      <c r="V23" s="4">
        <v>99</v>
      </c>
      <c r="W23" s="85">
        <v>45887</v>
      </c>
      <c r="X23" s="4"/>
      <c r="Y23" s="4"/>
      <c r="Z23" s="4"/>
      <c r="AA23" s="4" t="s">
        <v>1204</v>
      </c>
      <c r="AB23" s="4" t="s">
        <v>4289</v>
      </c>
    </row>
    <row r="24" spans="1:28">
      <c r="A24" s="4">
        <v>23</v>
      </c>
      <c r="B24" s="5">
        <v>12612065</v>
      </c>
      <c r="C24" s="5">
        <v>206294541</v>
      </c>
      <c r="D24" s="115" t="s">
        <v>3122</v>
      </c>
      <c r="E24" s="4" t="s">
        <v>3890</v>
      </c>
      <c r="F24" s="7" t="s">
        <v>82</v>
      </c>
      <c r="G24" s="7" t="s">
        <v>75</v>
      </c>
      <c r="H24" s="7" t="s">
        <v>76</v>
      </c>
      <c r="I24" s="7" t="s">
        <v>1789</v>
      </c>
      <c r="J24" s="7" t="s">
        <v>2</v>
      </c>
      <c r="K24" s="4" t="s">
        <v>10</v>
      </c>
      <c r="L24" s="4" t="s">
        <v>23</v>
      </c>
      <c r="M24" s="4" t="s">
        <v>4310</v>
      </c>
      <c r="N24" s="4"/>
      <c r="O24" s="89"/>
      <c r="P24" s="25">
        <v>45950</v>
      </c>
      <c r="Q24" s="4" t="s">
        <v>78</v>
      </c>
      <c r="R24" s="90" t="s">
        <v>2586</v>
      </c>
      <c r="S24" s="6" t="s">
        <v>1795</v>
      </c>
      <c r="T24" s="4" t="s">
        <v>81</v>
      </c>
      <c r="U24" s="4" t="s">
        <v>107</v>
      </c>
      <c r="V24" s="4">
        <v>99</v>
      </c>
      <c r="W24" s="85"/>
      <c r="X24" s="4"/>
      <c r="Y24" s="4"/>
      <c r="Z24" s="4"/>
      <c r="AA24" s="4" t="s">
        <v>3701</v>
      </c>
      <c r="AB24" s="4" t="s">
        <v>4289</v>
      </c>
    </row>
    <row r="25" spans="1:28">
      <c r="A25" s="4">
        <v>24</v>
      </c>
      <c r="B25" s="5">
        <v>14561601</v>
      </c>
      <c r="C25" s="5">
        <v>203800382</v>
      </c>
      <c r="D25" s="115" t="s">
        <v>653</v>
      </c>
      <c r="E25" s="4" t="s">
        <v>3891</v>
      </c>
      <c r="F25" s="7" t="s">
        <v>74</v>
      </c>
      <c r="G25" s="7" t="s">
        <v>75</v>
      </c>
      <c r="H25" s="7" t="s">
        <v>76</v>
      </c>
      <c r="I25" s="7" t="s">
        <v>1789</v>
      </c>
      <c r="J25" s="7" t="s">
        <v>2</v>
      </c>
      <c r="K25" s="4" t="s">
        <v>10</v>
      </c>
      <c r="L25" s="4" t="s">
        <v>22</v>
      </c>
      <c r="M25" s="4" t="s">
        <v>4310</v>
      </c>
      <c r="N25" s="4" t="s">
        <v>2584</v>
      </c>
      <c r="O25" s="89"/>
      <c r="P25" s="25">
        <v>45516</v>
      </c>
      <c r="Q25" s="4" t="s">
        <v>78</v>
      </c>
      <c r="R25" s="90" t="s">
        <v>3255</v>
      </c>
      <c r="S25" s="6" t="s">
        <v>1795</v>
      </c>
      <c r="T25" s="4" t="s">
        <v>81</v>
      </c>
      <c r="U25" s="4" t="s">
        <v>349</v>
      </c>
      <c r="V25" s="4">
        <v>99</v>
      </c>
      <c r="W25" s="85">
        <v>45572</v>
      </c>
      <c r="X25" s="4" t="s">
        <v>3689</v>
      </c>
      <c r="Y25" s="4">
        <v>521749309</v>
      </c>
      <c r="Z25" s="4" t="s">
        <v>1804</v>
      </c>
      <c r="AA25" s="4" t="s">
        <v>95</v>
      </c>
      <c r="AB25" s="4" t="s">
        <v>4289</v>
      </c>
    </row>
    <row r="26" spans="1:28">
      <c r="A26" s="4">
        <v>25</v>
      </c>
      <c r="B26" s="5">
        <v>12205585</v>
      </c>
      <c r="C26" s="5">
        <v>206930700</v>
      </c>
      <c r="D26" s="115" t="s">
        <v>4148</v>
      </c>
      <c r="E26" s="4" t="s">
        <v>4030</v>
      </c>
      <c r="F26" s="7" t="s">
        <v>74</v>
      </c>
      <c r="G26" s="7" t="s">
        <v>88</v>
      </c>
      <c r="H26" s="7" t="s">
        <v>94</v>
      </c>
      <c r="I26" s="6" t="s">
        <v>1790</v>
      </c>
      <c r="J26" s="7" t="s">
        <v>2</v>
      </c>
      <c r="K26" s="4" t="s">
        <v>10</v>
      </c>
      <c r="L26" s="4" t="s">
        <v>22</v>
      </c>
      <c r="M26" s="4" t="s">
        <v>4310</v>
      </c>
      <c r="N26" s="4" t="s">
        <v>2584</v>
      </c>
      <c r="O26" s="89"/>
      <c r="P26" s="25">
        <v>46048</v>
      </c>
      <c r="Q26" s="4" t="s">
        <v>78</v>
      </c>
      <c r="R26" s="4" t="s">
        <v>3256</v>
      </c>
      <c r="S26" s="6" t="s">
        <v>1795</v>
      </c>
      <c r="T26" s="4" t="s">
        <v>81</v>
      </c>
      <c r="U26" s="4"/>
      <c r="V26" s="4">
        <v>99</v>
      </c>
      <c r="W26" s="85">
        <v>46778</v>
      </c>
      <c r="X26" s="4" t="s">
        <v>3290</v>
      </c>
      <c r="Y26" s="4" t="s">
        <v>4045</v>
      </c>
      <c r="Z26" s="4" t="s">
        <v>4058</v>
      </c>
      <c r="AA26" s="4" t="s">
        <v>3168</v>
      </c>
      <c r="AB26" s="4" t="s">
        <v>4289</v>
      </c>
    </row>
    <row r="27" spans="1:28">
      <c r="A27" s="4">
        <v>26</v>
      </c>
      <c r="B27" s="5">
        <v>25800</v>
      </c>
      <c r="C27" s="5">
        <v>206953786</v>
      </c>
      <c r="D27" s="115" t="s">
        <v>4154</v>
      </c>
      <c r="E27" s="4" t="s">
        <v>4037</v>
      </c>
      <c r="F27" s="7" t="s">
        <v>74</v>
      </c>
      <c r="G27" s="7" t="s">
        <v>94</v>
      </c>
      <c r="H27" s="7" t="s">
        <v>89</v>
      </c>
      <c r="I27" s="6" t="s">
        <v>1789</v>
      </c>
      <c r="J27" s="7" t="s">
        <v>2</v>
      </c>
      <c r="K27" s="4" t="s">
        <v>10</v>
      </c>
      <c r="L27" s="4" t="s">
        <v>22</v>
      </c>
      <c r="M27" s="4" t="s">
        <v>4310</v>
      </c>
      <c r="N27" s="4" t="s">
        <v>2584</v>
      </c>
      <c r="O27" s="89"/>
      <c r="P27" s="25">
        <v>46048</v>
      </c>
      <c r="Q27" s="4" t="s">
        <v>78</v>
      </c>
      <c r="R27" s="4" t="s">
        <v>3252</v>
      </c>
      <c r="S27" s="6" t="s">
        <v>1795</v>
      </c>
      <c r="T27" s="4" t="s">
        <v>81</v>
      </c>
      <c r="U27" s="4"/>
      <c r="V27" s="4">
        <v>99</v>
      </c>
      <c r="W27" s="85">
        <v>46778</v>
      </c>
      <c r="X27" s="4"/>
      <c r="Y27" s="4"/>
      <c r="Z27" s="4"/>
      <c r="AA27" s="4"/>
      <c r="AB27" s="4" t="s">
        <v>4289</v>
      </c>
    </row>
    <row r="28" spans="1:28">
      <c r="A28" s="4">
        <v>27</v>
      </c>
      <c r="B28" s="95">
        <v>11827177</v>
      </c>
      <c r="C28" s="5">
        <v>206875143</v>
      </c>
      <c r="D28" s="115" t="s">
        <v>3426</v>
      </c>
      <c r="E28" s="4" t="s">
        <v>3384</v>
      </c>
      <c r="F28" s="7" t="s">
        <v>74</v>
      </c>
      <c r="G28" s="7" t="s">
        <v>94</v>
      </c>
      <c r="H28" s="7" t="s">
        <v>89</v>
      </c>
      <c r="I28" s="7" t="s">
        <v>1789</v>
      </c>
      <c r="J28" s="6" t="s">
        <v>2</v>
      </c>
      <c r="K28" s="6" t="s">
        <v>10</v>
      </c>
      <c r="L28" s="4" t="s">
        <v>22</v>
      </c>
      <c r="M28" s="4" t="s">
        <v>4310</v>
      </c>
      <c r="N28" s="4" t="s">
        <v>2584</v>
      </c>
      <c r="O28" s="89"/>
      <c r="P28" s="25">
        <v>46020</v>
      </c>
      <c r="Q28" s="4" t="s">
        <v>78</v>
      </c>
      <c r="R28" s="4" t="s">
        <v>3260</v>
      </c>
      <c r="S28" s="6" t="s">
        <v>3478</v>
      </c>
      <c r="T28" s="4" t="s">
        <v>81</v>
      </c>
      <c r="U28" s="4"/>
      <c r="V28" s="4">
        <v>99</v>
      </c>
      <c r="W28" s="4"/>
      <c r="X28" s="4" t="s">
        <v>3290</v>
      </c>
      <c r="Y28" s="95">
        <v>526587965</v>
      </c>
      <c r="Z28" s="4" t="s">
        <v>3458</v>
      </c>
      <c r="AA28" s="4" t="s">
        <v>3477</v>
      </c>
      <c r="AB28" s="4">
        <v>0</v>
      </c>
    </row>
    <row r="29" spans="1:28">
      <c r="A29" s="4">
        <v>28</v>
      </c>
      <c r="B29" s="5">
        <v>13957121</v>
      </c>
      <c r="C29" s="5">
        <v>205647826</v>
      </c>
      <c r="D29" s="115" t="s">
        <v>2633</v>
      </c>
      <c r="E29" s="4" t="s">
        <v>3702</v>
      </c>
      <c r="F29" s="7" t="s">
        <v>82</v>
      </c>
      <c r="G29" s="7" t="s">
        <v>89</v>
      </c>
      <c r="H29" s="7" t="s">
        <v>90</v>
      </c>
      <c r="I29" s="7" t="s">
        <v>1789</v>
      </c>
      <c r="J29" s="7" t="s">
        <v>2</v>
      </c>
      <c r="K29" s="4" t="s">
        <v>10</v>
      </c>
      <c r="L29" s="4" t="s">
        <v>23</v>
      </c>
      <c r="M29" s="4" t="s">
        <v>4310</v>
      </c>
      <c r="N29" s="4" t="s">
        <v>2584</v>
      </c>
      <c r="O29" s="89"/>
      <c r="P29" s="25">
        <v>45852</v>
      </c>
      <c r="Q29" s="4" t="s">
        <v>78</v>
      </c>
      <c r="R29" s="90" t="s">
        <v>2586</v>
      </c>
      <c r="S29" s="6" t="s">
        <v>1795</v>
      </c>
      <c r="T29" s="4" t="s">
        <v>92</v>
      </c>
      <c r="U29" s="4" t="s">
        <v>107</v>
      </c>
      <c r="V29" s="4">
        <v>99</v>
      </c>
      <c r="W29" s="85">
        <v>45908</v>
      </c>
      <c r="X29" s="4"/>
      <c r="Y29" s="4">
        <v>554814558</v>
      </c>
      <c r="Z29" s="4" t="s">
        <v>2624</v>
      </c>
      <c r="AA29" s="4" t="s">
        <v>85</v>
      </c>
      <c r="AB29" s="4" t="s">
        <v>4289</v>
      </c>
    </row>
    <row r="30" spans="1:28">
      <c r="A30" s="4">
        <v>29</v>
      </c>
      <c r="B30" s="95">
        <v>13469422</v>
      </c>
      <c r="C30" s="5">
        <v>206875148</v>
      </c>
      <c r="D30" s="115" t="s">
        <v>3432</v>
      </c>
      <c r="E30" s="4" t="s">
        <v>3392</v>
      </c>
      <c r="F30" s="7" t="s">
        <v>82</v>
      </c>
      <c r="G30" s="7" t="s">
        <v>75</v>
      </c>
      <c r="H30" s="7" t="s">
        <v>76</v>
      </c>
      <c r="I30" s="7" t="s">
        <v>1789</v>
      </c>
      <c r="J30" s="6" t="s">
        <v>2</v>
      </c>
      <c r="K30" s="6" t="s">
        <v>10</v>
      </c>
      <c r="L30" s="4" t="s">
        <v>22</v>
      </c>
      <c r="M30" s="4" t="s">
        <v>4310</v>
      </c>
      <c r="N30" s="4" t="s">
        <v>2584</v>
      </c>
      <c r="O30" s="89"/>
      <c r="P30" s="25">
        <v>46020</v>
      </c>
      <c r="Q30" s="4" t="s">
        <v>78</v>
      </c>
      <c r="R30" s="4" t="s">
        <v>3262</v>
      </c>
      <c r="S30" s="6" t="s">
        <v>3478</v>
      </c>
      <c r="T30" s="4" t="s">
        <v>81</v>
      </c>
      <c r="U30" s="4"/>
      <c r="V30" s="4">
        <v>99</v>
      </c>
      <c r="W30" s="4"/>
      <c r="X30" s="4" t="s">
        <v>3290</v>
      </c>
      <c r="Y30" s="95">
        <v>545300765</v>
      </c>
      <c r="Z30" s="4" t="s">
        <v>3465</v>
      </c>
      <c r="AA30" s="4" t="s">
        <v>3016</v>
      </c>
      <c r="AB30" s="4">
        <v>0</v>
      </c>
    </row>
    <row r="31" spans="1:28">
      <c r="A31" s="4">
        <v>30</v>
      </c>
      <c r="B31" s="5">
        <v>14755312</v>
      </c>
      <c r="C31" s="5">
        <v>205609430</v>
      </c>
      <c r="D31" s="115" t="s">
        <v>2596</v>
      </c>
      <c r="E31" s="4" t="s">
        <v>3892</v>
      </c>
      <c r="F31" s="7" t="s">
        <v>82</v>
      </c>
      <c r="G31" s="7" t="s">
        <v>89</v>
      </c>
      <c r="H31" s="7" t="s">
        <v>90</v>
      </c>
      <c r="I31" s="7" t="s">
        <v>1789</v>
      </c>
      <c r="J31" s="7" t="s">
        <v>2</v>
      </c>
      <c r="K31" s="4" t="s">
        <v>10</v>
      </c>
      <c r="L31" s="4" t="s">
        <v>22</v>
      </c>
      <c r="M31" s="4" t="s">
        <v>4310</v>
      </c>
      <c r="N31" s="4"/>
      <c r="O31" s="89"/>
      <c r="P31" s="25">
        <v>45845</v>
      </c>
      <c r="Q31" s="4" t="s">
        <v>78</v>
      </c>
      <c r="R31" s="90" t="s">
        <v>3254</v>
      </c>
      <c r="S31" s="6" t="s">
        <v>1795</v>
      </c>
      <c r="T31" s="4" t="s">
        <v>81</v>
      </c>
      <c r="U31" s="4" t="s">
        <v>349</v>
      </c>
      <c r="V31" s="4">
        <v>99</v>
      </c>
      <c r="W31" s="85">
        <v>45901</v>
      </c>
      <c r="X31" s="4" t="s">
        <v>3689</v>
      </c>
      <c r="Y31" s="4">
        <v>562157497</v>
      </c>
      <c r="Z31" s="4" t="s">
        <v>2618</v>
      </c>
      <c r="AA31" s="4" t="s">
        <v>85</v>
      </c>
      <c r="AB31" s="4" t="s">
        <v>4289</v>
      </c>
    </row>
    <row r="32" spans="1:28">
      <c r="A32" s="4">
        <v>31</v>
      </c>
      <c r="B32" s="5">
        <v>14530886</v>
      </c>
      <c r="C32" s="5">
        <v>203555399</v>
      </c>
      <c r="D32" s="115" t="s">
        <v>231</v>
      </c>
      <c r="E32" s="4" t="s">
        <v>3893</v>
      </c>
      <c r="F32" s="7" t="s">
        <v>74</v>
      </c>
      <c r="G32" s="7" t="s">
        <v>75</v>
      </c>
      <c r="H32" s="7" t="s">
        <v>76</v>
      </c>
      <c r="I32" s="6" t="s">
        <v>1788</v>
      </c>
      <c r="J32" s="7" t="s">
        <v>2</v>
      </c>
      <c r="K32" s="4" t="s">
        <v>10</v>
      </c>
      <c r="L32" s="4" t="s">
        <v>24</v>
      </c>
      <c r="M32" s="4" t="s">
        <v>4310</v>
      </c>
      <c r="N32" s="4" t="s">
        <v>2584</v>
      </c>
      <c r="O32" s="89"/>
      <c r="P32" s="25">
        <v>45470</v>
      </c>
      <c r="Q32" s="4" t="s">
        <v>78</v>
      </c>
      <c r="R32" s="90" t="s">
        <v>3260</v>
      </c>
      <c r="S32" s="6" t="s">
        <v>1795</v>
      </c>
      <c r="T32" s="4" t="s">
        <v>92</v>
      </c>
      <c r="U32" s="4" t="s">
        <v>103</v>
      </c>
      <c r="V32" s="4">
        <v>99</v>
      </c>
      <c r="W32" s="85">
        <v>45835</v>
      </c>
      <c r="X32" s="4" t="s">
        <v>3696</v>
      </c>
      <c r="Y32" s="4">
        <v>582419162</v>
      </c>
      <c r="Z32" s="4" t="s">
        <v>1805</v>
      </c>
      <c r="AA32" s="4" t="s">
        <v>1198</v>
      </c>
      <c r="AB32" s="4" t="s">
        <v>4289</v>
      </c>
    </row>
    <row r="33" spans="1:28">
      <c r="A33" s="4">
        <v>32</v>
      </c>
      <c r="B33" s="5">
        <v>221271</v>
      </c>
      <c r="C33" s="5">
        <v>205997628</v>
      </c>
      <c r="D33" s="115" t="s">
        <v>2844</v>
      </c>
      <c r="E33" s="4" t="s">
        <v>3704</v>
      </c>
      <c r="F33" s="7" t="s">
        <v>74</v>
      </c>
      <c r="G33" s="7" t="s">
        <v>75</v>
      </c>
      <c r="H33" s="7" t="s">
        <v>76</v>
      </c>
      <c r="I33" s="7" t="s">
        <v>1789</v>
      </c>
      <c r="J33" s="7" t="s">
        <v>2</v>
      </c>
      <c r="K33" s="4" t="s">
        <v>10</v>
      </c>
      <c r="L33" s="4" t="s">
        <v>24</v>
      </c>
      <c r="M33" s="4" t="s">
        <v>4310</v>
      </c>
      <c r="N33" s="4"/>
      <c r="O33" s="89"/>
      <c r="P33" s="25">
        <v>45915</v>
      </c>
      <c r="Q33" s="4" t="s">
        <v>78</v>
      </c>
      <c r="R33" s="90" t="s">
        <v>3261</v>
      </c>
      <c r="S33" s="6" t="s">
        <v>1795</v>
      </c>
      <c r="T33" s="4" t="s">
        <v>81</v>
      </c>
      <c r="U33" s="4" t="s">
        <v>107</v>
      </c>
      <c r="V33" s="4">
        <v>99</v>
      </c>
      <c r="W33" s="85"/>
      <c r="X33" s="4"/>
      <c r="Y33" s="4"/>
      <c r="Z33" s="4"/>
      <c r="AA33" s="4" t="s">
        <v>2272</v>
      </c>
      <c r="AB33" s="4" t="s">
        <v>4289</v>
      </c>
    </row>
    <row r="34" spans="1:28">
      <c r="A34" s="4">
        <v>33</v>
      </c>
      <c r="B34" s="5">
        <v>51386</v>
      </c>
      <c r="C34" s="5">
        <v>203555402</v>
      </c>
      <c r="D34" s="115" t="s">
        <v>232</v>
      </c>
      <c r="E34" s="4" t="s">
        <v>3705</v>
      </c>
      <c r="F34" s="7" t="s">
        <v>82</v>
      </c>
      <c r="G34" s="7" t="s">
        <v>75</v>
      </c>
      <c r="H34" s="7" t="s">
        <v>76</v>
      </c>
      <c r="I34" s="6" t="s">
        <v>1788</v>
      </c>
      <c r="J34" s="7" t="s">
        <v>2</v>
      </c>
      <c r="K34" s="4" t="s">
        <v>10</v>
      </c>
      <c r="L34" s="4" t="s">
        <v>24</v>
      </c>
      <c r="M34" s="4" t="s">
        <v>4310</v>
      </c>
      <c r="N34" s="4" t="s">
        <v>2583</v>
      </c>
      <c r="O34" s="89"/>
      <c r="P34" s="25">
        <v>45470</v>
      </c>
      <c r="Q34" s="4" t="s">
        <v>78</v>
      </c>
      <c r="R34" s="90" t="s">
        <v>3256</v>
      </c>
      <c r="S34" s="6" t="s">
        <v>1795</v>
      </c>
      <c r="T34" s="4" t="s">
        <v>92</v>
      </c>
      <c r="U34" s="4" t="s">
        <v>349</v>
      </c>
      <c r="V34" s="4">
        <v>99</v>
      </c>
      <c r="W34" s="85">
        <v>45835</v>
      </c>
      <c r="X34" s="4" t="s">
        <v>3696</v>
      </c>
      <c r="Y34" s="4">
        <v>502936092</v>
      </c>
      <c r="Z34" s="4" t="s">
        <v>1806</v>
      </c>
      <c r="AA34" s="4" t="s">
        <v>1198</v>
      </c>
      <c r="AB34" s="4" t="s">
        <v>4289</v>
      </c>
    </row>
    <row r="35" spans="1:28">
      <c r="A35" s="4">
        <v>34</v>
      </c>
      <c r="B35" s="5">
        <v>15389998</v>
      </c>
      <c r="C35" s="5">
        <v>206953810</v>
      </c>
      <c r="D35" s="115" t="s">
        <v>4065</v>
      </c>
      <c r="E35" s="4" t="s">
        <v>4023</v>
      </c>
      <c r="F35" s="7" t="s">
        <v>74</v>
      </c>
      <c r="G35" s="7" t="s">
        <v>90</v>
      </c>
      <c r="H35" s="7" t="s">
        <v>87</v>
      </c>
      <c r="I35" s="6" t="s">
        <v>1790</v>
      </c>
      <c r="J35" s="7" t="s">
        <v>2</v>
      </c>
      <c r="K35" s="4" t="s">
        <v>10</v>
      </c>
      <c r="L35" s="4" t="s">
        <v>22</v>
      </c>
      <c r="M35" s="4" t="s">
        <v>4310</v>
      </c>
      <c r="N35" s="4" t="s">
        <v>2584</v>
      </c>
      <c r="O35" s="89"/>
      <c r="P35" s="25">
        <v>46048</v>
      </c>
      <c r="Q35" s="4" t="s">
        <v>78</v>
      </c>
      <c r="R35" s="4" t="s">
        <v>3254</v>
      </c>
      <c r="S35" s="6" t="s">
        <v>1795</v>
      </c>
      <c r="T35" s="4" t="s">
        <v>81</v>
      </c>
      <c r="U35" s="4"/>
      <c r="V35" s="4">
        <v>99</v>
      </c>
      <c r="W35" s="85">
        <v>46778</v>
      </c>
      <c r="X35" s="4" t="s">
        <v>3290</v>
      </c>
      <c r="Y35" s="4" t="s">
        <v>4038</v>
      </c>
      <c r="Z35" s="4" t="s">
        <v>4051</v>
      </c>
      <c r="AA35" s="4" t="s">
        <v>3168</v>
      </c>
      <c r="AB35" s="4" t="s">
        <v>4289</v>
      </c>
    </row>
    <row r="36" spans="1:28">
      <c r="A36" s="4">
        <v>35</v>
      </c>
      <c r="B36" s="5">
        <v>12465480</v>
      </c>
      <c r="C36" s="5">
        <v>204299899</v>
      </c>
      <c r="D36" s="115" t="s">
        <v>1741</v>
      </c>
      <c r="E36" s="4" t="s">
        <v>3706</v>
      </c>
      <c r="F36" s="7" t="s">
        <v>82</v>
      </c>
      <c r="G36" s="7" t="s">
        <v>88</v>
      </c>
      <c r="H36" s="7" t="s">
        <v>94</v>
      </c>
      <c r="I36" s="6" t="s">
        <v>1790</v>
      </c>
      <c r="J36" s="7" t="s">
        <v>2</v>
      </c>
      <c r="K36" s="4" t="s">
        <v>10</v>
      </c>
      <c r="L36" s="4" t="s">
        <v>27</v>
      </c>
      <c r="M36" s="4" t="s">
        <v>4310</v>
      </c>
      <c r="N36" s="4" t="s">
        <v>2584</v>
      </c>
      <c r="O36" s="89"/>
      <c r="P36" s="25">
        <v>45589</v>
      </c>
      <c r="Q36" s="4" t="s">
        <v>78</v>
      </c>
      <c r="R36" s="90" t="s">
        <v>2586</v>
      </c>
      <c r="S36" s="6" t="s">
        <v>1795</v>
      </c>
      <c r="T36" s="4" t="s">
        <v>81</v>
      </c>
      <c r="U36" s="4" t="s">
        <v>112</v>
      </c>
      <c r="V36" s="4">
        <v>99</v>
      </c>
      <c r="W36" s="85">
        <v>46319</v>
      </c>
      <c r="X36" s="4" t="s">
        <v>3690</v>
      </c>
      <c r="Y36" s="4">
        <v>562923285</v>
      </c>
      <c r="Z36" s="4" t="s">
        <v>1807</v>
      </c>
      <c r="AA36" s="4" t="s">
        <v>85</v>
      </c>
      <c r="AB36" s="4" t="s">
        <v>4289</v>
      </c>
    </row>
    <row r="37" spans="1:28">
      <c r="A37" s="4">
        <v>36</v>
      </c>
      <c r="B37" s="5">
        <v>11119098</v>
      </c>
      <c r="C37" s="5">
        <v>206953815</v>
      </c>
      <c r="D37" s="116" t="s">
        <v>4201</v>
      </c>
      <c r="E37" s="95" t="s">
        <v>4202</v>
      </c>
      <c r="F37" s="7" t="s">
        <v>74</v>
      </c>
      <c r="G37" s="7" t="s">
        <v>90</v>
      </c>
      <c r="H37" s="7" t="s">
        <v>87</v>
      </c>
      <c r="I37" s="6" t="s">
        <v>1790</v>
      </c>
      <c r="J37" s="7" t="s">
        <v>2</v>
      </c>
      <c r="K37" s="7" t="s">
        <v>10</v>
      </c>
      <c r="L37" s="7" t="s">
        <v>22</v>
      </c>
      <c r="M37" s="4" t="s">
        <v>4310</v>
      </c>
      <c r="N37" s="4" t="s">
        <v>2584</v>
      </c>
      <c r="O37" s="89"/>
      <c r="P37" s="25">
        <v>46048</v>
      </c>
      <c r="Q37" s="4" t="s">
        <v>78</v>
      </c>
      <c r="R37" s="7" t="s">
        <v>3258</v>
      </c>
      <c r="S37" s="7" t="s">
        <v>1795</v>
      </c>
      <c r="T37" s="7" t="s">
        <v>81</v>
      </c>
      <c r="U37" s="7"/>
      <c r="V37" s="4">
        <v>99</v>
      </c>
      <c r="W37" s="7"/>
      <c r="X37" s="4" t="s">
        <v>3290</v>
      </c>
      <c r="Y37" s="4" t="s">
        <v>4235</v>
      </c>
      <c r="Z37" s="4" t="s">
        <v>4236</v>
      </c>
      <c r="AA37" s="4" t="s">
        <v>3016</v>
      </c>
      <c r="AB37" s="4" t="e">
        <v>#N/A</v>
      </c>
    </row>
    <row r="38" spans="1:28">
      <c r="A38" s="4">
        <v>37</v>
      </c>
      <c r="B38" s="5">
        <v>11000409</v>
      </c>
      <c r="C38" s="5">
        <v>206016551</v>
      </c>
      <c r="D38" s="115" t="s">
        <v>2814</v>
      </c>
      <c r="E38" s="4" t="s">
        <v>3707</v>
      </c>
      <c r="F38" s="7" t="s">
        <v>74</v>
      </c>
      <c r="G38" s="7" t="s">
        <v>88</v>
      </c>
      <c r="H38" s="7" t="s">
        <v>94</v>
      </c>
      <c r="I38" s="7" t="s">
        <v>1789</v>
      </c>
      <c r="J38" s="7" t="s">
        <v>2</v>
      </c>
      <c r="K38" s="4" t="s">
        <v>10</v>
      </c>
      <c r="L38" s="4" t="s">
        <v>24</v>
      </c>
      <c r="M38" s="4" t="s">
        <v>4310</v>
      </c>
      <c r="N38" s="4"/>
      <c r="O38" s="89"/>
      <c r="P38" s="25">
        <v>45915</v>
      </c>
      <c r="Q38" s="4" t="s">
        <v>78</v>
      </c>
      <c r="R38" s="90" t="s">
        <v>3262</v>
      </c>
      <c r="S38" s="6" t="s">
        <v>1795</v>
      </c>
      <c r="T38" s="4" t="s">
        <v>81</v>
      </c>
      <c r="U38" s="4" t="s">
        <v>103</v>
      </c>
      <c r="V38" s="4">
        <v>99</v>
      </c>
      <c r="W38" s="85"/>
      <c r="X38" s="4"/>
      <c r="Y38" s="4"/>
      <c r="Z38" s="4"/>
      <c r="AA38" s="4" t="s">
        <v>1198</v>
      </c>
      <c r="AB38" s="4" t="s">
        <v>4289</v>
      </c>
    </row>
    <row r="39" spans="1:28">
      <c r="A39" s="4">
        <v>38</v>
      </c>
      <c r="B39" s="5">
        <v>14201701</v>
      </c>
      <c r="C39" s="5">
        <v>203741547</v>
      </c>
      <c r="D39" s="115" t="s">
        <v>711</v>
      </c>
      <c r="E39" s="4" t="s">
        <v>3708</v>
      </c>
      <c r="F39" s="7" t="s">
        <v>74</v>
      </c>
      <c r="G39" s="7" t="s">
        <v>76</v>
      </c>
      <c r="H39" s="7" t="s">
        <v>88</v>
      </c>
      <c r="I39" s="6" t="s">
        <v>1788</v>
      </c>
      <c r="J39" s="7" t="s">
        <v>2</v>
      </c>
      <c r="K39" s="4" t="s">
        <v>10</v>
      </c>
      <c r="L39" s="4" t="s">
        <v>24</v>
      </c>
      <c r="M39" s="4" t="s">
        <v>4310</v>
      </c>
      <c r="N39" s="4" t="s">
        <v>2584</v>
      </c>
      <c r="O39" s="89"/>
      <c r="P39" s="25">
        <v>45517</v>
      </c>
      <c r="Q39" s="4" t="s">
        <v>78</v>
      </c>
      <c r="R39" s="90" t="s">
        <v>3252</v>
      </c>
      <c r="S39" s="6" t="s">
        <v>1795</v>
      </c>
      <c r="T39" s="4" t="s">
        <v>81</v>
      </c>
      <c r="U39" s="4" t="s">
        <v>103</v>
      </c>
      <c r="V39" s="4">
        <v>99</v>
      </c>
      <c r="W39" s="85">
        <v>45882</v>
      </c>
      <c r="X39" s="4" t="s">
        <v>3698</v>
      </c>
      <c r="Y39" s="4">
        <v>562383246</v>
      </c>
      <c r="Z39" s="4" t="s">
        <v>1808</v>
      </c>
      <c r="AA39" s="4" t="s">
        <v>85</v>
      </c>
      <c r="AB39" s="4" t="s">
        <v>4289</v>
      </c>
    </row>
    <row r="40" spans="1:28">
      <c r="A40" s="4">
        <v>39</v>
      </c>
      <c r="B40" s="5">
        <v>15246614</v>
      </c>
      <c r="C40" s="5">
        <v>205608617</v>
      </c>
      <c r="D40" s="115" t="s">
        <v>2594</v>
      </c>
      <c r="E40" s="4" t="s">
        <v>3709</v>
      </c>
      <c r="F40" s="7" t="s">
        <v>74</v>
      </c>
      <c r="G40" s="7" t="s">
        <v>89</v>
      </c>
      <c r="H40" s="7" t="s">
        <v>90</v>
      </c>
      <c r="I40" s="7" t="s">
        <v>1789</v>
      </c>
      <c r="J40" s="7" t="s">
        <v>2</v>
      </c>
      <c r="K40" s="4" t="s">
        <v>10</v>
      </c>
      <c r="L40" s="4" t="s">
        <v>22</v>
      </c>
      <c r="M40" s="4" t="s">
        <v>4310</v>
      </c>
      <c r="N40" s="4"/>
      <c r="O40" s="89"/>
      <c r="P40" s="25">
        <v>45845</v>
      </c>
      <c r="Q40" s="4" t="s">
        <v>78</v>
      </c>
      <c r="R40" s="90" t="s">
        <v>2586</v>
      </c>
      <c r="S40" s="6" t="s">
        <v>1795</v>
      </c>
      <c r="T40" s="4" t="s">
        <v>81</v>
      </c>
      <c r="U40" s="4" t="s">
        <v>349</v>
      </c>
      <c r="V40" s="4">
        <v>99</v>
      </c>
      <c r="W40" s="85">
        <v>45901</v>
      </c>
      <c r="X40" s="4" t="s">
        <v>3689</v>
      </c>
      <c r="Y40" s="4">
        <v>562157505</v>
      </c>
      <c r="Z40" s="4" t="s">
        <v>2616</v>
      </c>
      <c r="AA40" s="4" t="s">
        <v>85</v>
      </c>
      <c r="AB40" s="4" t="s">
        <v>4289</v>
      </c>
    </row>
    <row r="41" spans="1:28">
      <c r="A41" s="4">
        <v>40</v>
      </c>
      <c r="B41" s="5">
        <v>11568045</v>
      </c>
      <c r="C41" s="5">
        <v>206953974</v>
      </c>
      <c r="D41" s="115" t="s">
        <v>4144</v>
      </c>
      <c r="E41" s="4" t="s">
        <v>4025</v>
      </c>
      <c r="F41" s="7" t="s">
        <v>74</v>
      </c>
      <c r="G41" s="7" t="s">
        <v>90</v>
      </c>
      <c r="H41" s="7" t="s">
        <v>87</v>
      </c>
      <c r="I41" s="6" t="s">
        <v>1790</v>
      </c>
      <c r="J41" s="7" t="s">
        <v>2</v>
      </c>
      <c r="K41" s="4" t="s">
        <v>10</v>
      </c>
      <c r="L41" s="4" t="s">
        <v>22</v>
      </c>
      <c r="M41" s="4" t="s">
        <v>4310</v>
      </c>
      <c r="N41" s="4" t="s">
        <v>2584</v>
      </c>
      <c r="O41" s="89"/>
      <c r="P41" s="25">
        <v>46048</v>
      </c>
      <c r="Q41" s="4" t="s">
        <v>78</v>
      </c>
      <c r="R41" s="4" t="s">
        <v>3253</v>
      </c>
      <c r="S41" s="6" t="s">
        <v>1795</v>
      </c>
      <c r="T41" s="4" t="s">
        <v>81</v>
      </c>
      <c r="U41" s="4"/>
      <c r="V41" s="4">
        <v>99</v>
      </c>
      <c r="W41" s="85">
        <v>46778</v>
      </c>
      <c r="X41" s="4" t="s">
        <v>3290</v>
      </c>
      <c r="Y41" s="4" t="s">
        <v>4040</v>
      </c>
      <c r="Z41" s="4" t="s">
        <v>4053</v>
      </c>
      <c r="AA41" s="4" t="s">
        <v>3658</v>
      </c>
      <c r="AB41" s="4" t="s">
        <v>4289</v>
      </c>
    </row>
    <row r="42" spans="1:28">
      <c r="A42" s="4">
        <v>41</v>
      </c>
      <c r="B42" s="5">
        <v>14655934</v>
      </c>
      <c r="C42" s="5">
        <v>203555403</v>
      </c>
      <c r="D42" s="115" t="s">
        <v>224</v>
      </c>
      <c r="E42" s="4" t="s">
        <v>3710</v>
      </c>
      <c r="F42" s="7" t="s">
        <v>74</v>
      </c>
      <c r="G42" s="7" t="s">
        <v>88</v>
      </c>
      <c r="H42" s="7" t="s">
        <v>94</v>
      </c>
      <c r="I42" s="6" t="s">
        <v>1788</v>
      </c>
      <c r="J42" s="7" t="s">
        <v>2</v>
      </c>
      <c r="K42" s="4" t="s">
        <v>10</v>
      </c>
      <c r="L42" s="4" t="s">
        <v>24</v>
      </c>
      <c r="M42" s="4" t="s">
        <v>4310</v>
      </c>
      <c r="N42" s="4" t="s">
        <v>2583</v>
      </c>
      <c r="O42" s="89"/>
      <c r="P42" s="25">
        <v>45470</v>
      </c>
      <c r="Q42" s="4" t="s">
        <v>78</v>
      </c>
      <c r="R42" s="90" t="s">
        <v>3261</v>
      </c>
      <c r="S42" s="6" t="s">
        <v>1795</v>
      </c>
      <c r="T42" s="4" t="s">
        <v>92</v>
      </c>
      <c r="U42" s="4" t="s">
        <v>132</v>
      </c>
      <c r="V42" s="4">
        <v>99</v>
      </c>
      <c r="W42" s="85">
        <v>45835</v>
      </c>
      <c r="X42" s="4" t="s">
        <v>3657</v>
      </c>
      <c r="Y42" s="4">
        <v>524254610</v>
      </c>
      <c r="Z42" s="4" t="s">
        <v>1809</v>
      </c>
      <c r="AA42" s="4" t="s">
        <v>85</v>
      </c>
      <c r="AB42" s="4" t="s">
        <v>4289</v>
      </c>
    </row>
    <row r="43" spans="1:28">
      <c r="A43" s="4">
        <v>42</v>
      </c>
      <c r="B43" s="5">
        <v>14482387</v>
      </c>
      <c r="C43" s="5">
        <v>203469458</v>
      </c>
      <c r="D43" s="115" t="s">
        <v>101</v>
      </c>
      <c r="E43" s="4" t="s">
        <v>3711</v>
      </c>
      <c r="F43" s="7" t="s">
        <v>74</v>
      </c>
      <c r="G43" s="7" t="s">
        <v>89</v>
      </c>
      <c r="H43" s="7" t="s">
        <v>90</v>
      </c>
      <c r="I43" s="6" t="s">
        <v>1790</v>
      </c>
      <c r="J43" s="7" t="s">
        <v>2</v>
      </c>
      <c r="K43" s="4" t="s">
        <v>10</v>
      </c>
      <c r="L43" s="4" t="s">
        <v>20</v>
      </c>
      <c r="M43" s="4" t="s">
        <v>4310</v>
      </c>
      <c r="N43" s="4" t="s">
        <v>2584</v>
      </c>
      <c r="O43" s="89"/>
      <c r="P43" s="25">
        <v>45456</v>
      </c>
      <c r="Q43" s="4" t="s">
        <v>78</v>
      </c>
      <c r="R43" s="90" t="s">
        <v>3258</v>
      </c>
      <c r="S43" s="6" t="s">
        <v>1795</v>
      </c>
      <c r="T43" s="4" t="s">
        <v>81</v>
      </c>
      <c r="U43" s="4" t="s">
        <v>349</v>
      </c>
      <c r="V43" s="4">
        <v>99</v>
      </c>
      <c r="W43" s="85">
        <v>46186</v>
      </c>
      <c r="X43" s="4" t="s">
        <v>3688</v>
      </c>
      <c r="Y43" s="4">
        <v>545672406</v>
      </c>
      <c r="Z43" s="4" t="s">
        <v>1810</v>
      </c>
      <c r="AA43" s="4" t="s">
        <v>1196</v>
      </c>
      <c r="AB43" s="4" t="s">
        <v>4289</v>
      </c>
    </row>
    <row r="44" spans="1:28">
      <c r="A44" s="4">
        <v>43</v>
      </c>
      <c r="B44" s="5">
        <v>11983881</v>
      </c>
      <c r="C44" s="5">
        <v>206072867</v>
      </c>
      <c r="D44" s="115" t="s">
        <v>2883</v>
      </c>
      <c r="E44" s="4" t="s">
        <v>3712</v>
      </c>
      <c r="F44" s="7" t="s">
        <v>74</v>
      </c>
      <c r="G44" s="7" t="s">
        <v>94</v>
      </c>
      <c r="H44" s="7" t="s">
        <v>89</v>
      </c>
      <c r="I44" s="7" t="s">
        <v>1789</v>
      </c>
      <c r="J44" s="7" t="s">
        <v>2</v>
      </c>
      <c r="K44" s="4" t="s">
        <v>10</v>
      </c>
      <c r="L44" s="4" t="s">
        <v>24</v>
      </c>
      <c r="M44" s="4" t="s">
        <v>4310</v>
      </c>
      <c r="N44" s="4" t="s">
        <v>2584</v>
      </c>
      <c r="O44" s="89"/>
      <c r="P44" s="25">
        <v>45922</v>
      </c>
      <c r="Q44" s="4" t="s">
        <v>78</v>
      </c>
      <c r="R44" s="90" t="s">
        <v>3262</v>
      </c>
      <c r="S44" s="6" t="s">
        <v>1795</v>
      </c>
      <c r="T44" s="4" t="s">
        <v>81</v>
      </c>
      <c r="U44" s="4" t="s">
        <v>132</v>
      </c>
      <c r="V44" s="4">
        <v>99</v>
      </c>
      <c r="W44" s="85">
        <v>45983</v>
      </c>
      <c r="X44" s="4" t="s">
        <v>3688</v>
      </c>
      <c r="Y44" s="4"/>
      <c r="Z44" s="4"/>
      <c r="AA44" s="4" t="s">
        <v>95</v>
      </c>
      <c r="AB44" s="4" t="s">
        <v>4289</v>
      </c>
    </row>
    <row r="45" spans="1:28">
      <c r="A45" s="4">
        <v>44</v>
      </c>
      <c r="B45" s="5">
        <v>83681</v>
      </c>
      <c r="C45" s="5">
        <v>206953984</v>
      </c>
      <c r="D45" s="115" t="s">
        <v>4149</v>
      </c>
      <c r="E45" s="4" t="s">
        <v>4031</v>
      </c>
      <c r="F45" s="7" t="s">
        <v>74</v>
      </c>
      <c r="G45" s="7" t="s">
        <v>76</v>
      </c>
      <c r="H45" s="7" t="s">
        <v>88</v>
      </c>
      <c r="I45" s="6" t="s">
        <v>1790</v>
      </c>
      <c r="J45" s="7" t="s">
        <v>2</v>
      </c>
      <c r="K45" s="4" t="s">
        <v>10</v>
      </c>
      <c r="L45" s="4" t="s">
        <v>22</v>
      </c>
      <c r="M45" s="4" t="s">
        <v>4310</v>
      </c>
      <c r="N45" s="4" t="s">
        <v>2584</v>
      </c>
      <c r="O45" s="89"/>
      <c r="P45" s="25">
        <v>46048</v>
      </c>
      <c r="Q45" s="4" t="s">
        <v>78</v>
      </c>
      <c r="R45" s="4" t="s">
        <v>3258</v>
      </c>
      <c r="S45" s="6" t="s">
        <v>1795</v>
      </c>
      <c r="T45" s="4" t="s">
        <v>81</v>
      </c>
      <c r="U45" s="4"/>
      <c r="V45" s="4">
        <v>99</v>
      </c>
      <c r="W45" s="85">
        <v>46778</v>
      </c>
      <c r="X45" s="4" t="s">
        <v>3290</v>
      </c>
      <c r="Y45" s="4" t="s">
        <v>4046</v>
      </c>
      <c r="Z45" s="4" t="s">
        <v>4059</v>
      </c>
      <c r="AA45" s="4" t="s">
        <v>3658</v>
      </c>
      <c r="AB45" s="4" t="s">
        <v>4289</v>
      </c>
    </row>
    <row r="46" spans="1:28">
      <c r="A46" s="4">
        <v>45</v>
      </c>
      <c r="B46" s="5">
        <v>11067054</v>
      </c>
      <c r="C46" s="5">
        <v>203469449</v>
      </c>
      <c r="D46" s="115" t="s">
        <v>86</v>
      </c>
      <c r="E46" s="4" t="s">
        <v>3713</v>
      </c>
      <c r="F46" s="7" t="s">
        <v>74</v>
      </c>
      <c r="G46" s="7" t="s">
        <v>76</v>
      </c>
      <c r="H46" s="7" t="s">
        <v>88</v>
      </c>
      <c r="I46" s="6" t="s">
        <v>1790</v>
      </c>
      <c r="J46" s="7" t="s">
        <v>2</v>
      </c>
      <c r="K46" s="4" t="s">
        <v>10</v>
      </c>
      <c r="L46" s="4" t="s">
        <v>20</v>
      </c>
      <c r="M46" s="4" t="s">
        <v>4310</v>
      </c>
      <c r="N46" s="4" t="s">
        <v>2583</v>
      </c>
      <c r="O46" s="89"/>
      <c r="P46" s="25">
        <v>45456</v>
      </c>
      <c r="Q46" s="4" t="s">
        <v>78</v>
      </c>
      <c r="R46" s="90" t="s">
        <v>3262</v>
      </c>
      <c r="S46" s="6" t="s">
        <v>1795</v>
      </c>
      <c r="T46" s="4" t="s">
        <v>81</v>
      </c>
      <c r="U46" s="4" t="s">
        <v>107</v>
      </c>
      <c r="V46" s="4">
        <v>99</v>
      </c>
      <c r="W46" s="85">
        <v>46186</v>
      </c>
      <c r="X46" s="4" t="s">
        <v>3698</v>
      </c>
      <c r="Y46" s="4">
        <v>544748458</v>
      </c>
      <c r="Z46" s="4" t="s">
        <v>1811</v>
      </c>
      <c r="AA46" s="4" t="s">
        <v>85</v>
      </c>
      <c r="AB46" s="4" t="s">
        <v>4289</v>
      </c>
    </row>
    <row r="47" spans="1:28">
      <c r="A47" s="4">
        <v>46</v>
      </c>
      <c r="B47" s="5">
        <v>13959891</v>
      </c>
      <c r="C47" s="5">
        <v>204299548</v>
      </c>
      <c r="D47" s="115" t="s">
        <v>1696</v>
      </c>
      <c r="E47" s="4" t="s">
        <v>3714</v>
      </c>
      <c r="F47" s="7" t="s">
        <v>74</v>
      </c>
      <c r="G47" s="7" t="s">
        <v>88</v>
      </c>
      <c r="H47" s="7" t="s">
        <v>94</v>
      </c>
      <c r="I47" s="7" t="s">
        <v>1789</v>
      </c>
      <c r="J47" s="7" t="s">
        <v>2</v>
      </c>
      <c r="K47" s="4" t="s">
        <v>10</v>
      </c>
      <c r="L47" s="4" t="s">
        <v>27</v>
      </c>
      <c r="M47" s="4" t="s">
        <v>4310</v>
      </c>
      <c r="N47" s="4" t="s">
        <v>2584</v>
      </c>
      <c r="O47" s="89"/>
      <c r="P47" s="25">
        <v>45586</v>
      </c>
      <c r="Q47" s="4" t="s">
        <v>78</v>
      </c>
      <c r="R47" s="90" t="s">
        <v>3255</v>
      </c>
      <c r="S47" s="6" t="s">
        <v>1795</v>
      </c>
      <c r="T47" s="4" t="s">
        <v>81</v>
      </c>
      <c r="U47" s="4" t="s">
        <v>112</v>
      </c>
      <c r="V47" s="4">
        <v>99</v>
      </c>
      <c r="W47" s="85">
        <v>45642</v>
      </c>
      <c r="X47" s="4" t="s">
        <v>3688</v>
      </c>
      <c r="Y47" s="4">
        <v>551167873</v>
      </c>
      <c r="Z47" s="4" t="s">
        <v>1812</v>
      </c>
      <c r="AA47" s="4" t="s">
        <v>85</v>
      </c>
      <c r="AB47" s="4" t="s">
        <v>4289</v>
      </c>
    </row>
    <row r="48" spans="1:28">
      <c r="A48" s="4">
        <v>47</v>
      </c>
      <c r="B48" s="5">
        <v>11503784</v>
      </c>
      <c r="C48" s="5">
        <v>203469051</v>
      </c>
      <c r="D48" s="115" t="s">
        <v>162</v>
      </c>
      <c r="E48" s="4" t="s">
        <v>3715</v>
      </c>
      <c r="F48" s="7" t="s">
        <v>74</v>
      </c>
      <c r="G48" s="7" t="s">
        <v>90</v>
      </c>
      <c r="H48" s="7" t="s">
        <v>87</v>
      </c>
      <c r="I48" s="6" t="s">
        <v>1788</v>
      </c>
      <c r="J48" s="7" t="s">
        <v>2</v>
      </c>
      <c r="K48" s="4" t="s">
        <v>10</v>
      </c>
      <c r="L48" s="4" t="s">
        <v>24</v>
      </c>
      <c r="M48" s="4" t="s">
        <v>4310</v>
      </c>
      <c r="N48" s="4" t="s">
        <v>2583</v>
      </c>
      <c r="O48" s="89"/>
      <c r="P48" s="25">
        <v>45456</v>
      </c>
      <c r="Q48" s="4" t="s">
        <v>78</v>
      </c>
      <c r="R48" s="90" t="s">
        <v>3256</v>
      </c>
      <c r="S48" s="6" t="s">
        <v>1795</v>
      </c>
      <c r="T48" s="4" t="s">
        <v>81</v>
      </c>
      <c r="U48" s="4" t="s">
        <v>349</v>
      </c>
      <c r="V48" s="4">
        <v>99</v>
      </c>
      <c r="W48" s="85">
        <v>45821</v>
      </c>
      <c r="X48" s="4" t="s">
        <v>3698</v>
      </c>
      <c r="Y48" s="4">
        <v>509626975</v>
      </c>
      <c r="Z48" s="4" t="s">
        <v>1813</v>
      </c>
      <c r="AA48" s="4" t="s">
        <v>85</v>
      </c>
      <c r="AB48" s="4" t="s">
        <v>4289</v>
      </c>
    </row>
    <row r="49" spans="1:28">
      <c r="A49" s="4">
        <v>48</v>
      </c>
      <c r="B49" s="5">
        <v>13533882</v>
      </c>
      <c r="C49" s="5">
        <v>204299544</v>
      </c>
      <c r="D49" s="115" t="s">
        <v>1697</v>
      </c>
      <c r="E49" s="4" t="s">
        <v>3716</v>
      </c>
      <c r="F49" s="7" t="s">
        <v>82</v>
      </c>
      <c r="G49" s="7" t="s">
        <v>87</v>
      </c>
      <c r="H49" s="7" t="s">
        <v>75</v>
      </c>
      <c r="I49" s="6" t="s">
        <v>1790</v>
      </c>
      <c r="J49" s="7" t="s">
        <v>2</v>
      </c>
      <c r="K49" s="4" t="s">
        <v>10</v>
      </c>
      <c r="L49" s="4" t="s">
        <v>27</v>
      </c>
      <c r="M49" s="4" t="s">
        <v>4310</v>
      </c>
      <c r="N49" s="4" t="s">
        <v>2584</v>
      </c>
      <c r="O49" s="89"/>
      <c r="P49" s="25">
        <v>45586</v>
      </c>
      <c r="Q49" s="4" t="s">
        <v>78</v>
      </c>
      <c r="R49" s="90" t="s">
        <v>3256</v>
      </c>
      <c r="S49" s="6" t="s">
        <v>1795</v>
      </c>
      <c r="T49" s="4" t="s">
        <v>81</v>
      </c>
      <c r="U49" s="4" t="s">
        <v>107</v>
      </c>
      <c r="V49" s="4">
        <v>99</v>
      </c>
      <c r="W49" s="85">
        <v>46316</v>
      </c>
      <c r="X49" s="4" t="s">
        <v>3698</v>
      </c>
      <c r="Y49" s="4">
        <v>501716357</v>
      </c>
      <c r="Z49" s="4" t="s">
        <v>1814</v>
      </c>
      <c r="AA49" s="4" t="s">
        <v>85</v>
      </c>
      <c r="AB49" s="4" t="s">
        <v>4289</v>
      </c>
    </row>
    <row r="50" spans="1:28">
      <c r="A50" s="4">
        <v>49</v>
      </c>
      <c r="B50" s="5">
        <v>14629019</v>
      </c>
      <c r="C50" s="5">
        <v>206949308</v>
      </c>
      <c r="D50" s="116" t="s">
        <v>4195</v>
      </c>
      <c r="E50" s="95" t="s">
        <v>4196</v>
      </c>
      <c r="F50" s="7" t="s">
        <v>74</v>
      </c>
      <c r="G50" s="7" t="s">
        <v>90</v>
      </c>
      <c r="H50" s="7" t="s">
        <v>87</v>
      </c>
      <c r="I50" s="6" t="s">
        <v>1790</v>
      </c>
      <c r="J50" s="7" t="s">
        <v>2</v>
      </c>
      <c r="K50" s="7" t="s">
        <v>10</v>
      </c>
      <c r="L50" s="7" t="s">
        <v>22</v>
      </c>
      <c r="M50" s="4" t="s">
        <v>4310</v>
      </c>
      <c r="N50" s="4" t="s">
        <v>2584</v>
      </c>
      <c r="O50" s="89"/>
      <c r="P50" s="25">
        <v>46048</v>
      </c>
      <c r="Q50" s="4" t="s">
        <v>78</v>
      </c>
      <c r="R50" s="7" t="s">
        <v>3252</v>
      </c>
      <c r="S50" s="7" t="s">
        <v>1795</v>
      </c>
      <c r="T50" s="7" t="s">
        <v>81</v>
      </c>
      <c r="U50" s="7"/>
      <c r="V50" s="4">
        <v>99</v>
      </c>
      <c r="W50" s="7"/>
      <c r="X50" s="4" t="s">
        <v>3290</v>
      </c>
      <c r="Y50" s="4">
        <v>567034436</v>
      </c>
      <c r="Z50" s="4" t="s">
        <v>4230</v>
      </c>
      <c r="AA50" s="4" t="s">
        <v>3016</v>
      </c>
      <c r="AB50" s="4" t="e">
        <v>#N/A</v>
      </c>
    </row>
    <row r="51" spans="1:28">
      <c r="A51" s="4">
        <v>50</v>
      </c>
      <c r="B51" s="5">
        <v>14534388</v>
      </c>
      <c r="C51" s="5">
        <v>206949309</v>
      </c>
      <c r="D51" s="116" t="s">
        <v>4199</v>
      </c>
      <c r="E51" s="95" t="s">
        <v>4200</v>
      </c>
      <c r="F51" s="7" t="s">
        <v>82</v>
      </c>
      <c r="G51" s="7" t="s">
        <v>90</v>
      </c>
      <c r="H51" s="7" t="s">
        <v>87</v>
      </c>
      <c r="I51" s="6" t="s">
        <v>1790</v>
      </c>
      <c r="J51" s="7" t="s">
        <v>2</v>
      </c>
      <c r="K51" s="7" t="s">
        <v>10</v>
      </c>
      <c r="L51" s="7" t="s">
        <v>22</v>
      </c>
      <c r="M51" s="4" t="s">
        <v>4310</v>
      </c>
      <c r="N51" s="4" t="s">
        <v>2584</v>
      </c>
      <c r="O51" s="89"/>
      <c r="P51" s="25">
        <v>46048</v>
      </c>
      <c r="Q51" s="4" t="s">
        <v>78</v>
      </c>
      <c r="R51" s="7" t="s">
        <v>3253</v>
      </c>
      <c r="S51" s="7" t="s">
        <v>1795</v>
      </c>
      <c r="T51" s="7" t="s">
        <v>81</v>
      </c>
      <c r="U51" s="7"/>
      <c r="V51" s="4">
        <v>99</v>
      </c>
      <c r="W51" s="7"/>
      <c r="X51" s="4" t="s">
        <v>3290</v>
      </c>
      <c r="Y51" s="4" t="s">
        <v>4233</v>
      </c>
      <c r="Z51" s="4" t="s">
        <v>4234</v>
      </c>
      <c r="AA51" s="4" t="s">
        <v>3016</v>
      </c>
      <c r="AB51" s="4" t="e">
        <v>#N/A</v>
      </c>
    </row>
    <row r="52" spans="1:28">
      <c r="A52" s="4">
        <v>51</v>
      </c>
      <c r="B52" s="5">
        <v>12165374</v>
      </c>
      <c r="C52" s="5">
        <v>102207650</v>
      </c>
      <c r="D52" s="115" t="s">
        <v>125</v>
      </c>
      <c r="E52" s="4" t="s">
        <v>3718</v>
      </c>
      <c r="F52" s="7" t="s">
        <v>74</v>
      </c>
      <c r="G52" s="7" t="s">
        <v>87</v>
      </c>
      <c r="H52" s="7" t="s">
        <v>75</v>
      </c>
      <c r="I52" s="6" t="s">
        <v>119</v>
      </c>
      <c r="J52" s="7" t="s">
        <v>2</v>
      </c>
      <c r="K52" s="4" t="s">
        <v>10</v>
      </c>
      <c r="L52" s="4" t="s">
        <v>21</v>
      </c>
      <c r="M52" s="4" t="s">
        <v>4310</v>
      </c>
      <c r="N52" s="4" t="s">
        <v>2583</v>
      </c>
      <c r="O52" s="89"/>
      <c r="P52" s="25">
        <v>42868</v>
      </c>
      <c r="Q52" s="4" t="s">
        <v>78</v>
      </c>
      <c r="R52" s="90" t="s">
        <v>3258</v>
      </c>
      <c r="S52" s="6" t="s">
        <v>1795</v>
      </c>
      <c r="T52" s="4" t="s">
        <v>81</v>
      </c>
      <c r="U52" s="4" t="s">
        <v>103</v>
      </c>
      <c r="V52" s="4">
        <v>1</v>
      </c>
      <c r="W52" s="85"/>
      <c r="X52" s="4" t="s">
        <v>3474</v>
      </c>
      <c r="Y52" s="4">
        <v>0</v>
      </c>
      <c r="Z52" s="4" t="e">
        <v>#N/A</v>
      </c>
      <c r="AA52" s="4" t="s">
        <v>1194</v>
      </c>
      <c r="AB52" s="4" t="s">
        <v>4289</v>
      </c>
    </row>
    <row r="53" spans="1:28">
      <c r="A53" s="4">
        <v>52</v>
      </c>
      <c r="B53" s="5">
        <v>13460706</v>
      </c>
      <c r="C53" s="5">
        <v>204095444</v>
      </c>
      <c r="D53" s="115" t="s">
        <v>1527</v>
      </c>
      <c r="E53" s="4" t="s">
        <v>3846</v>
      </c>
      <c r="F53" s="7" t="s">
        <v>82</v>
      </c>
      <c r="G53" s="7" t="s">
        <v>75</v>
      </c>
      <c r="H53" s="7" t="s">
        <v>76</v>
      </c>
      <c r="I53" s="6" t="s">
        <v>1790</v>
      </c>
      <c r="J53" s="7" t="s">
        <v>2</v>
      </c>
      <c r="K53" s="4" t="s">
        <v>10</v>
      </c>
      <c r="L53" s="4" t="s">
        <v>27</v>
      </c>
      <c r="M53" s="4" t="s">
        <v>4310</v>
      </c>
      <c r="N53" s="4" t="s">
        <v>2584</v>
      </c>
      <c r="O53" s="89"/>
      <c r="P53" s="25">
        <v>45561</v>
      </c>
      <c r="Q53" s="4" t="s">
        <v>78</v>
      </c>
      <c r="R53" s="90" t="s">
        <v>2586</v>
      </c>
      <c r="S53" s="6" t="s">
        <v>1795</v>
      </c>
      <c r="T53" s="4" t="s">
        <v>92</v>
      </c>
      <c r="U53" s="4" t="s">
        <v>3259</v>
      </c>
      <c r="V53" s="4">
        <v>99</v>
      </c>
      <c r="W53" s="85">
        <v>46291</v>
      </c>
      <c r="X53" s="4" t="s">
        <v>3694</v>
      </c>
      <c r="Y53" s="4">
        <v>527894507</v>
      </c>
      <c r="Z53" s="4" t="s">
        <v>2227</v>
      </c>
      <c r="AA53" s="4" t="s">
        <v>85</v>
      </c>
      <c r="AB53" s="4" t="s">
        <v>4289</v>
      </c>
    </row>
    <row r="54" spans="1:28">
      <c r="A54" s="4">
        <v>53</v>
      </c>
      <c r="B54" s="5">
        <v>12368416</v>
      </c>
      <c r="C54" s="5">
        <v>206348021</v>
      </c>
      <c r="D54" s="115" t="s">
        <v>3526</v>
      </c>
      <c r="E54" s="4" t="s">
        <v>3847</v>
      </c>
      <c r="F54" s="7" t="s">
        <v>82</v>
      </c>
      <c r="G54" s="7" t="s">
        <v>94</v>
      </c>
      <c r="H54" s="7" t="s">
        <v>89</v>
      </c>
      <c r="I54" s="7" t="s">
        <v>1788</v>
      </c>
      <c r="J54" s="7" t="s">
        <v>2</v>
      </c>
      <c r="K54" s="4" t="s">
        <v>10</v>
      </c>
      <c r="L54" s="4" t="s">
        <v>24</v>
      </c>
      <c r="M54" s="4" t="s">
        <v>4310</v>
      </c>
      <c r="N54" s="4" t="s">
        <v>2584</v>
      </c>
      <c r="O54" s="89"/>
      <c r="P54" s="25">
        <v>45957</v>
      </c>
      <c r="Q54" s="4" t="s">
        <v>78</v>
      </c>
      <c r="R54" s="90" t="s">
        <v>3252</v>
      </c>
      <c r="S54" s="6" t="s">
        <v>1795</v>
      </c>
      <c r="T54" s="4" t="s">
        <v>81</v>
      </c>
      <c r="U54" s="4" t="s">
        <v>349</v>
      </c>
      <c r="V54" s="4">
        <v>99</v>
      </c>
      <c r="W54" s="85">
        <v>46013</v>
      </c>
      <c r="X54" s="4" t="s">
        <v>3739</v>
      </c>
      <c r="Y54" s="4">
        <v>568203751</v>
      </c>
      <c r="Z54" s="4" t="s">
        <v>3207</v>
      </c>
      <c r="AA54" s="4" t="s">
        <v>3016</v>
      </c>
      <c r="AB54" s="4" t="s">
        <v>4289</v>
      </c>
    </row>
    <row r="55" spans="1:28">
      <c r="A55" s="4">
        <v>54</v>
      </c>
      <c r="B55" s="5">
        <v>11260050</v>
      </c>
      <c r="C55" s="5">
        <v>206957735</v>
      </c>
      <c r="D55" s="115" t="s">
        <v>4136</v>
      </c>
      <c r="E55" s="4" t="s">
        <v>3973</v>
      </c>
      <c r="F55" s="7" t="s">
        <v>74</v>
      </c>
      <c r="G55" s="7" t="s">
        <v>89</v>
      </c>
      <c r="H55" s="7" t="s">
        <v>90</v>
      </c>
      <c r="I55" s="7" t="s">
        <v>1789</v>
      </c>
      <c r="J55" s="7" t="s">
        <v>2</v>
      </c>
      <c r="K55" s="4" t="s">
        <v>10</v>
      </c>
      <c r="L55" s="4" t="s">
        <v>23</v>
      </c>
      <c r="M55" s="4" t="s">
        <v>4310</v>
      </c>
      <c r="N55" s="4" t="s">
        <v>2584</v>
      </c>
      <c r="O55" s="89"/>
      <c r="P55" s="25">
        <v>46048</v>
      </c>
      <c r="Q55" s="4" t="s">
        <v>78</v>
      </c>
      <c r="R55" s="4" t="s">
        <v>3255</v>
      </c>
      <c r="S55" s="6" t="s">
        <v>1795</v>
      </c>
      <c r="T55" s="4" t="s">
        <v>81</v>
      </c>
      <c r="U55" s="4"/>
      <c r="V55" s="4">
        <v>99</v>
      </c>
      <c r="W55" s="85">
        <v>46104</v>
      </c>
      <c r="X55" s="4" t="s">
        <v>3980</v>
      </c>
      <c r="Y55" s="4" t="s">
        <v>3996</v>
      </c>
      <c r="Z55" s="4" t="s">
        <v>4015</v>
      </c>
      <c r="AA55" s="4" t="s">
        <v>1204</v>
      </c>
      <c r="AB55" s="4" t="e">
        <v>#N/A</v>
      </c>
    </row>
    <row r="56" spans="1:28">
      <c r="A56" s="4">
        <v>55</v>
      </c>
      <c r="B56" s="5">
        <v>14748134</v>
      </c>
      <c r="C56" s="5">
        <v>203679313</v>
      </c>
      <c r="D56" s="115" t="s">
        <v>237</v>
      </c>
      <c r="E56" s="4" t="s">
        <v>3719</v>
      </c>
      <c r="F56" s="7" t="s">
        <v>74</v>
      </c>
      <c r="G56" s="7" t="s">
        <v>75</v>
      </c>
      <c r="H56" s="7" t="s">
        <v>76</v>
      </c>
      <c r="I56" s="6" t="s">
        <v>1788</v>
      </c>
      <c r="J56" s="7" t="s">
        <v>2</v>
      </c>
      <c r="K56" s="4" t="s">
        <v>10</v>
      </c>
      <c r="L56" s="4" t="s">
        <v>24</v>
      </c>
      <c r="M56" s="4" t="s">
        <v>4310</v>
      </c>
      <c r="N56" s="4" t="s">
        <v>2584</v>
      </c>
      <c r="O56" s="89"/>
      <c r="P56" s="25">
        <v>45488</v>
      </c>
      <c r="Q56" s="4" t="s">
        <v>78</v>
      </c>
      <c r="R56" s="90" t="s">
        <v>2799</v>
      </c>
      <c r="S56" s="6" t="s">
        <v>1795</v>
      </c>
      <c r="T56" s="4" t="s">
        <v>81</v>
      </c>
      <c r="U56" s="4" t="s">
        <v>349</v>
      </c>
      <c r="V56" s="4">
        <v>99</v>
      </c>
      <c r="W56" s="85">
        <v>45853</v>
      </c>
      <c r="X56" s="4" t="s">
        <v>3690</v>
      </c>
      <c r="Y56" s="4">
        <v>528200728</v>
      </c>
      <c r="Z56" s="4" t="s">
        <v>1815</v>
      </c>
      <c r="AA56" s="4" t="s">
        <v>95</v>
      </c>
      <c r="AB56" s="4" t="s">
        <v>4289</v>
      </c>
    </row>
    <row r="57" spans="1:28">
      <c r="A57" s="4">
        <v>56</v>
      </c>
      <c r="B57" s="5">
        <v>12445126</v>
      </c>
      <c r="C57" s="5">
        <v>206957724</v>
      </c>
      <c r="D57" s="115" t="s">
        <v>4137</v>
      </c>
      <c r="E57" s="4" t="s">
        <v>3974</v>
      </c>
      <c r="F57" s="7" t="s">
        <v>74</v>
      </c>
      <c r="G57" s="7" t="s">
        <v>88</v>
      </c>
      <c r="H57" s="7" t="s">
        <v>94</v>
      </c>
      <c r="I57" s="7" t="s">
        <v>1789</v>
      </c>
      <c r="J57" s="7" t="s">
        <v>2</v>
      </c>
      <c r="K57" s="4" t="s">
        <v>10</v>
      </c>
      <c r="L57" s="4" t="s">
        <v>23</v>
      </c>
      <c r="M57" s="4" t="s">
        <v>4310</v>
      </c>
      <c r="N57" s="4" t="s">
        <v>2584</v>
      </c>
      <c r="O57" s="89"/>
      <c r="P57" s="25">
        <v>46048</v>
      </c>
      <c r="Q57" s="4" t="s">
        <v>78</v>
      </c>
      <c r="R57" s="4" t="s">
        <v>3260</v>
      </c>
      <c r="S57" s="6" t="s">
        <v>1795</v>
      </c>
      <c r="T57" s="4" t="s">
        <v>92</v>
      </c>
      <c r="U57" s="4"/>
      <c r="V57" s="4">
        <v>99</v>
      </c>
      <c r="W57" s="85">
        <v>46104</v>
      </c>
      <c r="X57" s="4" t="s">
        <v>3979</v>
      </c>
      <c r="Y57" s="4" t="s">
        <v>3982</v>
      </c>
      <c r="Z57" s="4" t="s">
        <v>4016</v>
      </c>
      <c r="AA57" s="4" t="s">
        <v>1204</v>
      </c>
      <c r="AB57" s="4" t="s">
        <v>4289</v>
      </c>
    </row>
    <row r="58" spans="1:28">
      <c r="A58" s="4">
        <v>57</v>
      </c>
      <c r="B58" s="5">
        <v>13033144</v>
      </c>
      <c r="C58" s="5">
        <v>206954239</v>
      </c>
      <c r="D58" s="116" t="s">
        <v>4185</v>
      </c>
      <c r="E58" s="95" t="s">
        <v>4186</v>
      </c>
      <c r="F58" s="7" t="s">
        <v>82</v>
      </c>
      <c r="G58" s="7" t="s">
        <v>75</v>
      </c>
      <c r="H58" s="7" t="s">
        <v>76</v>
      </c>
      <c r="I58" s="6" t="s">
        <v>1790</v>
      </c>
      <c r="J58" s="7" t="s">
        <v>2</v>
      </c>
      <c r="K58" s="7" t="s">
        <v>10</v>
      </c>
      <c r="L58" s="7" t="s">
        <v>22</v>
      </c>
      <c r="M58" s="4" t="s">
        <v>4310</v>
      </c>
      <c r="N58" s="4" t="s">
        <v>2584</v>
      </c>
      <c r="O58" s="89"/>
      <c r="P58" s="25">
        <v>46048</v>
      </c>
      <c r="Q58" s="4" t="s">
        <v>78</v>
      </c>
      <c r="R58" s="7" t="s">
        <v>3260</v>
      </c>
      <c r="S58" s="7" t="s">
        <v>1795</v>
      </c>
      <c r="T58" s="7" t="s">
        <v>81</v>
      </c>
      <c r="U58" s="7"/>
      <c r="V58" s="4">
        <v>99</v>
      </c>
      <c r="W58" s="7"/>
      <c r="X58" s="4" t="s">
        <v>3290</v>
      </c>
      <c r="Y58" s="4" t="s">
        <v>4221</v>
      </c>
      <c r="Z58" s="4" t="s">
        <v>4222</v>
      </c>
      <c r="AA58" s="4" t="s">
        <v>3168</v>
      </c>
      <c r="AB58" s="4" t="e">
        <v>#N/A</v>
      </c>
    </row>
    <row r="59" spans="1:28">
      <c r="A59" s="4">
        <v>58</v>
      </c>
      <c r="B59" s="95">
        <v>14957294</v>
      </c>
      <c r="C59" s="5">
        <v>206875150</v>
      </c>
      <c r="D59" s="115" t="s">
        <v>3428</v>
      </c>
      <c r="E59" s="4" t="s">
        <v>3386</v>
      </c>
      <c r="F59" s="7" t="s">
        <v>74</v>
      </c>
      <c r="G59" s="7" t="s">
        <v>94</v>
      </c>
      <c r="H59" s="7" t="s">
        <v>89</v>
      </c>
      <c r="I59" s="7" t="s">
        <v>1789</v>
      </c>
      <c r="J59" s="6" t="s">
        <v>2</v>
      </c>
      <c r="K59" s="6" t="s">
        <v>10</v>
      </c>
      <c r="L59" s="4" t="s">
        <v>22</v>
      </c>
      <c r="M59" s="4" t="s">
        <v>4310</v>
      </c>
      <c r="N59" s="4" t="s">
        <v>2584</v>
      </c>
      <c r="O59" s="89"/>
      <c r="P59" s="25">
        <v>46020</v>
      </c>
      <c r="Q59" s="4" t="s">
        <v>78</v>
      </c>
      <c r="R59" s="4" t="s">
        <v>2586</v>
      </c>
      <c r="S59" s="6" t="s">
        <v>3478</v>
      </c>
      <c r="T59" s="4" t="s">
        <v>81</v>
      </c>
      <c r="U59" s="4"/>
      <c r="V59" s="4">
        <v>99</v>
      </c>
      <c r="W59" s="4"/>
      <c r="X59" s="4" t="s">
        <v>3290</v>
      </c>
      <c r="Y59" s="95">
        <v>548796657</v>
      </c>
      <c r="Z59" s="4" t="s">
        <v>3460</v>
      </c>
      <c r="AA59" s="4" t="s">
        <v>3477</v>
      </c>
      <c r="AB59" s="4">
        <v>0</v>
      </c>
    </row>
    <row r="60" spans="1:28">
      <c r="A60" s="4">
        <v>59</v>
      </c>
      <c r="B60" s="5">
        <v>14429353</v>
      </c>
      <c r="C60" s="5">
        <v>203469452</v>
      </c>
      <c r="D60" s="115" t="s">
        <v>102</v>
      </c>
      <c r="E60" s="4" t="s">
        <v>3720</v>
      </c>
      <c r="F60" s="7" t="s">
        <v>82</v>
      </c>
      <c r="G60" s="7" t="s">
        <v>89</v>
      </c>
      <c r="H60" s="7" t="s">
        <v>90</v>
      </c>
      <c r="I60" s="6" t="s">
        <v>1790</v>
      </c>
      <c r="J60" s="7" t="s">
        <v>2</v>
      </c>
      <c r="K60" s="4" t="s">
        <v>10</v>
      </c>
      <c r="L60" s="4" t="s">
        <v>20</v>
      </c>
      <c r="M60" s="4" t="s">
        <v>4310</v>
      </c>
      <c r="N60" s="4" t="s">
        <v>2584</v>
      </c>
      <c r="O60" s="89"/>
      <c r="P60" s="25">
        <v>45456</v>
      </c>
      <c r="Q60" s="4" t="s">
        <v>78</v>
      </c>
      <c r="R60" s="90" t="s">
        <v>3252</v>
      </c>
      <c r="S60" s="6" t="s">
        <v>1795</v>
      </c>
      <c r="T60" s="4" t="s">
        <v>81</v>
      </c>
      <c r="U60" s="4" t="s">
        <v>107</v>
      </c>
      <c r="V60" s="4">
        <v>99</v>
      </c>
      <c r="W60" s="85">
        <v>46186</v>
      </c>
      <c r="X60" s="4" t="s">
        <v>3688</v>
      </c>
      <c r="Y60" s="4">
        <v>545195414</v>
      </c>
      <c r="Z60" s="4" t="s">
        <v>1816</v>
      </c>
      <c r="AA60" s="4" t="s">
        <v>85</v>
      </c>
      <c r="AB60" s="4" t="s">
        <v>4289</v>
      </c>
    </row>
    <row r="61" spans="1:28">
      <c r="A61" s="4">
        <v>60</v>
      </c>
      <c r="B61" s="5">
        <v>14734459</v>
      </c>
      <c r="C61" s="5">
        <v>204299903</v>
      </c>
      <c r="D61" s="115" t="s">
        <v>1698</v>
      </c>
      <c r="E61" s="4" t="s">
        <v>3721</v>
      </c>
      <c r="F61" s="7" t="s">
        <v>82</v>
      </c>
      <c r="G61" s="7" t="s">
        <v>89</v>
      </c>
      <c r="H61" s="7" t="s">
        <v>90</v>
      </c>
      <c r="I61" s="6" t="s">
        <v>1790</v>
      </c>
      <c r="J61" s="7" t="s">
        <v>2</v>
      </c>
      <c r="K61" s="4" t="s">
        <v>10</v>
      </c>
      <c r="L61" s="4" t="s">
        <v>27</v>
      </c>
      <c r="M61" s="4" t="s">
        <v>4310</v>
      </c>
      <c r="N61" s="4" t="s">
        <v>2584</v>
      </c>
      <c r="O61" s="89"/>
      <c r="P61" s="25">
        <v>45586</v>
      </c>
      <c r="Q61" s="4" t="s">
        <v>78</v>
      </c>
      <c r="R61" s="90" t="s">
        <v>3258</v>
      </c>
      <c r="S61" s="6" t="s">
        <v>1795</v>
      </c>
      <c r="T61" s="4" t="s">
        <v>81</v>
      </c>
      <c r="U61" s="4" t="s">
        <v>112</v>
      </c>
      <c r="V61" s="4">
        <v>99</v>
      </c>
      <c r="W61" s="85">
        <v>46316</v>
      </c>
      <c r="X61" s="4" t="s">
        <v>3703</v>
      </c>
      <c r="Y61" s="4">
        <v>502600956</v>
      </c>
      <c r="Z61" s="4" t="s">
        <v>1817</v>
      </c>
      <c r="AA61" s="4" t="s">
        <v>85</v>
      </c>
      <c r="AB61" s="4" t="s">
        <v>4289</v>
      </c>
    </row>
    <row r="62" spans="1:28">
      <c r="A62" s="4">
        <v>61</v>
      </c>
      <c r="B62" s="5">
        <v>11871143</v>
      </c>
      <c r="C62" s="5">
        <v>204299902</v>
      </c>
      <c r="D62" s="115" t="s">
        <v>1699</v>
      </c>
      <c r="E62" s="4" t="s">
        <v>3722</v>
      </c>
      <c r="F62" s="7" t="s">
        <v>74</v>
      </c>
      <c r="G62" s="7" t="s">
        <v>87</v>
      </c>
      <c r="H62" s="7" t="s">
        <v>75</v>
      </c>
      <c r="I62" s="7" t="s">
        <v>1789</v>
      </c>
      <c r="J62" s="7" t="s">
        <v>2</v>
      </c>
      <c r="K62" s="4" t="s">
        <v>10</v>
      </c>
      <c r="L62" s="4" t="s">
        <v>27</v>
      </c>
      <c r="M62" s="4" t="s">
        <v>4310</v>
      </c>
      <c r="N62" s="4" t="s">
        <v>2584</v>
      </c>
      <c r="O62" s="89"/>
      <c r="P62" s="25">
        <v>45586</v>
      </c>
      <c r="Q62" s="4" t="s">
        <v>78</v>
      </c>
      <c r="R62" s="90" t="s">
        <v>3256</v>
      </c>
      <c r="S62" s="6" t="s">
        <v>1795</v>
      </c>
      <c r="T62" s="4" t="s">
        <v>81</v>
      </c>
      <c r="U62" s="4" t="s">
        <v>112</v>
      </c>
      <c r="V62" s="4">
        <v>99</v>
      </c>
      <c r="W62" s="85">
        <v>45642</v>
      </c>
      <c r="X62" s="4" t="s">
        <v>3698</v>
      </c>
      <c r="Y62" s="4">
        <v>581778336</v>
      </c>
      <c r="Z62" s="4" t="s">
        <v>1818</v>
      </c>
      <c r="AA62" s="4" t="s">
        <v>85</v>
      </c>
      <c r="AB62" s="4" t="s">
        <v>4289</v>
      </c>
    </row>
    <row r="63" spans="1:28">
      <c r="A63" s="4">
        <v>62</v>
      </c>
      <c r="B63" s="5">
        <v>12685696</v>
      </c>
      <c r="C63" s="5">
        <v>204319462</v>
      </c>
      <c r="D63" s="115" t="s">
        <v>1746</v>
      </c>
      <c r="E63" s="4" t="s">
        <v>3723</v>
      </c>
      <c r="F63" s="7" t="s">
        <v>82</v>
      </c>
      <c r="G63" s="7" t="s">
        <v>89</v>
      </c>
      <c r="H63" s="7" t="s">
        <v>90</v>
      </c>
      <c r="I63" s="7" t="s">
        <v>1789</v>
      </c>
      <c r="J63" s="7" t="s">
        <v>2</v>
      </c>
      <c r="K63" s="4" t="s">
        <v>10</v>
      </c>
      <c r="L63" s="4" t="s">
        <v>27</v>
      </c>
      <c r="M63" s="4" t="s">
        <v>4310</v>
      </c>
      <c r="N63" s="4" t="s">
        <v>2584</v>
      </c>
      <c r="O63" s="89"/>
      <c r="P63" s="25">
        <v>45589</v>
      </c>
      <c r="Q63" s="4" t="s">
        <v>78</v>
      </c>
      <c r="R63" s="90" t="s">
        <v>3254</v>
      </c>
      <c r="S63" s="6" t="s">
        <v>1795</v>
      </c>
      <c r="T63" s="4" t="s">
        <v>81</v>
      </c>
      <c r="U63" s="4" t="s">
        <v>349</v>
      </c>
      <c r="V63" s="4">
        <v>99</v>
      </c>
      <c r="W63" s="85">
        <v>45645</v>
      </c>
      <c r="X63" s="4" t="s">
        <v>3690</v>
      </c>
      <c r="Y63" s="4">
        <v>568890492</v>
      </c>
      <c r="Z63" s="4" t="s">
        <v>1819</v>
      </c>
      <c r="AA63" s="4" t="s">
        <v>85</v>
      </c>
      <c r="AB63" s="4" t="s">
        <v>4289</v>
      </c>
    </row>
    <row r="64" spans="1:28">
      <c r="A64" s="4">
        <v>63</v>
      </c>
      <c r="B64" s="5">
        <v>11128083</v>
      </c>
      <c r="C64" s="5">
        <v>204299911</v>
      </c>
      <c r="D64" s="115" t="s">
        <v>1700</v>
      </c>
      <c r="E64" s="4" t="s">
        <v>3724</v>
      </c>
      <c r="F64" s="7" t="s">
        <v>82</v>
      </c>
      <c r="G64" s="7" t="s">
        <v>76</v>
      </c>
      <c r="H64" s="7" t="s">
        <v>88</v>
      </c>
      <c r="I64" s="6" t="s">
        <v>1790</v>
      </c>
      <c r="J64" s="7" t="s">
        <v>2</v>
      </c>
      <c r="K64" s="4" t="s">
        <v>10</v>
      </c>
      <c r="L64" s="4" t="s">
        <v>27</v>
      </c>
      <c r="M64" s="4" t="s">
        <v>4310</v>
      </c>
      <c r="N64" s="4" t="s">
        <v>2584</v>
      </c>
      <c r="O64" s="89"/>
      <c r="P64" s="25">
        <v>45586</v>
      </c>
      <c r="Q64" s="4" t="s">
        <v>78</v>
      </c>
      <c r="R64" s="90" t="s">
        <v>3262</v>
      </c>
      <c r="S64" s="6" t="s">
        <v>1795</v>
      </c>
      <c r="T64" s="4" t="s">
        <v>81</v>
      </c>
      <c r="U64" s="4" t="s">
        <v>103</v>
      </c>
      <c r="V64" s="4">
        <v>99</v>
      </c>
      <c r="W64" s="85">
        <v>46316</v>
      </c>
      <c r="X64" s="4" t="s">
        <v>3698</v>
      </c>
      <c r="Y64" s="4">
        <v>567097730</v>
      </c>
      <c r="Z64" s="4" t="s">
        <v>1820</v>
      </c>
      <c r="AA64" s="4" t="s">
        <v>1196</v>
      </c>
      <c r="AB64" s="4" t="s">
        <v>4289</v>
      </c>
    </row>
    <row r="65" spans="1:28">
      <c r="A65" s="4">
        <v>64</v>
      </c>
      <c r="B65" s="5">
        <v>14109230</v>
      </c>
      <c r="C65" s="5">
        <v>203679308</v>
      </c>
      <c r="D65" s="115" t="s">
        <v>238</v>
      </c>
      <c r="E65" s="4" t="s">
        <v>3725</v>
      </c>
      <c r="F65" s="7" t="s">
        <v>74</v>
      </c>
      <c r="G65" s="7" t="s">
        <v>75</v>
      </c>
      <c r="H65" s="7" t="s">
        <v>76</v>
      </c>
      <c r="I65" s="6" t="s">
        <v>1788</v>
      </c>
      <c r="J65" s="7" t="s">
        <v>2</v>
      </c>
      <c r="K65" s="4" t="s">
        <v>10</v>
      </c>
      <c r="L65" s="4" t="s">
        <v>24</v>
      </c>
      <c r="M65" s="4" t="s">
        <v>4310</v>
      </c>
      <c r="N65" s="4" t="s">
        <v>2583</v>
      </c>
      <c r="O65" s="89"/>
      <c r="P65" s="25">
        <v>45488</v>
      </c>
      <c r="Q65" s="4" t="s">
        <v>78</v>
      </c>
      <c r="R65" s="90" t="s">
        <v>3254</v>
      </c>
      <c r="S65" s="6" t="s">
        <v>1795</v>
      </c>
      <c r="T65" s="4" t="s">
        <v>81</v>
      </c>
      <c r="U65" s="4" t="s">
        <v>112</v>
      </c>
      <c r="V65" s="4">
        <v>99</v>
      </c>
      <c r="W65" s="85">
        <v>45853</v>
      </c>
      <c r="X65" s="4" t="s">
        <v>3739</v>
      </c>
      <c r="Y65" s="4">
        <v>553122507</v>
      </c>
      <c r="Z65" s="4" t="s">
        <v>1821</v>
      </c>
      <c r="AA65" s="4" t="s">
        <v>85</v>
      </c>
      <c r="AB65" s="4" t="s">
        <v>4289</v>
      </c>
    </row>
    <row r="66" spans="1:28">
      <c r="A66" s="4">
        <v>65</v>
      </c>
      <c r="B66" s="5">
        <v>12006252</v>
      </c>
      <c r="C66" s="5">
        <v>206072869</v>
      </c>
      <c r="D66" s="115" t="s">
        <v>2882</v>
      </c>
      <c r="E66" s="4" t="s">
        <v>3726</v>
      </c>
      <c r="F66" s="7" t="s">
        <v>74</v>
      </c>
      <c r="G66" s="7" t="s">
        <v>76</v>
      </c>
      <c r="H66" s="7" t="s">
        <v>88</v>
      </c>
      <c r="I66" s="7" t="s">
        <v>1788</v>
      </c>
      <c r="J66" s="7" t="s">
        <v>2</v>
      </c>
      <c r="K66" s="4" t="s">
        <v>10</v>
      </c>
      <c r="L66" s="4" t="s">
        <v>24</v>
      </c>
      <c r="M66" s="4" t="s">
        <v>4310</v>
      </c>
      <c r="N66" s="4" t="s">
        <v>2584</v>
      </c>
      <c r="O66" s="89"/>
      <c r="P66" s="25">
        <v>45922</v>
      </c>
      <c r="Q66" s="4" t="s">
        <v>78</v>
      </c>
      <c r="R66" s="90" t="s">
        <v>3261</v>
      </c>
      <c r="S66" s="6" t="s">
        <v>1795</v>
      </c>
      <c r="T66" s="4" t="s">
        <v>81</v>
      </c>
      <c r="U66" s="4" t="s">
        <v>112</v>
      </c>
      <c r="V66" s="4">
        <v>99</v>
      </c>
      <c r="W66" s="85">
        <v>45983</v>
      </c>
      <c r="X66" s="4" t="s">
        <v>3688</v>
      </c>
      <c r="Y66" s="4"/>
      <c r="Z66" s="4"/>
      <c r="AA66" s="4" t="s">
        <v>85</v>
      </c>
      <c r="AB66" s="4" t="s">
        <v>4289</v>
      </c>
    </row>
    <row r="67" spans="1:28">
      <c r="A67" s="4">
        <v>66</v>
      </c>
      <c r="B67" s="5">
        <v>12424896</v>
      </c>
      <c r="C67" s="5">
        <v>204299913</v>
      </c>
      <c r="D67" s="115" t="s">
        <v>1701</v>
      </c>
      <c r="E67" s="4" t="s">
        <v>3727</v>
      </c>
      <c r="F67" s="7" t="s">
        <v>82</v>
      </c>
      <c r="G67" s="7" t="s">
        <v>75</v>
      </c>
      <c r="H67" s="7" t="s">
        <v>76</v>
      </c>
      <c r="I67" s="6" t="s">
        <v>1790</v>
      </c>
      <c r="J67" s="7" t="s">
        <v>2</v>
      </c>
      <c r="K67" s="4" t="s">
        <v>10</v>
      </c>
      <c r="L67" s="4" t="s">
        <v>27</v>
      </c>
      <c r="M67" s="4" t="s">
        <v>4310</v>
      </c>
      <c r="N67" s="4" t="s">
        <v>2584</v>
      </c>
      <c r="O67" s="89"/>
      <c r="P67" s="25">
        <v>45586</v>
      </c>
      <c r="Q67" s="4" t="s">
        <v>78</v>
      </c>
      <c r="R67" s="90" t="s">
        <v>3262</v>
      </c>
      <c r="S67" s="6" t="s">
        <v>1795</v>
      </c>
      <c r="T67" s="4" t="s">
        <v>81</v>
      </c>
      <c r="U67" s="4" t="s">
        <v>107</v>
      </c>
      <c r="V67" s="4">
        <v>99</v>
      </c>
      <c r="W67" s="85">
        <v>46316</v>
      </c>
      <c r="X67" s="4" t="s">
        <v>3688</v>
      </c>
      <c r="Y67" s="4">
        <v>556711897</v>
      </c>
      <c r="Z67" s="4" t="s">
        <v>1822</v>
      </c>
      <c r="AA67" s="4" t="s">
        <v>85</v>
      </c>
      <c r="AB67" s="4" t="s">
        <v>4289</v>
      </c>
    </row>
    <row r="68" spans="1:28">
      <c r="A68" s="4">
        <v>67</v>
      </c>
      <c r="B68" s="5">
        <v>14899039</v>
      </c>
      <c r="C68" s="5">
        <v>203635601</v>
      </c>
      <c r="D68" s="115" t="s">
        <v>571</v>
      </c>
      <c r="E68" s="4" t="s">
        <v>3728</v>
      </c>
      <c r="F68" s="7" t="s">
        <v>74</v>
      </c>
      <c r="G68" s="7" t="s">
        <v>90</v>
      </c>
      <c r="H68" s="7" t="s">
        <v>87</v>
      </c>
      <c r="I68" s="6" t="s">
        <v>1788</v>
      </c>
      <c r="J68" s="7" t="s">
        <v>2</v>
      </c>
      <c r="K68" s="4" t="s">
        <v>10</v>
      </c>
      <c r="L68" s="4" t="s">
        <v>24</v>
      </c>
      <c r="M68" s="4" t="s">
        <v>4310</v>
      </c>
      <c r="N68" s="4" t="s">
        <v>2583</v>
      </c>
      <c r="O68" s="89"/>
      <c r="P68" s="25">
        <v>45481</v>
      </c>
      <c r="Q68" s="4" t="s">
        <v>78</v>
      </c>
      <c r="R68" s="90" t="s">
        <v>3260</v>
      </c>
      <c r="S68" s="6" t="s">
        <v>1795</v>
      </c>
      <c r="T68" s="4" t="s">
        <v>92</v>
      </c>
      <c r="U68" s="4" t="s">
        <v>349</v>
      </c>
      <c r="V68" s="4">
        <v>99</v>
      </c>
      <c r="W68" s="85">
        <v>45846</v>
      </c>
      <c r="X68" s="4" t="s">
        <v>3690</v>
      </c>
      <c r="Y68" s="4">
        <v>568783197</v>
      </c>
      <c r="Z68" s="4" t="s">
        <v>2231</v>
      </c>
      <c r="AA68" s="4" t="s">
        <v>85</v>
      </c>
      <c r="AB68" s="4" t="s">
        <v>4289</v>
      </c>
    </row>
    <row r="69" spans="1:28">
      <c r="A69" s="4">
        <v>68</v>
      </c>
      <c r="B69" s="5">
        <v>11077272</v>
      </c>
      <c r="C69" s="5">
        <v>206953385</v>
      </c>
      <c r="D69" s="115" t="s">
        <v>4132</v>
      </c>
      <c r="E69" s="4" t="s">
        <v>3969</v>
      </c>
      <c r="F69" s="7" t="s">
        <v>74</v>
      </c>
      <c r="G69" s="7" t="s">
        <v>75</v>
      </c>
      <c r="H69" s="7" t="s">
        <v>76</v>
      </c>
      <c r="I69" s="7" t="s">
        <v>1788</v>
      </c>
      <c r="J69" s="7" t="s">
        <v>2</v>
      </c>
      <c r="K69" s="4" t="s">
        <v>10</v>
      </c>
      <c r="L69" s="4" t="s">
        <v>23</v>
      </c>
      <c r="M69" s="4" t="s">
        <v>4310</v>
      </c>
      <c r="N69" s="4" t="s">
        <v>2584</v>
      </c>
      <c r="O69" s="89"/>
      <c r="P69" s="25">
        <v>46048</v>
      </c>
      <c r="Q69" s="4" t="s">
        <v>78</v>
      </c>
      <c r="R69" s="4" t="s">
        <v>2586</v>
      </c>
      <c r="S69" s="6" t="s">
        <v>1795</v>
      </c>
      <c r="T69" s="4" t="s">
        <v>92</v>
      </c>
      <c r="U69" s="4"/>
      <c r="V69" s="4">
        <v>99</v>
      </c>
      <c r="W69" s="85">
        <v>46104</v>
      </c>
      <c r="X69" s="4" t="s">
        <v>3979</v>
      </c>
      <c r="Y69" s="4" t="s">
        <v>3992</v>
      </c>
      <c r="Z69" s="4" t="s">
        <v>4011</v>
      </c>
      <c r="AA69" s="4" t="s">
        <v>1204</v>
      </c>
      <c r="AB69" s="4" t="s">
        <v>4289</v>
      </c>
    </row>
    <row r="70" spans="1:28">
      <c r="A70" s="4">
        <v>69</v>
      </c>
      <c r="B70" s="5">
        <v>14835451</v>
      </c>
      <c r="C70" s="5">
        <v>206015572</v>
      </c>
      <c r="D70" s="115" t="s">
        <v>2857</v>
      </c>
      <c r="E70" s="4" t="s">
        <v>3729</v>
      </c>
      <c r="F70" s="7" t="s">
        <v>82</v>
      </c>
      <c r="G70" s="7" t="s">
        <v>88</v>
      </c>
      <c r="H70" s="7" t="s">
        <v>94</v>
      </c>
      <c r="I70" s="7" t="s">
        <v>1789</v>
      </c>
      <c r="J70" s="7" t="s">
        <v>2</v>
      </c>
      <c r="K70" s="4" t="s">
        <v>10</v>
      </c>
      <c r="L70" s="4" t="s">
        <v>24</v>
      </c>
      <c r="M70" s="4" t="s">
        <v>4310</v>
      </c>
      <c r="N70" s="4"/>
      <c r="O70" s="89"/>
      <c r="P70" s="25">
        <v>45915</v>
      </c>
      <c r="Q70" s="4" t="s">
        <v>78</v>
      </c>
      <c r="R70" s="90" t="s">
        <v>3254</v>
      </c>
      <c r="S70" s="6" t="s">
        <v>1795</v>
      </c>
      <c r="T70" s="4" t="s">
        <v>92</v>
      </c>
      <c r="U70" s="4" t="s">
        <v>132</v>
      </c>
      <c r="V70" s="4">
        <v>99</v>
      </c>
      <c r="W70" s="85"/>
      <c r="X70" s="4"/>
      <c r="Y70" s="4"/>
      <c r="Z70" s="4"/>
      <c r="AA70" s="4" t="s">
        <v>85</v>
      </c>
      <c r="AB70" s="4" t="s">
        <v>4289</v>
      </c>
    </row>
    <row r="71" spans="1:28">
      <c r="A71" s="4">
        <v>70</v>
      </c>
      <c r="B71" s="5">
        <v>289587</v>
      </c>
      <c r="C71" s="5">
        <v>203469399</v>
      </c>
      <c r="D71" s="115" t="s">
        <v>91</v>
      </c>
      <c r="E71" s="4" t="s">
        <v>3730</v>
      </c>
      <c r="F71" s="7" t="s">
        <v>74</v>
      </c>
      <c r="G71" s="7" t="s">
        <v>87</v>
      </c>
      <c r="H71" s="7" t="s">
        <v>75</v>
      </c>
      <c r="I71" s="6" t="s">
        <v>1790</v>
      </c>
      <c r="J71" s="7" t="s">
        <v>2</v>
      </c>
      <c r="K71" s="4" t="s">
        <v>10</v>
      </c>
      <c r="L71" s="4" t="s">
        <v>20</v>
      </c>
      <c r="M71" s="4" t="s">
        <v>4310</v>
      </c>
      <c r="N71" s="4" t="s">
        <v>2584</v>
      </c>
      <c r="O71" s="89"/>
      <c r="P71" s="25">
        <v>45456</v>
      </c>
      <c r="Q71" s="4" t="s">
        <v>78</v>
      </c>
      <c r="R71" s="90" t="s">
        <v>2586</v>
      </c>
      <c r="S71" s="6" t="s">
        <v>1795</v>
      </c>
      <c r="T71" s="4" t="s">
        <v>92</v>
      </c>
      <c r="U71" s="4" t="s">
        <v>132</v>
      </c>
      <c r="V71" s="4">
        <v>99</v>
      </c>
      <c r="W71" s="85">
        <v>46186</v>
      </c>
      <c r="X71" s="4" t="s">
        <v>3731</v>
      </c>
      <c r="Y71" s="4">
        <v>558064481</v>
      </c>
      <c r="Z71" s="4" t="s">
        <v>1823</v>
      </c>
      <c r="AA71" s="4" t="s">
        <v>85</v>
      </c>
      <c r="AB71" s="4" t="s">
        <v>4289</v>
      </c>
    </row>
    <row r="72" spans="1:28">
      <c r="A72" s="4">
        <v>71</v>
      </c>
      <c r="B72" s="5">
        <v>15364487</v>
      </c>
      <c r="C72" s="5">
        <v>206953383</v>
      </c>
      <c r="D72" s="115" t="s">
        <v>4133</v>
      </c>
      <c r="E72" s="4" t="s">
        <v>3970</v>
      </c>
      <c r="F72" s="7" t="s">
        <v>74</v>
      </c>
      <c r="G72" s="7" t="s">
        <v>75</v>
      </c>
      <c r="H72" s="7" t="s">
        <v>76</v>
      </c>
      <c r="I72" s="7" t="s">
        <v>1788</v>
      </c>
      <c r="J72" s="7" t="s">
        <v>2</v>
      </c>
      <c r="K72" s="4" t="s">
        <v>10</v>
      </c>
      <c r="L72" s="4" t="s">
        <v>23</v>
      </c>
      <c r="M72" s="4" t="s">
        <v>4310</v>
      </c>
      <c r="N72" s="4" t="s">
        <v>2584</v>
      </c>
      <c r="O72" s="89"/>
      <c r="P72" s="25">
        <v>46048</v>
      </c>
      <c r="Q72" s="4" t="s">
        <v>78</v>
      </c>
      <c r="R72" s="4" t="s">
        <v>3260</v>
      </c>
      <c r="S72" s="6" t="s">
        <v>1795</v>
      </c>
      <c r="T72" s="4" t="s">
        <v>92</v>
      </c>
      <c r="U72" s="4"/>
      <c r="V72" s="4">
        <v>99</v>
      </c>
      <c r="W72" s="85">
        <v>46104</v>
      </c>
      <c r="X72" s="4" t="s">
        <v>3979</v>
      </c>
      <c r="Y72" s="4" t="s">
        <v>3993</v>
      </c>
      <c r="Z72" s="4" t="s">
        <v>4012</v>
      </c>
      <c r="AA72" s="4" t="s">
        <v>1204</v>
      </c>
      <c r="AB72" s="4" t="s">
        <v>4289</v>
      </c>
    </row>
    <row r="73" spans="1:28">
      <c r="A73" s="4">
        <v>72</v>
      </c>
      <c r="B73" s="5">
        <v>11431478</v>
      </c>
      <c r="C73" s="5">
        <v>205647827</v>
      </c>
      <c r="D73" s="115" t="s">
        <v>2637</v>
      </c>
      <c r="E73" s="4" t="s">
        <v>3732</v>
      </c>
      <c r="F73" s="7" t="s">
        <v>82</v>
      </c>
      <c r="G73" s="7" t="s">
        <v>90</v>
      </c>
      <c r="H73" s="7" t="s">
        <v>87</v>
      </c>
      <c r="I73" s="7" t="s">
        <v>1789</v>
      </c>
      <c r="J73" s="7" t="s">
        <v>2</v>
      </c>
      <c r="K73" s="4" t="s">
        <v>10</v>
      </c>
      <c r="L73" s="4" t="s">
        <v>23</v>
      </c>
      <c r="M73" s="4" t="s">
        <v>4310</v>
      </c>
      <c r="N73" s="4" t="s">
        <v>2584</v>
      </c>
      <c r="O73" s="89"/>
      <c r="P73" s="25">
        <v>45852</v>
      </c>
      <c r="Q73" s="4" t="s">
        <v>78</v>
      </c>
      <c r="R73" s="90" t="s">
        <v>3252</v>
      </c>
      <c r="S73" s="6" t="s">
        <v>1795</v>
      </c>
      <c r="T73" s="4" t="s">
        <v>92</v>
      </c>
      <c r="U73" s="4" t="s">
        <v>349</v>
      </c>
      <c r="V73" s="4">
        <v>99</v>
      </c>
      <c r="W73" s="85">
        <v>45908</v>
      </c>
      <c r="X73" s="4"/>
      <c r="Y73" s="4">
        <v>254757123370</v>
      </c>
      <c r="Z73" s="4" t="s">
        <v>2628</v>
      </c>
      <c r="AA73" s="4" t="s">
        <v>1204</v>
      </c>
      <c r="AB73" s="4" t="s">
        <v>4289</v>
      </c>
    </row>
    <row r="74" spans="1:28">
      <c r="A74" s="4">
        <v>73</v>
      </c>
      <c r="B74" s="95">
        <v>15144085</v>
      </c>
      <c r="C74" s="4">
        <v>206873779</v>
      </c>
      <c r="D74" s="115" t="s">
        <v>3518</v>
      </c>
      <c r="E74" s="4" t="s">
        <v>3488</v>
      </c>
      <c r="F74" s="7" t="s">
        <v>82</v>
      </c>
      <c r="G74" s="7" t="s">
        <v>94</v>
      </c>
      <c r="H74" s="7" t="s">
        <v>89</v>
      </c>
      <c r="I74" s="7" t="s">
        <v>1789</v>
      </c>
      <c r="J74" s="4" t="s">
        <v>2</v>
      </c>
      <c r="K74" s="6" t="s">
        <v>10</v>
      </c>
      <c r="L74" s="4" t="s">
        <v>22</v>
      </c>
      <c r="M74" s="4" t="s">
        <v>4310</v>
      </c>
      <c r="N74" s="4" t="s">
        <v>2584</v>
      </c>
      <c r="O74" s="89"/>
      <c r="P74" s="25">
        <v>46020</v>
      </c>
      <c r="Q74" s="4" t="s">
        <v>78</v>
      </c>
      <c r="R74" s="4" t="s">
        <v>3261</v>
      </c>
      <c r="S74" s="4" t="s">
        <v>3478</v>
      </c>
      <c r="T74" s="4" t="s">
        <v>81</v>
      </c>
      <c r="U74" s="4"/>
      <c r="V74" s="4">
        <v>99</v>
      </c>
      <c r="W74" s="4"/>
      <c r="X74" s="4" t="s">
        <v>3290</v>
      </c>
      <c r="Y74" s="4">
        <v>561462263</v>
      </c>
      <c r="Z74" s="4" t="s">
        <v>3504</v>
      </c>
      <c r="AA74" s="4" t="s">
        <v>3016</v>
      </c>
      <c r="AB74" s="4">
        <v>0</v>
      </c>
    </row>
    <row r="75" spans="1:28">
      <c r="A75" s="4">
        <v>74</v>
      </c>
      <c r="B75" s="5">
        <v>13368578</v>
      </c>
      <c r="C75" s="5">
        <v>203635497</v>
      </c>
      <c r="D75" s="115" t="s">
        <v>580</v>
      </c>
      <c r="E75" s="4" t="s">
        <v>3848</v>
      </c>
      <c r="F75" s="7" t="s">
        <v>82</v>
      </c>
      <c r="G75" s="7" t="s">
        <v>87</v>
      </c>
      <c r="H75" s="7" t="s">
        <v>75</v>
      </c>
      <c r="I75" s="6" t="s">
        <v>1788</v>
      </c>
      <c r="J75" s="7" t="s">
        <v>2</v>
      </c>
      <c r="K75" s="4" t="s">
        <v>10</v>
      </c>
      <c r="L75" s="4" t="s">
        <v>24</v>
      </c>
      <c r="M75" s="4" t="s">
        <v>4310</v>
      </c>
      <c r="N75" s="4" t="s">
        <v>2584</v>
      </c>
      <c r="O75" s="89"/>
      <c r="P75" s="25">
        <v>45481</v>
      </c>
      <c r="Q75" s="4" t="s">
        <v>78</v>
      </c>
      <c r="R75" s="90" t="s">
        <v>3260</v>
      </c>
      <c r="S75" s="6" t="s">
        <v>1795</v>
      </c>
      <c r="T75" s="4" t="s">
        <v>81</v>
      </c>
      <c r="U75" s="4" t="s">
        <v>349</v>
      </c>
      <c r="V75" s="4">
        <v>99</v>
      </c>
      <c r="W75" s="85">
        <v>45846</v>
      </c>
      <c r="X75" s="4" t="s">
        <v>3698</v>
      </c>
      <c r="Y75" s="4">
        <v>557695706</v>
      </c>
      <c r="Z75" s="4" t="s">
        <v>2236</v>
      </c>
      <c r="AA75" s="4" t="s">
        <v>1196</v>
      </c>
      <c r="AB75" s="4" t="s">
        <v>4290</v>
      </c>
    </row>
    <row r="76" spans="1:28">
      <c r="A76" s="4">
        <v>75</v>
      </c>
      <c r="B76" s="95">
        <v>14637465</v>
      </c>
      <c r="C76" s="5">
        <v>204246172</v>
      </c>
      <c r="D76" s="115" t="s">
        <v>1736</v>
      </c>
      <c r="E76" s="4" t="s">
        <v>1642</v>
      </c>
      <c r="F76" s="7" t="s">
        <v>82</v>
      </c>
      <c r="G76" s="7" t="s">
        <v>75</v>
      </c>
      <c r="H76" s="7" t="s">
        <v>76</v>
      </c>
      <c r="I76" s="7" t="s">
        <v>1789</v>
      </c>
      <c r="J76" s="6" t="s">
        <v>2</v>
      </c>
      <c r="K76" s="6" t="s">
        <v>10</v>
      </c>
      <c r="L76" s="4" t="s">
        <v>3404</v>
      </c>
      <c r="M76" s="4" t="s">
        <v>4310</v>
      </c>
      <c r="N76" s="4" t="s">
        <v>2584</v>
      </c>
      <c r="O76" s="89"/>
      <c r="P76" s="25">
        <v>46020</v>
      </c>
      <c r="Q76" s="4" t="s">
        <v>78</v>
      </c>
      <c r="R76" s="4" t="s">
        <v>3262</v>
      </c>
      <c r="S76" s="6" t="s">
        <v>3478</v>
      </c>
      <c r="T76" s="4" t="s">
        <v>81</v>
      </c>
      <c r="U76" s="4"/>
      <c r="V76" s="4">
        <v>99</v>
      </c>
      <c r="W76" s="4"/>
      <c r="X76" s="95"/>
      <c r="Y76" s="95"/>
      <c r="Z76" s="4" t="s">
        <v>3472</v>
      </c>
      <c r="AA76" s="4"/>
      <c r="AB76" s="4">
        <v>0</v>
      </c>
    </row>
    <row r="77" spans="1:28">
      <c r="A77" s="4">
        <v>76</v>
      </c>
      <c r="B77" s="5">
        <v>11041352</v>
      </c>
      <c r="C77" s="5">
        <v>206296189</v>
      </c>
      <c r="D77" s="115" t="s">
        <v>3123</v>
      </c>
      <c r="E77" s="4" t="s">
        <v>3733</v>
      </c>
      <c r="F77" s="7" t="s">
        <v>74</v>
      </c>
      <c r="G77" s="7" t="s">
        <v>90</v>
      </c>
      <c r="H77" s="7" t="s">
        <v>87</v>
      </c>
      <c r="I77" s="7" t="s">
        <v>1789</v>
      </c>
      <c r="J77" s="7" t="s">
        <v>2</v>
      </c>
      <c r="K77" s="4" t="s">
        <v>10</v>
      </c>
      <c r="L77" s="4" t="s">
        <v>23</v>
      </c>
      <c r="M77" s="4" t="s">
        <v>4310</v>
      </c>
      <c r="N77" s="4"/>
      <c r="O77" s="89"/>
      <c r="P77" s="25">
        <v>45950</v>
      </c>
      <c r="Q77" s="4" t="s">
        <v>78</v>
      </c>
      <c r="R77" s="90" t="s">
        <v>2586</v>
      </c>
      <c r="S77" s="6" t="s">
        <v>1795</v>
      </c>
      <c r="T77" s="4" t="s">
        <v>81</v>
      </c>
      <c r="U77" s="4" t="s">
        <v>349</v>
      </c>
      <c r="V77" s="4">
        <v>99</v>
      </c>
      <c r="W77" s="85"/>
      <c r="X77" s="4"/>
      <c r="Y77" s="4"/>
      <c r="Z77" s="4"/>
      <c r="AA77" s="4" t="s">
        <v>3121</v>
      </c>
      <c r="AB77" s="4" t="s">
        <v>4289</v>
      </c>
    </row>
    <row r="78" spans="1:28">
      <c r="A78" s="4">
        <v>77</v>
      </c>
      <c r="B78" s="5">
        <v>11086776</v>
      </c>
      <c r="C78" s="5">
        <v>203682331</v>
      </c>
      <c r="D78" s="115" t="s">
        <v>115</v>
      </c>
      <c r="E78" s="4" t="s">
        <v>3734</v>
      </c>
      <c r="F78" s="7" t="s">
        <v>82</v>
      </c>
      <c r="G78" s="7" t="s">
        <v>94</v>
      </c>
      <c r="H78" s="7" t="s">
        <v>89</v>
      </c>
      <c r="I78" s="6" t="s">
        <v>1790</v>
      </c>
      <c r="J78" s="7" t="s">
        <v>2</v>
      </c>
      <c r="K78" s="4" t="s">
        <v>10</v>
      </c>
      <c r="L78" s="4" t="s">
        <v>20</v>
      </c>
      <c r="M78" s="4" t="s">
        <v>4310</v>
      </c>
      <c r="N78" s="4" t="s">
        <v>2583</v>
      </c>
      <c r="O78" s="89"/>
      <c r="P78" s="25">
        <v>45488</v>
      </c>
      <c r="Q78" s="4" t="s">
        <v>78</v>
      </c>
      <c r="R78" s="90" t="s">
        <v>2799</v>
      </c>
      <c r="S78" s="6" t="s">
        <v>1795</v>
      </c>
      <c r="T78" s="4" t="s">
        <v>81</v>
      </c>
      <c r="U78" s="4" t="s">
        <v>349</v>
      </c>
      <c r="V78" s="4">
        <v>99</v>
      </c>
      <c r="W78" s="85">
        <v>46218</v>
      </c>
      <c r="X78" s="4" t="s">
        <v>3690</v>
      </c>
      <c r="Y78" s="4">
        <v>567180904</v>
      </c>
      <c r="Z78" s="4" t="s">
        <v>1824</v>
      </c>
      <c r="AA78" s="4" t="s">
        <v>85</v>
      </c>
      <c r="AB78" s="4" t="s">
        <v>4289</v>
      </c>
    </row>
    <row r="79" spans="1:28">
      <c r="A79" s="4">
        <v>78</v>
      </c>
      <c r="B79" s="95">
        <v>15008997</v>
      </c>
      <c r="C79" s="5">
        <v>206846113</v>
      </c>
      <c r="D79" s="115" t="s">
        <v>3433</v>
      </c>
      <c r="E79" s="4" t="s">
        <v>3393</v>
      </c>
      <c r="F79" s="7" t="s">
        <v>74</v>
      </c>
      <c r="G79" s="7" t="s">
        <v>89</v>
      </c>
      <c r="H79" s="7" t="s">
        <v>90</v>
      </c>
      <c r="I79" s="7" t="s">
        <v>1789</v>
      </c>
      <c r="J79" s="6" t="s">
        <v>2</v>
      </c>
      <c r="K79" s="6" t="s">
        <v>10</v>
      </c>
      <c r="L79" s="4" t="s">
        <v>22</v>
      </c>
      <c r="M79" s="4" t="s">
        <v>4310</v>
      </c>
      <c r="N79" s="4" t="s">
        <v>2584</v>
      </c>
      <c r="O79" s="89"/>
      <c r="P79" s="25">
        <v>46020</v>
      </c>
      <c r="Q79" s="4" t="s">
        <v>78</v>
      </c>
      <c r="R79" s="4" t="s">
        <v>3262</v>
      </c>
      <c r="S79" s="6" t="s">
        <v>3478</v>
      </c>
      <c r="T79" s="4" t="s">
        <v>81</v>
      </c>
      <c r="U79" s="4"/>
      <c r="V79" s="4">
        <v>99</v>
      </c>
      <c r="W79" s="4"/>
      <c r="X79" s="4" t="s">
        <v>3290</v>
      </c>
      <c r="Y79" s="112">
        <v>57696848</v>
      </c>
      <c r="Z79" s="4" t="s">
        <v>3466</v>
      </c>
      <c r="AA79" s="4" t="s">
        <v>3016</v>
      </c>
      <c r="AB79" s="4" t="s">
        <v>4289</v>
      </c>
    </row>
    <row r="80" spans="1:28">
      <c r="A80" s="4">
        <v>79</v>
      </c>
      <c r="B80" s="5">
        <v>14006304</v>
      </c>
      <c r="C80" s="5">
        <v>206953981</v>
      </c>
      <c r="D80" s="115" t="s">
        <v>4066</v>
      </c>
      <c r="E80" s="4" t="s">
        <v>4032</v>
      </c>
      <c r="F80" s="7" t="s">
        <v>74</v>
      </c>
      <c r="G80" s="7" t="s">
        <v>89</v>
      </c>
      <c r="H80" s="7" t="s">
        <v>90</v>
      </c>
      <c r="I80" s="6" t="s">
        <v>1790</v>
      </c>
      <c r="J80" s="7" t="s">
        <v>2</v>
      </c>
      <c r="K80" s="4" t="s">
        <v>10</v>
      </c>
      <c r="L80" s="4" t="s">
        <v>22</v>
      </c>
      <c r="M80" s="4" t="s">
        <v>4310</v>
      </c>
      <c r="N80" s="4" t="s">
        <v>2584</v>
      </c>
      <c r="O80" s="89"/>
      <c r="P80" s="25">
        <v>46048</v>
      </c>
      <c r="Q80" s="4" t="s">
        <v>78</v>
      </c>
      <c r="R80" s="90" t="s">
        <v>2586</v>
      </c>
      <c r="S80" s="6" t="s">
        <v>1795</v>
      </c>
      <c r="T80" s="4" t="s">
        <v>81</v>
      </c>
      <c r="U80" s="4"/>
      <c r="V80" s="4">
        <v>99</v>
      </c>
      <c r="W80" s="85">
        <v>46778</v>
      </c>
      <c r="X80" s="4" t="s">
        <v>3290</v>
      </c>
      <c r="Y80" s="4" t="s">
        <v>4047</v>
      </c>
      <c r="Z80" s="4" t="s">
        <v>4060</v>
      </c>
      <c r="AA80" s="4" t="s">
        <v>3658</v>
      </c>
      <c r="AB80" s="4" t="s">
        <v>4289</v>
      </c>
    </row>
    <row r="81" spans="1:28">
      <c r="A81" s="4">
        <v>80</v>
      </c>
      <c r="B81" s="5">
        <v>13412074</v>
      </c>
      <c r="C81" s="5">
        <v>203555400</v>
      </c>
      <c r="D81" s="115" t="s">
        <v>225</v>
      </c>
      <c r="E81" s="4" t="s">
        <v>3735</v>
      </c>
      <c r="F81" s="7" t="s">
        <v>82</v>
      </c>
      <c r="G81" s="7" t="s">
        <v>94</v>
      </c>
      <c r="H81" s="7" t="s">
        <v>89</v>
      </c>
      <c r="I81" s="6" t="s">
        <v>1788</v>
      </c>
      <c r="J81" s="7" t="s">
        <v>2</v>
      </c>
      <c r="K81" s="4" t="s">
        <v>10</v>
      </c>
      <c r="L81" s="4" t="s">
        <v>24</v>
      </c>
      <c r="M81" s="4" t="s">
        <v>4310</v>
      </c>
      <c r="N81" s="4" t="s">
        <v>2584</v>
      </c>
      <c r="O81" s="89"/>
      <c r="P81" s="25">
        <v>45470</v>
      </c>
      <c r="Q81" s="4" t="s">
        <v>78</v>
      </c>
      <c r="R81" s="90" t="s">
        <v>3260</v>
      </c>
      <c r="S81" s="6" t="s">
        <v>1795</v>
      </c>
      <c r="T81" s="4" t="s">
        <v>92</v>
      </c>
      <c r="U81" s="4" t="s">
        <v>349</v>
      </c>
      <c r="V81" s="4">
        <v>99</v>
      </c>
      <c r="W81" s="85">
        <v>45835</v>
      </c>
      <c r="X81" s="4" t="s">
        <v>3690</v>
      </c>
      <c r="Y81" s="4">
        <v>504634012</v>
      </c>
      <c r="Z81" s="4" t="s">
        <v>1825</v>
      </c>
      <c r="AA81" s="4" t="s">
        <v>85</v>
      </c>
      <c r="AB81" s="4" t="s">
        <v>4289</v>
      </c>
    </row>
    <row r="82" spans="1:28">
      <c r="A82" s="4">
        <v>81</v>
      </c>
      <c r="B82" s="5">
        <v>13763534</v>
      </c>
      <c r="C82" s="5">
        <v>203800483</v>
      </c>
      <c r="D82" s="115" t="s">
        <v>662</v>
      </c>
      <c r="E82" s="4" t="s">
        <v>3736</v>
      </c>
      <c r="F82" s="7" t="s">
        <v>82</v>
      </c>
      <c r="G82" s="7" t="s">
        <v>75</v>
      </c>
      <c r="H82" s="7" t="s">
        <v>76</v>
      </c>
      <c r="I82" s="7" t="s">
        <v>1789</v>
      </c>
      <c r="J82" s="7" t="s">
        <v>2</v>
      </c>
      <c r="K82" s="4" t="s">
        <v>10</v>
      </c>
      <c r="L82" s="4" t="s">
        <v>22</v>
      </c>
      <c r="M82" s="4" t="s">
        <v>4310</v>
      </c>
      <c r="N82" s="4" t="s">
        <v>2584</v>
      </c>
      <c r="O82" s="89"/>
      <c r="P82" s="25">
        <v>45516</v>
      </c>
      <c r="Q82" s="4" t="s">
        <v>78</v>
      </c>
      <c r="R82" s="90" t="s">
        <v>3262</v>
      </c>
      <c r="S82" s="6" t="s">
        <v>1795</v>
      </c>
      <c r="T82" s="4" t="s">
        <v>81</v>
      </c>
      <c r="U82" s="4" t="s">
        <v>103</v>
      </c>
      <c r="V82" s="4">
        <v>99</v>
      </c>
      <c r="W82" s="85">
        <v>45572</v>
      </c>
      <c r="X82" s="4" t="s">
        <v>3689</v>
      </c>
      <c r="Y82" s="4" t="s">
        <v>3737</v>
      </c>
      <c r="Z82" s="4" t="s">
        <v>1826</v>
      </c>
      <c r="AA82" s="4" t="s">
        <v>95</v>
      </c>
      <c r="AB82" s="4" t="s">
        <v>4289</v>
      </c>
    </row>
    <row r="83" spans="1:28">
      <c r="A83" s="4">
        <v>82</v>
      </c>
      <c r="B83" s="5">
        <v>12370642</v>
      </c>
      <c r="C83" s="5">
        <v>103476446</v>
      </c>
      <c r="D83" s="115" t="s">
        <v>120</v>
      </c>
      <c r="E83" s="4" t="s">
        <v>121</v>
      </c>
      <c r="F83" s="7" t="s">
        <v>74</v>
      </c>
      <c r="G83" s="7" t="s">
        <v>94</v>
      </c>
      <c r="H83" s="7" t="s">
        <v>89</v>
      </c>
      <c r="I83" s="6" t="s">
        <v>119</v>
      </c>
      <c r="J83" s="7" t="s">
        <v>2</v>
      </c>
      <c r="K83" s="4" t="s">
        <v>10</v>
      </c>
      <c r="L83" s="4" t="s">
        <v>21</v>
      </c>
      <c r="M83" s="4" t="s">
        <v>4310</v>
      </c>
      <c r="N83" s="4" t="s">
        <v>2583</v>
      </c>
      <c r="O83" s="89"/>
      <c r="P83" s="25">
        <v>43306</v>
      </c>
      <c r="Q83" s="4" t="s">
        <v>78</v>
      </c>
      <c r="R83" s="90" t="s">
        <v>3257</v>
      </c>
      <c r="S83" s="6" t="s">
        <v>1795</v>
      </c>
      <c r="T83" s="4" t="s">
        <v>81</v>
      </c>
      <c r="U83" s="4" t="s">
        <v>103</v>
      </c>
      <c r="V83" s="4">
        <v>1</v>
      </c>
      <c r="W83" s="85"/>
      <c r="X83" s="4" t="s">
        <v>3688</v>
      </c>
      <c r="Y83" s="4">
        <v>0</v>
      </c>
      <c r="Z83" s="4" t="e">
        <v>#N/A</v>
      </c>
      <c r="AA83" s="4" t="s">
        <v>1202</v>
      </c>
      <c r="AB83" s="4" t="s">
        <v>4289</v>
      </c>
    </row>
    <row r="84" spans="1:28">
      <c r="A84" s="4">
        <v>83</v>
      </c>
      <c r="B84" s="5">
        <v>11976821</v>
      </c>
      <c r="C84" s="5">
        <v>206065204</v>
      </c>
      <c r="D84" s="115" t="s">
        <v>2888</v>
      </c>
      <c r="E84" s="4" t="s">
        <v>3738</v>
      </c>
      <c r="F84" s="7" t="s">
        <v>74</v>
      </c>
      <c r="G84" s="7" t="s">
        <v>94</v>
      </c>
      <c r="H84" s="7" t="s">
        <v>89</v>
      </c>
      <c r="I84" s="7" t="s">
        <v>1789</v>
      </c>
      <c r="J84" s="7" t="s">
        <v>2</v>
      </c>
      <c r="K84" s="4" t="s">
        <v>10</v>
      </c>
      <c r="L84" s="4" t="s">
        <v>24</v>
      </c>
      <c r="M84" s="4" t="s">
        <v>4310</v>
      </c>
      <c r="N84" s="4" t="s">
        <v>2584</v>
      </c>
      <c r="O84" s="89"/>
      <c r="P84" s="25">
        <v>45922</v>
      </c>
      <c r="Q84" s="4" t="s">
        <v>78</v>
      </c>
      <c r="R84" s="90" t="s">
        <v>3256</v>
      </c>
      <c r="S84" s="6" t="s">
        <v>1795</v>
      </c>
      <c r="T84" s="4" t="s">
        <v>81</v>
      </c>
      <c r="U84" s="4" t="s">
        <v>349</v>
      </c>
      <c r="V84" s="4">
        <v>99</v>
      </c>
      <c r="W84" s="85">
        <v>45983</v>
      </c>
      <c r="X84" s="4" t="s">
        <v>3739</v>
      </c>
      <c r="Y84" s="4"/>
      <c r="Z84" s="4"/>
      <c r="AA84" s="4" t="s">
        <v>3701</v>
      </c>
      <c r="AB84" s="4" t="s">
        <v>4289</v>
      </c>
    </row>
    <row r="85" spans="1:28">
      <c r="A85" s="4">
        <v>84</v>
      </c>
      <c r="B85" s="5">
        <v>14749266</v>
      </c>
      <c r="C85" s="5">
        <v>203469400</v>
      </c>
      <c r="D85" s="115" t="s">
        <v>96</v>
      </c>
      <c r="E85" s="4" t="s">
        <v>3740</v>
      </c>
      <c r="F85" s="7" t="s">
        <v>82</v>
      </c>
      <c r="G85" s="7" t="s">
        <v>76</v>
      </c>
      <c r="H85" s="7" t="s">
        <v>88</v>
      </c>
      <c r="I85" s="6" t="s">
        <v>1790</v>
      </c>
      <c r="J85" s="7" t="s">
        <v>2</v>
      </c>
      <c r="K85" s="4" t="s">
        <v>10</v>
      </c>
      <c r="L85" s="4" t="s">
        <v>20</v>
      </c>
      <c r="M85" s="4" t="s">
        <v>4310</v>
      </c>
      <c r="N85" s="4" t="s">
        <v>2584</v>
      </c>
      <c r="O85" s="89"/>
      <c r="P85" s="25">
        <v>45456</v>
      </c>
      <c r="Q85" s="4" t="s">
        <v>78</v>
      </c>
      <c r="R85" s="90" t="s">
        <v>3253</v>
      </c>
      <c r="S85" s="6" t="s">
        <v>1795</v>
      </c>
      <c r="T85" s="4" t="s">
        <v>92</v>
      </c>
      <c r="U85" s="4" t="s">
        <v>349</v>
      </c>
      <c r="V85" s="4">
        <v>99</v>
      </c>
      <c r="W85" s="85">
        <v>46186</v>
      </c>
      <c r="X85" s="4" t="s">
        <v>3688</v>
      </c>
      <c r="Y85" s="4">
        <v>528248074</v>
      </c>
      <c r="Z85" s="4" t="s">
        <v>1827</v>
      </c>
      <c r="AA85" s="4" t="s">
        <v>85</v>
      </c>
      <c r="AB85" s="4" t="s">
        <v>4289</v>
      </c>
    </row>
    <row r="86" spans="1:28">
      <c r="A86" s="4">
        <v>85</v>
      </c>
      <c r="B86" s="5">
        <v>15015917</v>
      </c>
      <c r="C86" s="5">
        <v>206926477</v>
      </c>
      <c r="D86" s="115" t="s">
        <v>4146</v>
      </c>
      <c r="E86" s="4" t="s">
        <v>4028</v>
      </c>
      <c r="F86" s="7" t="s">
        <v>74</v>
      </c>
      <c r="G86" s="7" t="s">
        <v>88</v>
      </c>
      <c r="H86" s="7" t="s">
        <v>94</v>
      </c>
      <c r="I86" s="6" t="s">
        <v>1790</v>
      </c>
      <c r="J86" s="7" t="s">
        <v>2</v>
      </c>
      <c r="K86" s="4" t="s">
        <v>10</v>
      </c>
      <c r="L86" s="4" t="s">
        <v>22</v>
      </c>
      <c r="M86" s="4" t="s">
        <v>4310</v>
      </c>
      <c r="N86" s="4" t="s">
        <v>2584</v>
      </c>
      <c r="O86" s="89"/>
      <c r="P86" s="25">
        <v>46048</v>
      </c>
      <c r="Q86" s="4" t="s">
        <v>78</v>
      </c>
      <c r="R86" s="4" t="s">
        <v>3255</v>
      </c>
      <c r="S86" s="6" t="s">
        <v>1795</v>
      </c>
      <c r="T86" s="4" t="s">
        <v>81</v>
      </c>
      <c r="U86" s="4"/>
      <c r="V86" s="4">
        <v>99</v>
      </c>
      <c r="W86" s="85">
        <v>46778</v>
      </c>
      <c r="X86" s="4" t="s">
        <v>3290</v>
      </c>
      <c r="Y86" s="4" t="s">
        <v>4043</v>
      </c>
      <c r="Z86" s="4" t="s">
        <v>4056</v>
      </c>
      <c r="AA86" s="4" t="s">
        <v>3168</v>
      </c>
      <c r="AB86" s="4" t="s">
        <v>4289</v>
      </c>
    </row>
    <row r="87" spans="1:28">
      <c r="A87" s="4">
        <v>86</v>
      </c>
      <c r="B87" s="5">
        <v>12186721</v>
      </c>
      <c r="C87" s="5">
        <v>203679317</v>
      </c>
      <c r="D87" s="115" t="s">
        <v>239</v>
      </c>
      <c r="E87" s="4" t="s">
        <v>3741</v>
      </c>
      <c r="F87" s="7" t="s">
        <v>74</v>
      </c>
      <c r="G87" s="7" t="s">
        <v>75</v>
      </c>
      <c r="H87" s="7" t="s">
        <v>76</v>
      </c>
      <c r="I87" s="6" t="s">
        <v>1788</v>
      </c>
      <c r="J87" s="7" t="s">
        <v>2</v>
      </c>
      <c r="K87" s="4" t="s">
        <v>10</v>
      </c>
      <c r="L87" s="4" t="s">
        <v>24</v>
      </c>
      <c r="M87" s="4" t="s">
        <v>4310</v>
      </c>
      <c r="N87" s="4" t="s">
        <v>2584</v>
      </c>
      <c r="O87" s="89"/>
      <c r="P87" s="25">
        <v>45488</v>
      </c>
      <c r="Q87" s="4" t="s">
        <v>78</v>
      </c>
      <c r="R87" s="90" t="s">
        <v>3253</v>
      </c>
      <c r="S87" s="6" t="s">
        <v>1795</v>
      </c>
      <c r="T87" s="4" t="s">
        <v>81</v>
      </c>
      <c r="U87" s="4" t="s">
        <v>3263</v>
      </c>
      <c r="V87" s="4">
        <v>99</v>
      </c>
      <c r="W87" s="85">
        <v>45853</v>
      </c>
      <c r="X87" s="4" t="s">
        <v>3739</v>
      </c>
      <c r="Y87" s="4">
        <v>545188635</v>
      </c>
      <c r="Z87" s="4" t="s">
        <v>1828</v>
      </c>
      <c r="AA87" s="4" t="s">
        <v>95</v>
      </c>
      <c r="AB87" s="4" t="s">
        <v>4289</v>
      </c>
    </row>
    <row r="88" spans="1:28">
      <c r="A88" s="4">
        <v>87</v>
      </c>
      <c r="B88" s="5">
        <v>13200084</v>
      </c>
      <c r="C88" s="5">
        <v>203469060</v>
      </c>
      <c r="D88" s="115" t="s">
        <v>163</v>
      </c>
      <c r="E88" s="4" t="s">
        <v>3742</v>
      </c>
      <c r="F88" s="7" t="s">
        <v>74</v>
      </c>
      <c r="G88" s="7" t="s">
        <v>90</v>
      </c>
      <c r="H88" s="7" t="s">
        <v>87</v>
      </c>
      <c r="I88" s="6" t="s">
        <v>1788</v>
      </c>
      <c r="J88" s="7" t="s">
        <v>2</v>
      </c>
      <c r="K88" s="4" t="s">
        <v>10</v>
      </c>
      <c r="L88" s="4" t="s">
        <v>24</v>
      </c>
      <c r="M88" s="4" t="s">
        <v>4310</v>
      </c>
      <c r="N88" s="4" t="s">
        <v>2583</v>
      </c>
      <c r="O88" s="89"/>
      <c r="P88" s="25">
        <v>45456</v>
      </c>
      <c r="Q88" s="4" t="s">
        <v>78</v>
      </c>
      <c r="R88" s="90" t="s">
        <v>3257</v>
      </c>
      <c r="S88" s="6" t="s">
        <v>1795</v>
      </c>
      <c r="T88" s="4" t="s">
        <v>92</v>
      </c>
      <c r="U88" s="4" t="s">
        <v>349</v>
      </c>
      <c r="V88" s="4">
        <v>99</v>
      </c>
      <c r="W88" s="85">
        <v>45821</v>
      </c>
      <c r="X88" s="4" t="s">
        <v>3731</v>
      </c>
      <c r="Y88" s="4">
        <v>505329031</v>
      </c>
      <c r="Z88" s="4" t="s">
        <v>1829</v>
      </c>
      <c r="AA88" s="4" t="s">
        <v>1198</v>
      </c>
      <c r="AB88" s="4" t="s">
        <v>4289</v>
      </c>
    </row>
    <row r="89" spans="1:28">
      <c r="A89" s="4">
        <v>88</v>
      </c>
      <c r="B89" s="95">
        <v>14238371</v>
      </c>
      <c r="C89" s="5">
        <v>206875152</v>
      </c>
      <c r="D89" s="115" t="s">
        <v>3429</v>
      </c>
      <c r="E89" s="4" t="s">
        <v>3387</v>
      </c>
      <c r="F89" s="7" t="s">
        <v>82</v>
      </c>
      <c r="G89" s="7" t="s">
        <v>94</v>
      </c>
      <c r="H89" s="7" t="s">
        <v>89</v>
      </c>
      <c r="I89" s="7" t="s">
        <v>1789</v>
      </c>
      <c r="J89" s="6" t="s">
        <v>2</v>
      </c>
      <c r="K89" s="6" t="s">
        <v>10</v>
      </c>
      <c r="L89" s="4" t="s">
        <v>22</v>
      </c>
      <c r="M89" s="4" t="s">
        <v>4310</v>
      </c>
      <c r="N89" s="4" t="s">
        <v>2584</v>
      </c>
      <c r="O89" s="89"/>
      <c r="P89" s="25">
        <v>46020</v>
      </c>
      <c r="Q89" s="4" t="s">
        <v>78</v>
      </c>
      <c r="R89" s="4" t="s">
        <v>3252</v>
      </c>
      <c r="S89" s="6" t="s">
        <v>3478</v>
      </c>
      <c r="T89" s="4" t="s">
        <v>81</v>
      </c>
      <c r="U89" s="4"/>
      <c r="V89" s="4">
        <v>99</v>
      </c>
      <c r="W89" s="4"/>
      <c r="X89" s="4" t="s">
        <v>3290</v>
      </c>
      <c r="Y89" s="95">
        <v>582548656</v>
      </c>
      <c r="Z89" s="4" t="s">
        <v>3461</v>
      </c>
      <c r="AA89" s="4" t="s">
        <v>3477</v>
      </c>
      <c r="AB89" s="4">
        <v>0</v>
      </c>
    </row>
    <row r="90" spans="1:28">
      <c r="A90" s="4">
        <v>89</v>
      </c>
      <c r="B90" s="5">
        <v>14065301</v>
      </c>
      <c r="C90" s="5">
        <v>206174727</v>
      </c>
      <c r="D90" s="115" t="s">
        <v>2988</v>
      </c>
      <c r="E90" s="4" t="s">
        <v>3743</v>
      </c>
      <c r="F90" s="7" t="s">
        <v>82</v>
      </c>
      <c r="G90" s="7" t="s">
        <v>90</v>
      </c>
      <c r="H90" s="7" t="s">
        <v>87</v>
      </c>
      <c r="I90" s="7" t="s">
        <v>1788</v>
      </c>
      <c r="J90" s="7" t="s">
        <v>2</v>
      </c>
      <c r="K90" s="4" t="s">
        <v>10</v>
      </c>
      <c r="L90" s="4" t="s">
        <v>24</v>
      </c>
      <c r="M90" s="4" t="s">
        <v>4310</v>
      </c>
      <c r="N90" s="4"/>
      <c r="O90" s="89"/>
      <c r="P90" s="25">
        <v>45932</v>
      </c>
      <c r="Q90" s="4" t="s">
        <v>78</v>
      </c>
      <c r="R90" s="90" t="s">
        <v>3253</v>
      </c>
      <c r="S90" s="6" t="s">
        <v>1795</v>
      </c>
      <c r="T90" s="4" t="s">
        <v>81</v>
      </c>
      <c r="U90" s="4" t="s">
        <v>3263</v>
      </c>
      <c r="V90" s="4">
        <v>99</v>
      </c>
      <c r="W90" s="85">
        <v>45992</v>
      </c>
      <c r="X90" s="4"/>
      <c r="Y90" s="4"/>
      <c r="Z90" s="4"/>
      <c r="AA90" s="4" t="s">
        <v>85</v>
      </c>
      <c r="AB90" s="4" t="s">
        <v>4289</v>
      </c>
    </row>
    <row r="91" spans="1:28">
      <c r="A91" s="4">
        <v>90</v>
      </c>
      <c r="B91" s="5">
        <v>14635150</v>
      </c>
      <c r="C91" s="5">
        <v>206296194</v>
      </c>
      <c r="D91" s="115" t="s">
        <v>3124</v>
      </c>
      <c r="E91" s="4" t="s">
        <v>4292</v>
      </c>
      <c r="F91" s="7" t="s">
        <v>74</v>
      </c>
      <c r="G91" s="7" t="s">
        <v>90</v>
      </c>
      <c r="H91" s="7" t="s">
        <v>87</v>
      </c>
      <c r="I91" s="7" t="s">
        <v>1789</v>
      </c>
      <c r="J91" s="7" t="s">
        <v>2</v>
      </c>
      <c r="K91" s="4" t="s">
        <v>10</v>
      </c>
      <c r="L91" s="4" t="s">
        <v>23</v>
      </c>
      <c r="M91" s="4" t="s">
        <v>4310</v>
      </c>
      <c r="N91" s="4"/>
      <c r="O91" s="89"/>
      <c r="P91" s="25">
        <v>45950</v>
      </c>
      <c r="Q91" s="4" t="s">
        <v>78</v>
      </c>
      <c r="R91" s="4" t="s">
        <v>3260</v>
      </c>
      <c r="S91" s="6" t="s">
        <v>1795</v>
      </c>
      <c r="T91" s="4" t="s">
        <v>92</v>
      </c>
      <c r="U91" s="4" t="s">
        <v>349</v>
      </c>
      <c r="V91" s="4">
        <v>99</v>
      </c>
      <c r="W91" s="85"/>
      <c r="X91" s="4"/>
      <c r="Y91" s="4"/>
      <c r="Z91" s="4"/>
      <c r="AA91" s="4" t="s">
        <v>3121</v>
      </c>
      <c r="AB91" s="4" t="s">
        <v>4289</v>
      </c>
    </row>
    <row r="92" spans="1:28">
      <c r="A92" s="4">
        <v>91</v>
      </c>
      <c r="B92" s="5">
        <v>14644510</v>
      </c>
      <c r="C92" s="5">
        <v>206937730</v>
      </c>
      <c r="D92" s="115" t="s">
        <v>4145</v>
      </c>
      <c r="E92" s="4" t="s">
        <v>4026</v>
      </c>
      <c r="F92" s="7" t="s">
        <v>74</v>
      </c>
      <c r="G92" s="7" t="s">
        <v>90</v>
      </c>
      <c r="H92" s="7" t="s">
        <v>87</v>
      </c>
      <c r="I92" s="6" t="s">
        <v>1790</v>
      </c>
      <c r="J92" s="7" t="s">
        <v>2</v>
      </c>
      <c r="K92" s="4" t="s">
        <v>10</v>
      </c>
      <c r="L92" s="4" t="s">
        <v>22</v>
      </c>
      <c r="M92" s="4" t="s">
        <v>4310</v>
      </c>
      <c r="N92" s="4" t="s">
        <v>2584</v>
      </c>
      <c r="O92" s="89"/>
      <c r="P92" s="25">
        <v>46048</v>
      </c>
      <c r="Q92" s="4" t="s">
        <v>78</v>
      </c>
      <c r="R92" s="4" t="s">
        <v>3260</v>
      </c>
      <c r="S92" s="6" t="s">
        <v>1795</v>
      </c>
      <c r="T92" s="4" t="s">
        <v>81</v>
      </c>
      <c r="U92" s="4"/>
      <c r="V92" s="4">
        <v>99</v>
      </c>
      <c r="W92" s="85">
        <v>46778</v>
      </c>
      <c r="X92" s="4" t="s">
        <v>3290</v>
      </c>
      <c r="Y92" s="4" t="s">
        <v>4041</v>
      </c>
      <c r="Z92" s="4" t="s">
        <v>4054</v>
      </c>
      <c r="AA92" s="4" t="s">
        <v>3658</v>
      </c>
      <c r="AB92" s="4" t="s">
        <v>4289</v>
      </c>
    </row>
    <row r="93" spans="1:28">
      <c r="A93" s="4">
        <v>92</v>
      </c>
      <c r="B93" s="5">
        <v>12225591</v>
      </c>
      <c r="C93" s="5">
        <v>206192253</v>
      </c>
      <c r="D93" s="115" t="s">
        <v>2994</v>
      </c>
      <c r="E93" s="4" t="s">
        <v>4293</v>
      </c>
      <c r="F93" s="7" t="s">
        <v>82</v>
      </c>
      <c r="G93" s="7" t="s">
        <v>90</v>
      </c>
      <c r="H93" s="7" t="s">
        <v>87</v>
      </c>
      <c r="I93" s="7" t="s">
        <v>1788</v>
      </c>
      <c r="J93" s="7" t="s">
        <v>2</v>
      </c>
      <c r="K93" s="4" t="s">
        <v>10</v>
      </c>
      <c r="L93" s="4" t="s">
        <v>23</v>
      </c>
      <c r="M93" s="4" t="s">
        <v>4310</v>
      </c>
      <c r="N93" s="4" t="s">
        <v>2584</v>
      </c>
      <c r="O93" s="89"/>
      <c r="P93" s="25">
        <v>45936</v>
      </c>
      <c r="Q93" s="4" t="s">
        <v>78</v>
      </c>
      <c r="R93" s="90" t="s">
        <v>3254</v>
      </c>
      <c r="S93" s="6" t="s">
        <v>1795</v>
      </c>
      <c r="T93" s="4" t="s">
        <v>81</v>
      </c>
      <c r="U93" s="4" t="s">
        <v>107</v>
      </c>
      <c r="V93" s="4">
        <v>99</v>
      </c>
      <c r="W93" s="85">
        <v>45996</v>
      </c>
      <c r="X93" s="4" t="s">
        <v>3744</v>
      </c>
      <c r="Y93" s="4">
        <v>971567829429</v>
      </c>
      <c r="Z93" s="4" t="s">
        <v>3037</v>
      </c>
      <c r="AA93" s="4" t="s">
        <v>1204</v>
      </c>
      <c r="AB93" s="4" t="s">
        <v>4289</v>
      </c>
    </row>
    <row r="94" spans="1:28">
      <c r="A94" s="4">
        <v>93</v>
      </c>
      <c r="B94" s="5">
        <v>11795406</v>
      </c>
      <c r="C94" s="5">
        <v>204373675</v>
      </c>
      <c r="D94" s="115" t="s">
        <v>1756</v>
      </c>
      <c r="E94" s="4" t="s">
        <v>3745</v>
      </c>
      <c r="F94" s="7" t="s">
        <v>74</v>
      </c>
      <c r="G94" s="7" t="s">
        <v>76</v>
      </c>
      <c r="H94" s="7" t="s">
        <v>88</v>
      </c>
      <c r="I94" s="6" t="s">
        <v>1790</v>
      </c>
      <c r="J94" s="7" t="s">
        <v>2</v>
      </c>
      <c r="K94" s="4" t="s">
        <v>10</v>
      </c>
      <c r="L94" s="4" t="s">
        <v>20</v>
      </c>
      <c r="M94" s="4" t="s">
        <v>4310</v>
      </c>
      <c r="N94" s="4" t="s">
        <v>2584</v>
      </c>
      <c r="O94" s="89"/>
      <c r="P94" s="25">
        <v>45593</v>
      </c>
      <c r="Q94" s="4" t="s">
        <v>78</v>
      </c>
      <c r="R94" s="90" t="s">
        <v>3252</v>
      </c>
      <c r="S94" s="6" t="s">
        <v>1795</v>
      </c>
      <c r="T94" s="4" t="s">
        <v>81</v>
      </c>
      <c r="U94" s="4" t="s">
        <v>103</v>
      </c>
      <c r="V94" s="4">
        <v>99</v>
      </c>
      <c r="W94" s="85">
        <v>46323</v>
      </c>
      <c r="X94" s="4" t="s">
        <v>3694</v>
      </c>
      <c r="Y94" s="4">
        <v>503517639</v>
      </c>
      <c r="Z94" s="4" t="s">
        <v>2087</v>
      </c>
      <c r="AA94" s="4" t="s">
        <v>1194</v>
      </c>
      <c r="AB94" s="4" t="s">
        <v>4290</v>
      </c>
    </row>
    <row r="95" spans="1:28">
      <c r="A95" s="4">
        <v>94</v>
      </c>
      <c r="B95" s="5">
        <v>14585706</v>
      </c>
      <c r="C95" s="5">
        <v>204319464</v>
      </c>
      <c r="D95" s="115" t="s">
        <v>1743</v>
      </c>
      <c r="E95" s="4" t="s">
        <v>3746</v>
      </c>
      <c r="F95" s="7" t="s">
        <v>74</v>
      </c>
      <c r="G95" s="7" t="s">
        <v>90</v>
      </c>
      <c r="H95" s="7" t="s">
        <v>87</v>
      </c>
      <c r="I95" s="7" t="s">
        <v>1789</v>
      </c>
      <c r="J95" s="7" t="s">
        <v>2</v>
      </c>
      <c r="K95" s="4" t="s">
        <v>10</v>
      </c>
      <c r="L95" s="4" t="s">
        <v>27</v>
      </c>
      <c r="M95" s="4" t="s">
        <v>4310</v>
      </c>
      <c r="N95" s="4" t="s">
        <v>2584</v>
      </c>
      <c r="O95" s="89"/>
      <c r="P95" s="25">
        <v>45589</v>
      </c>
      <c r="Q95" s="4" t="s">
        <v>78</v>
      </c>
      <c r="R95" s="90" t="s">
        <v>3254</v>
      </c>
      <c r="S95" s="6" t="s">
        <v>1795</v>
      </c>
      <c r="T95" s="4" t="s">
        <v>81</v>
      </c>
      <c r="U95" s="4" t="s">
        <v>112</v>
      </c>
      <c r="V95" s="4">
        <v>99</v>
      </c>
      <c r="W95" s="85">
        <v>45645</v>
      </c>
      <c r="X95" s="4" t="s">
        <v>3690</v>
      </c>
      <c r="Y95" s="4">
        <v>545369830</v>
      </c>
      <c r="Z95" s="4" t="s">
        <v>1830</v>
      </c>
      <c r="AA95" s="4" t="s">
        <v>3699</v>
      </c>
      <c r="AB95" s="4" t="s">
        <v>4290</v>
      </c>
    </row>
    <row r="96" spans="1:28">
      <c r="A96" s="4">
        <v>95</v>
      </c>
      <c r="B96" s="5">
        <v>14264315</v>
      </c>
      <c r="C96" s="5">
        <v>206015673</v>
      </c>
      <c r="D96" s="115" t="s">
        <v>2858</v>
      </c>
      <c r="E96" s="4" t="s">
        <v>4291</v>
      </c>
      <c r="F96" s="7" t="s">
        <v>74</v>
      </c>
      <c r="G96" s="7" t="s">
        <v>88</v>
      </c>
      <c r="H96" s="7" t="s">
        <v>94</v>
      </c>
      <c r="I96" s="7" t="s">
        <v>1789</v>
      </c>
      <c r="J96" s="7" t="s">
        <v>2</v>
      </c>
      <c r="K96" s="4" t="s">
        <v>10</v>
      </c>
      <c r="L96" s="4" t="s">
        <v>24</v>
      </c>
      <c r="M96" s="4" t="s">
        <v>4310</v>
      </c>
      <c r="N96" s="4"/>
      <c r="O96" s="89"/>
      <c r="P96" s="25">
        <v>45915</v>
      </c>
      <c r="Q96" s="4" t="s">
        <v>78</v>
      </c>
      <c r="R96" s="4" t="s">
        <v>3260</v>
      </c>
      <c r="S96" s="6" t="s">
        <v>1795</v>
      </c>
      <c r="T96" s="4" t="s">
        <v>81</v>
      </c>
      <c r="U96" s="4" t="s">
        <v>349</v>
      </c>
      <c r="V96" s="4">
        <v>99</v>
      </c>
      <c r="W96" s="85"/>
      <c r="X96" s="4"/>
      <c r="Y96" s="4"/>
      <c r="Z96" s="4"/>
      <c r="AA96" s="4" t="s">
        <v>1196</v>
      </c>
      <c r="AB96" s="4" t="s">
        <v>4289</v>
      </c>
    </row>
    <row r="97" spans="1:28">
      <c r="A97" s="4">
        <v>96</v>
      </c>
      <c r="B97" s="5">
        <v>11769133</v>
      </c>
      <c r="C97" s="5">
        <v>206006079</v>
      </c>
      <c r="D97" s="115" t="s">
        <v>2859</v>
      </c>
      <c r="E97" s="4" t="s">
        <v>3747</v>
      </c>
      <c r="F97" s="7" t="s">
        <v>82</v>
      </c>
      <c r="G97" s="7" t="s">
        <v>89</v>
      </c>
      <c r="H97" s="7" t="s">
        <v>90</v>
      </c>
      <c r="I97" s="7" t="s">
        <v>1788</v>
      </c>
      <c r="J97" s="7" t="s">
        <v>2</v>
      </c>
      <c r="K97" s="4" t="s">
        <v>10</v>
      </c>
      <c r="L97" s="4" t="s">
        <v>24</v>
      </c>
      <c r="M97" s="4" t="s">
        <v>4310</v>
      </c>
      <c r="N97" s="4"/>
      <c r="O97" s="89"/>
      <c r="P97" s="25">
        <v>45915</v>
      </c>
      <c r="Q97" s="4" t="s">
        <v>78</v>
      </c>
      <c r="R97" s="90" t="s">
        <v>3256</v>
      </c>
      <c r="S97" s="6" t="s">
        <v>1795</v>
      </c>
      <c r="T97" s="4" t="s">
        <v>92</v>
      </c>
      <c r="U97" s="4" t="s">
        <v>3259</v>
      </c>
      <c r="V97" s="4">
        <v>99</v>
      </c>
      <c r="W97" s="85"/>
      <c r="X97" s="4"/>
      <c r="Y97" s="4"/>
      <c r="Z97" s="4"/>
      <c r="AA97" s="4" t="s">
        <v>85</v>
      </c>
      <c r="AB97" s="4" t="s">
        <v>4289</v>
      </c>
    </row>
    <row r="98" spans="1:28">
      <c r="A98" s="4">
        <v>97</v>
      </c>
      <c r="B98" s="5">
        <v>11548754</v>
      </c>
      <c r="C98" s="5">
        <v>204373628</v>
      </c>
      <c r="D98" s="115" t="s">
        <v>1763</v>
      </c>
      <c r="E98" s="4" t="s">
        <v>3748</v>
      </c>
      <c r="F98" s="7" t="s">
        <v>74</v>
      </c>
      <c r="G98" s="7" t="s">
        <v>94</v>
      </c>
      <c r="H98" s="7" t="s">
        <v>89</v>
      </c>
      <c r="I98" s="6" t="s">
        <v>1790</v>
      </c>
      <c r="J98" s="7" t="s">
        <v>2</v>
      </c>
      <c r="K98" s="4" t="s">
        <v>10</v>
      </c>
      <c r="L98" s="4" t="s">
        <v>27</v>
      </c>
      <c r="M98" s="4" t="s">
        <v>4310</v>
      </c>
      <c r="N98" s="4" t="s">
        <v>2584</v>
      </c>
      <c r="O98" s="89"/>
      <c r="P98" s="25">
        <v>45593</v>
      </c>
      <c r="Q98" s="4" t="s">
        <v>78</v>
      </c>
      <c r="R98" s="90" t="s">
        <v>3258</v>
      </c>
      <c r="S98" s="6" t="s">
        <v>1795</v>
      </c>
      <c r="T98" s="4" t="s">
        <v>81</v>
      </c>
      <c r="U98" s="4" t="s">
        <v>103</v>
      </c>
      <c r="V98" s="4">
        <v>99</v>
      </c>
      <c r="W98" s="85">
        <v>46323</v>
      </c>
      <c r="X98" s="4" t="s">
        <v>3690</v>
      </c>
      <c r="Y98" s="4">
        <v>544254697</v>
      </c>
      <c r="Z98" s="4" t="s">
        <v>2239</v>
      </c>
      <c r="AA98" s="4" t="s">
        <v>85</v>
      </c>
      <c r="AB98" s="4" t="s">
        <v>4290</v>
      </c>
    </row>
    <row r="99" spans="1:28">
      <c r="A99" s="4">
        <v>98</v>
      </c>
      <c r="B99" s="5">
        <v>14999851</v>
      </c>
      <c r="C99" s="5">
        <v>206957730</v>
      </c>
      <c r="D99" s="115" t="s">
        <v>4138</v>
      </c>
      <c r="E99" s="4" t="s">
        <v>3975</v>
      </c>
      <c r="F99" s="7" t="s">
        <v>74</v>
      </c>
      <c r="G99" s="7" t="s">
        <v>76</v>
      </c>
      <c r="H99" s="7" t="s">
        <v>88</v>
      </c>
      <c r="I99" s="7" t="s">
        <v>1789</v>
      </c>
      <c r="J99" s="7" t="s">
        <v>2</v>
      </c>
      <c r="K99" s="4" t="s">
        <v>10</v>
      </c>
      <c r="L99" s="4" t="s">
        <v>23</v>
      </c>
      <c r="M99" s="4" t="s">
        <v>4310</v>
      </c>
      <c r="N99" s="4" t="s">
        <v>2584</v>
      </c>
      <c r="O99" s="89"/>
      <c r="P99" s="25">
        <v>46048</v>
      </c>
      <c r="Q99" s="4" t="s">
        <v>78</v>
      </c>
      <c r="R99" s="90" t="s">
        <v>2586</v>
      </c>
      <c r="S99" s="6" t="s">
        <v>1795</v>
      </c>
      <c r="T99" s="4" t="s">
        <v>81</v>
      </c>
      <c r="U99" s="4"/>
      <c r="V99" s="4">
        <v>99</v>
      </c>
      <c r="W99" s="85">
        <v>46104</v>
      </c>
      <c r="X99" s="4" t="s">
        <v>3980</v>
      </c>
      <c r="Y99" s="4" t="s">
        <v>3997</v>
      </c>
      <c r="Z99" s="4" t="s">
        <v>4017</v>
      </c>
      <c r="AA99" s="4" t="s">
        <v>4021</v>
      </c>
      <c r="AB99" s="4" t="s">
        <v>4289</v>
      </c>
    </row>
    <row r="100" spans="1:28">
      <c r="A100" s="4">
        <v>99</v>
      </c>
      <c r="B100" s="5">
        <v>12788571</v>
      </c>
      <c r="C100" s="5">
        <v>206953803</v>
      </c>
      <c r="D100" s="115" t="s">
        <v>4134</v>
      </c>
      <c r="E100" s="4" t="s">
        <v>3971</v>
      </c>
      <c r="F100" s="7" t="s">
        <v>74</v>
      </c>
      <c r="G100" s="7" t="s">
        <v>75</v>
      </c>
      <c r="H100" s="7" t="s">
        <v>76</v>
      </c>
      <c r="I100" s="7" t="s">
        <v>1788</v>
      </c>
      <c r="J100" s="7" t="s">
        <v>2</v>
      </c>
      <c r="K100" s="4" t="s">
        <v>10</v>
      </c>
      <c r="L100" s="4" t="s">
        <v>23</v>
      </c>
      <c r="M100" s="4" t="s">
        <v>4310</v>
      </c>
      <c r="N100" s="4" t="s">
        <v>2584</v>
      </c>
      <c r="O100" s="89"/>
      <c r="P100" s="25">
        <v>46048</v>
      </c>
      <c r="Q100" s="4" t="s">
        <v>78</v>
      </c>
      <c r="R100" s="90" t="s">
        <v>3256</v>
      </c>
      <c r="S100" s="6" t="s">
        <v>1795</v>
      </c>
      <c r="T100" s="4" t="s">
        <v>92</v>
      </c>
      <c r="U100" s="4"/>
      <c r="V100" s="4">
        <v>99</v>
      </c>
      <c r="W100" s="85">
        <v>46104</v>
      </c>
      <c r="X100" s="4" t="s">
        <v>3979</v>
      </c>
      <c r="Y100" s="4" t="s">
        <v>3994</v>
      </c>
      <c r="Z100" s="4" t="s">
        <v>4013</v>
      </c>
      <c r="AA100" s="4" t="s">
        <v>1204</v>
      </c>
      <c r="AB100" s="4" t="s">
        <v>4289</v>
      </c>
    </row>
    <row r="101" spans="1:28">
      <c r="A101" s="4">
        <v>100</v>
      </c>
      <c r="B101" s="5">
        <v>12789389</v>
      </c>
      <c r="C101" s="5">
        <v>206192268</v>
      </c>
      <c r="D101" s="115" t="s">
        <v>2995</v>
      </c>
      <c r="E101" s="4" t="s">
        <v>3749</v>
      </c>
      <c r="F101" s="7" t="s">
        <v>74</v>
      </c>
      <c r="G101" s="7" t="s">
        <v>76</v>
      </c>
      <c r="H101" s="7" t="s">
        <v>88</v>
      </c>
      <c r="I101" s="7" t="s">
        <v>1788</v>
      </c>
      <c r="J101" s="7" t="s">
        <v>2</v>
      </c>
      <c r="K101" s="4" t="s">
        <v>10</v>
      </c>
      <c r="L101" s="4" t="s">
        <v>23</v>
      </c>
      <c r="M101" s="4" t="s">
        <v>4310</v>
      </c>
      <c r="N101" s="4" t="s">
        <v>2584</v>
      </c>
      <c r="O101" s="89"/>
      <c r="P101" s="25">
        <v>45936</v>
      </c>
      <c r="Q101" s="4" t="s">
        <v>78</v>
      </c>
      <c r="R101" s="90" t="s">
        <v>2586</v>
      </c>
      <c r="S101" s="6" t="s">
        <v>1795</v>
      </c>
      <c r="T101" s="4" t="s">
        <v>92</v>
      </c>
      <c r="U101" s="4" t="s">
        <v>103</v>
      </c>
      <c r="V101" s="4">
        <v>99</v>
      </c>
      <c r="W101" s="85">
        <v>45996</v>
      </c>
      <c r="X101" s="4" t="s">
        <v>3744</v>
      </c>
      <c r="Y101" s="4">
        <v>971556847798</v>
      </c>
      <c r="Z101" s="4" t="s">
        <v>3038</v>
      </c>
      <c r="AA101" s="4" t="s">
        <v>1204</v>
      </c>
      <c r="AB101" s="4" t="s">
        <v>4289</v>
      </c>
    </row>
    <row r="102" spans="1:28">
      <c r="A102" s="4">
        <v>101</v>
      </c>
      <c r="B102" s="5">
        <v>11038350</v>
      </c>
      <c r="C102" s="5">
        <v>203469395</v>
      </c>
      <c r="D102" s="115" t="s">
        <v>97</v>
      </c>
      <c r="E102" s="4" t="s">
        <v>3750</v>
      </c>
      <c r="F102" s="7" t="s">
        <v>74</v>
      </c>
      <c r="G102" s="7" t="s">
        <v>94</v>
      </c>
      <c r="H102" s="7" t="s">
        <v>89</v>
      </c>
      <c r="I102" s="6" t="s">
        <v>1790</v>
      </c>
      <c r="J102" s="7" t="s">
        <v>2</v>
      </c>
      <c r="K102" s="4" t="s">
        <v>10</v>
      </c>
      <c r="L102" s="4" t="s">
        <v>20</v>
      </c>
      <c r="M102" s="4" t="s">
        <v>4310</v>
      </c>
      <c r="N102" s="4" t="s">
        <v>2583</v>
      </c>
      <c r="O102" s="89"/>
      <c r="P102" s="25">
        <v>45456</v>
      </c>
      <c r="Q102" s="4" t="s">
        <v>78</v>
      </c>
      <c r="R102" s="90" t="s">
        <v>3258</v>
      </c>
      <c r="S102" s="6" t="s">
        <v>1795</v>
      </c>
      <c r="T102" s="4" t="s">
        <v>92</v>
      </c>
      <c r="U102" s="4" t="s">
        <v>112</v>
      </c>
      <c r="V102" s="4">
        <v>99</v>
      </c>
      <c r="W102" s="85">
        <v>46186</v>
      </c>
      <c r="X102" s="4" t="s">
        <v>3731</v>
      </c>
      <c r="Y102" s="4">
        <v>544254697</v>
      </c>
      <c r="Z102" s="4" t="s">
        <v>1831</v>
      </c>
      <c r="AA102" s="4" t="s">
        <v>1204</v>
      </c>
      <c r="AB102" s="4" t="s">
        <v>4289</v>
      </c>
    </row>
    <row r="103" spans="1:28">
      <c r="A103" s="4">
        <v>102</v>
      </c>
      <c r="B103" s="5">
        <v>335966</v>
      </c>
      <c r="C103" s="5">
        <v>102582334</v>
      </c>
      <c r="D103" s="115" t="s">
        <v>122</v>
      </c>
      <c r="E103" s="4" t="s">
        <v>3751</v>
      </c>
      <c r="F103" s="7" t="s">
        <v>74</v>
      </c>
      <c r="G103" s="7" t="s">
        <v>90</v>
      </c>
      <c r="H103" s="7" t="s">
        <v>87</v>
      </c>
      <c r="I103" s="6" t="s">
        <v>119</v>
      </c>
      <c r="J103" s="7" t="s">
        <v>2</v>
      </c>
      <c r="K103" s="4" t="s">
        <v>10</v>
      </c>
      <c r="L103" s="4" t="s">
        <v>21</v>
      </c>
      <c r="M103" s="4" t="s">
        <v>4309</v>
      </c>
      <c r="N103" s="4" t="s">
        <v>2583</v>
      </c>
      <c r="O103" s="89"/>
      <c r="P103" s="25">
        <v>42960</v>
      </c>
      <c r="Q103" s="4" t="s">
        <v>78</v>
      </c>
      <c r="R103" s="90" t="s">
        <v>3261</v>
      </c>
      <c r="S103" s="6" t="s">
        <v>1795</v>
      </c>
      <c r="T103" s="4" t="s">
        <v>81</v>
      </c>
      <c r="U103" s="4" t="s">
        <v>107</v>
      </c>
      <c r="V103" s="4">
        <v>1</v>
      </c>
      <c r="W103" s="85"/>
      <c r="X103" s="4" t="s">
        <v>3752</v>
      </c>
      <c r="Y103" s="4">
        <v>0</v>
      </c>
      <c r="Z103" s="4" t="e">
        <v>#N/A</v>
      </c>
      <c r="AA103" s="4" t="s">
        <v>2269</v>
      </c>
      <c r="AB103" s="4" t="s">
        <v>4289</v>
      </c>
    </row>
    <row r="104" spans="1:28">
      <c r="A104" s="4">
        <v>103</v>
      </c>
      <c r="B104" s="5">
        <v>12044807</v>
      </c>
      <c r="C104" s="5">
        <v>203687851</v>
      </c>
      <c r="D104" s="115" t="s">
        <v>116</v>
      </c>
      <c r="E104" s="4" t="s">
        <v>3753</v>
      </c>
      <c r="F104" s="7" t="s">
        <v>82</v>
      </c>
      <c r="G104" s="7" t="s">
        <v>88</v>
      </c>
      <c r="H104" s="7" t="s">
        <v>94</v>
      </c>
      <c r="I104" s="6" t="s">
        <v>1790</v>
      </c>
      <c r="J104" s="7" t="s">
        <v>2</v>
      </c>
      <c r="K104" s="4" t="s">
        <v>10</v>
      </c>
      <c r="L104" s="4" t="s">
        <v>20</v>
      </c>
      <c r="M104" s="4" t="s">
        <v>4310</v>
      </c>
      <c r="N104" s="4" t="s">
        <v>2583</v>
      </c>
      <c r="O104" s="89"/>
      <c r="P104" s="25">
        <v>45488</v>
      </c>
      <c r="Q104" s="4" t="s">
        <v>78</v>
      </c>
      <c r="R104" s="90" t="s">
        <v>3256</v>
      </c>
      <c r="S104" s="6" t="s">
        <v>1795</v>
      </c>
      <c r="T104" s="4" t="s">
        <v>81</v>
      </c>
      <c r="U104" s="4" t="s">
        <v>107</v>
      </c>
      <c r="V104" s="4">
        <v>99</v>
      </c>
      <c r="W104" s="85">
        <v>46218</v>
      </c>
      <c r="X104" s="4" t="s">
        <v>3473</v>
      </c>
      <c r="Y104" s="4">
        <v>525296276</v>
      </c>
      <c r="Z104" s="4" t="s">
        <v>1832</v>
      </c>
      <c r="AA104" s="4" t="s">
        <v>1194</v>
      </c>
      <c r="AB104" s="4" t="s">
        <v>4289</v>
      </c>
    </row>
    <row r="105" spans="1:28">
      <c r="A105" s="4">
        <v>104</v>
      </c>
      <c r="B105" s="5">
        <v>14098099</v>
      </c>
      <c r="C105" s="5">
        <v>206953570</v>
      </c>
      <c r="D105" s="115" t="s">
        <v>4135</v>
      </c>
      <c r="E105" s="4" t="s">
        <v>3972</v>
      </c>
      <c r="F105" s="7" t="s">
        <v>74</v>
      </c>
      <c r="G105" s="7" t="s">
        <v>75</v>
      </c>
      <c r="H105" s="7" t="s">
        <v>76</v>
      </c>
      <c r="I105" s="7" t="s">
        <v>1788</v>
      </c>
      <c r="J105" s="7" t="s">
        <v>2</v>
      </c>
      <c r="K105" s="4" t="s">
        <v>10</v>
      </c>
      <c r="L105" s="4" t="s">
        <v>23</v>
      </c>
      <c r="M105" s="4" t="s">
        <v>4310</v>
      </c>
      <c r="N105" s="4" t="s">
        <v>2584</v>
      </c>
      <c r="O105" s="89"/>
      <c r="P105" s="25">
        <v>46048</v>
      </c>
      <c r="Q105" s="4" t="s">
        <v>78</v>
      </c>
      <c r="R105" s="4" t="s">
        <v>3262</v>
      </c>
      <c r="S105" s="6" t="s">
        <v>1795</v>
      </c>
      <c r="T105" s="4" t="s">
        <v>92</v>
      </c>
      <c r="U105" s="4"/>
      <c r="V105" s="4">
        <v>99</v>
      </c>
      <c r="W105" s="85">
        <v>46104</v>
      </c>
      <c r="X105" s="4" t="s">
        <v>3979</v>
      </c>
      <c r="Y105" s="4" t="s">
        <v>3995</v>
      </c>
      <c r="Z105" s="4" t="s">
        <v>4014</v>
      </c>
      <c r="AA105" s="4" t="s">
        <v>1204</v>
      </c>
      <c r="AB105" s="4" t="e">
        <v>#N/A</v>
      </c>
    </row>
    <row r="106" spans="1:28">
      <c r="A106" s="4">
        <v>105</v>
      </c>
      <c r="B106" s="5">
        <v>14426715</v>
      </c>
      <c r="C106" s="5">
        <v>203469053</v>
      </c>
      <c r="D106" s="115" t="s">
        <v>164</v>
      </c>
      <c r="E106" s="4" t="s">
        <v>3754</v>
      </c>
      <c r="F106" s="7" t="s">
        <v>82</v>
      </c>
      <c r="G106" s="7" t="s">
        <v>87</v>
      </c>
      <c r="H106" s="7" t="s">
        <v>75</v>
      </c>
      <c r="I106" s="6" t="s">
        <v>1788</v>
      </c>
      <c r="J106" s="7" t="s">
        <v>2</v>
      </c>
      <c r="K106" s="4" t="s">
        <v>10</v>
      </c>
      <c r="L106" s="4" t="s">
        <v>24</v>
      </c>
      <c r="M106" s="4" t="s">
        <v>4310</v>
      </c>
      <c r="N106" s="4" t="s">
        <v>2583</v>
      </c>
      <c r="O106" s="89"/>
      <c r="P106" s="25">
        <v>45456</v>
      </c>
      <c r="Q106" s="4" t="s">
        <v>78</v>
      </c>
      <c r="R106" s="90" t="s">
        <v>3258</v>
      </c>
      <c r="S106" s="6" t="s">
        <v>1795</v>
      </c>
      <c r="T106" s="4" t="s">
        <v>92</v>
      </c>
      <c r="U106" s="4" t="s">
        <v>112</v>
      </c>
      <c r="V106" s="4">
        <v>99</v>
      </c>
      <c r="W106" s="85">
        <v>45821</v>
      </c>
      <c r="X106" s="4" t="s">
        <v>3739</v>
      </c>
      <c r="Y106" s="4">
        <v>586258059</v>
      </c>
      <c r="Z106" s="4" t="s">
        <v>1833</v>
      </c>
      <c r="AA106" s="4" t="s">
        <v>85</v>
      </c>
      <c r="AB106" s="4" t="s">
        <v>4290</v>
      </c>
    </row>
    <row r="107" spans="1:28">
      <c r="A107" s="4">
        <v>106</v>
      </c>
      <c r="B107" s="5">
        <v>352310</v>
      </c>
      <c r="C107" s="5">
        <v>206949312</v>
      </c>
      <c r="D107" s="116" t="s">
        <v>4189</v>
      </c>
      <c r="E107" s="95" t="s">
        <v>4190</v>
      </c>
      <c r="F107" s="7" t="s">
        <v>74</v>
      </c>
      <c r="G107" s="7" t="s">
        <v>75</v>
      </c>
      <c r="H107" s="7" t="s">
        <v>76</v>
      </c>
      <c r="I107" s="6" t="s">
        <v>1790</v>
      </c>
      <c r="J107" s="7" t="s">
        <v>2</v>
      </c>
      <c r="K107" s="7" t="s">
        <v>10</v>
      </c>
      <c r="L107" s="7" t="s">
        <v>22</v>
      </c>
      <c r="M107" s="4" t="s">
        <v>4310</v>
      </c>
      <c r="N107" s="4" t="s">
        <v>2584</v>
      </c>
      <c r="O107" s="89"/>
      <c r="P107" s="25">
        <v>46048</v>
      </c>
      <c r="Q107" s="4" t="s">
        <v>78</v>
      </c>
      <c r="R107" s="7" t="s">
        <v>3257</v>
      </c>
      <c r="S107" s="7" t="s">
        <v>1795</v>
      </c>
      <c r="T107" s="7" t="s">
        <v>81</v>
      </c>
      <c r="U107" s="7"/>
      <c r="V107" s="4">
        <v>99</v>
      </c>
      <c r="W107" s="7"/>
      <c r="X107" s="4" t="s">
        <v>3290</v>
      </c>
      <c r="Y107" s="4" t="s">
        <v>4224</v>
      </c>
      <c r="Z107" s="4" t="s">
        <v>4225</v>
      </c>
      <c r="AA107" s="4" t="s">
        <v>3877</v>
      </c>
      <c r="AB107" s="4" t="e">
        <v>#N/A</v>
      </c>
    </row>
    <row r="108" spans="1:28">
      <c r="A108" s="4">
        <v>107</v>
      </c>
      <c r="B108" s="5">
        <v>12627443</v>
      </c>
      <c r="C108" s="5">
        <v>203469401</v>
      </c>
      <c r="D108" s="115" t="s">
        <v>70</v>
      </c>
      <c r="E108" s="4" t="s">
        <v>3755</v>
      </c>
      <c r="F108" s="7" t="s">
        <v>74</v>
      </c>
      <c r="G108" s="7" t="s">
        <v>75</v>
      </c>
      <c r="H108" s="7" t="s">
        <v>76</v>
      </c>
      <c r="I108" s="6" t="s">
        <v>1790</v>
      </c>
      <c r="J108" s="7" t="s">
        <v>2</v>
      </c>
      <c r="K108" s="4" t="s">
        <v>10</v>
      </c>
      <c r="L108" s="4" t="s">
        <v>20</v>
      </c>
      <c r="M108" s="4" t="s">
        <v>4310</v>
      </c>
      <c r="N108" s="4" t="s">
        <v>2583</v>
      </c>
      <c r="O108" s="89"/>
      <c r="P108" s="25">
        <v>45456</v>
      </c>
      <c r="Q108" s="4" t="s">
        <v>78</v>
      </c>
      <c r="R108" s="90" t="s">
        <v>3254</v>
      </c>
      <c r="S108" s="6" t="s">
        <v>1795</v>
      </c>
      <c r="T108" s="4" t="s">
        <v>81</v>
      </c>
      <c r="U108" s="4" t="s">
        <v>107</v>
      </c>
      <c r="V108" s="4">
        <v>99</v>
      </c>
      <c r="W108" s="85">
        <v>46186</v>
      </c>
      <c r="X108" s="4" t="s">
        <v>3698</v>
      </c>
      <c r="Y108" s="4">
        <v>581736824</v>
      </c>
      <c r="Z108" s="4" t="s">
        <v>1834</v>
      </c>
      <c r="AA108" s="4" t="s">
        <v>1204</v>
      </c>
      <c r="AB108" s="4" t="s">
        <v>4289</v>
      </c>
    </row>
    <row r="109" spans="1:28">
      <c r="A109" s="4">
        <v>108</v>
      </c>
      <c r="B109" s="5">
        <v>11910542</v>
      </c>
      <c r="C109" s="5">
        <v>206192274</v>
      </c>
      <c r="D109" s="115" t="s">
        <v>2996</v>
      </c>
      <c r="E109" s="4" t="s">
        <v>3756</v>
      </c>
      <c r="F109" s="7" t="s">
        <v>82</v>
      </c>
      <c r="G109" s="7" t="s">
        <v>87</v>
      </c>
      <c r="H109" s="7" t="s">
        <v>75</v>
      </c>
      <c r="I109" s="7" t="s">
        <v>1789</v>
      </c>
      <c r="J109" s="7" t="s">
        <v>2</v>
      </c>
      <c r="K109" s="4" t="s">
        <v>10</v>
      </c>
      <c r="L109" s="4" t="s">
        <v>23</v>
      </c>
      <c r="M109" s="4" t="s">
        <v>4310</v>
      </c>
      <c r="N109" s="4" t="s">
        <v>2584</v>
      </c>
      <c r="O109" s="89"/>
      <c r="P109" s="25">
        <v>45936</v>
      </c>
      <c r="Q109" s="4" t="s">
        <v>78</v>
      </c>
      <c r="R109" s="4" t="s">
        <v>3260</v>
      </c>
      <c r="S109" s="6" t="s">
        <v>1795</v>
      </c>
      <c r="T109" s="4" t="s">
        <v>81</v>
      </c>
      <c r="U109" s="4" t="s">
        <v>349</v>
      </c>
      <c r="V109" s="4">
        <v>99</v>
      </c>
      <c r="W109" s="85">
        <v>45996</v>
      </c>
      <c r="X109" s="4" t="s">
        <v>3693</v>
      </c>
      <c r="Y109" s="4">
        <v>254114602308</v>
      </c>
      <c r="Z109" s="4" t="s">
        <v>3039</v>
      </c>
      <c r="AA109" s="4" t="s">
        <v>1204</v>
      </c>
      <c r="AB109" s="4" t="s">
        <v>4289</v>
      </c>
    </row>
    <row r="110" spans="1:28">
      <c r="A110" s="4">
        <v>109</v>
      </c>
      <c r="B110" s="5">
        <v>13362664</v>
      </c>
      <c r="C110" s="5">
        <v>203469078</v>
      </c>
      <c r="D110" s="115" t="s">
        <v>165</v>
      </c>
      <c r="E110" s="4" t="s">
        <v>3757</v>
      </c>
      <c r="F110" s="7" t="s">
        <v>74</v>
      </c>
      <c r="G110" s="7" t="s">
        <v>87</v>
      </c>
      <c r="H110" s="7" t="s">
        <v>75</v>
      </c>
      <c r="I110" s="6" t="s">
        <v>1788</v>
      </c>
      <c r="J110" s="7" t="s">
        <v>2</v>
      </c>
      <c r="K110" s="4" t="s">
        <v>10</v>
      </c>
      <c r="L110" s="4" t="s">
        <v>24</v>
      </c>
      <c r="M110" s="4" t="s">
        <v>4310</v>
      </c>
      <c r="N110" s="4" t="s">
        <v>2584</v>
      </c>
      <c r="O110" s="89"/>
      <c r="P110" s="25">
        <v>45456</v>
      </c>
      <c r="Q110" s="4" t="s">
        <v>78</v>
      </c>
      <c r="R110" s="90" t="s">
        <v>3264</v>
      </c>
      <c r="S110" s="6" t="s">
        <v>1795</v>
      </c>
      <c r="T110" s="4" t="s">
        <v>81</v>
      </c>
      <c r="U110" s="4" t="s">
        <v>107</v>
      </c>
      <c r="V110" s="4">
        <v>99</v>
      </c>
      <c r="W110" s="85">
        <v>45821</v>
      </c>
      <c r="X110" s="4" t="s">
        <v>1197</v>
      </c>
      <c r="Y110" s="4">
        <v>588395879</v>
      </c>
      <c r="Z110" s="4" t="s">
        <v>1835</v>
      </c>
      <c r="AA110" s="4" t="s">
        <v>95</v>
      </c>
      <c r="AB110" s="4" t="s">
        <v>4289</v>
      </c>
    </row>
    <row r="111" spans="1:28">
      <c r="A111" s="4">
        <v>110</v>
      </c>
      <c r="B111" s="5">
        <v>208388</v>
      </c>
      <c r="C111" s="5">
        <v>206953972</v>
      </c>
      <c r="D111" s="115" t="s">
        <v>4151</v>
      </c>
      <c r="E111" s="4" t="s">
        <v>4034</v>
      </c>
      <c r="F111" s="7" t="s">
        <v>74</v>
      </c>
      <c r="G111" s="7" t="s">
        <v>75</v>
      </c>
      <c r="H111" s="7" t="s">
        <v>76</v>
      </c>
      <c r="I111" s="6" t="s">
        <v>1789</v>
      </c>
      <c r="J111" s="7" t="s">
        <v>2</v>
      </c>
      <c r="K111" s="4" t="s">
        <v>10</v>
      </c>
      <c r="L111" s="4" t="s">
        <v>22</v>
      </c>
      <c r="M111" s="4" t="s">
        <v>4310</v>
      </c>
      <c r="N111" s="4" t="s">
        <v>2584</v>
      </c>
      <c r="O111" s="89"/>
      <c r="P111" s="25">
        <v>46048</v>
      </c>
      <c r="Q111" s="4" t="s">
        <v>78</v>
      </c>
      <c r="R111" s="4" t="s">
        <v>3260</v>
      </c>
      <c r="S111" s="6" t="s">
        <v>1795</v>
      </c>
      <c r="T111" s="4" t="s">
        <v>81</v>
      </c>
      <c r="U111" s="4"/>
      <c r="V111" s="4">
        <v>99</v>
      </c>
      <c r="W111" s="85">
        <v>46778</v>
      </c>
      <c r="X111" s="4" t="s">
        <v>3290</v>
      </c>
      <c r="Y111" s="4" t="s">
        <v>4049</v>
      </c>
      <c r="Z111" s="4" t="s">
        <v>4062</v>
      </c>
      <c r="AA111" s="4" t="s">
        <v>3016</v>
      </c>
      <c r="AB111" s="4" t="s">
        <v>4289</v>
      </c>
    </row>
    <row r="112" spans="1:28">
      <c r="A112" s="4">
        <v>111</v>
      </c>
      <c r="B112" s="5">
        <v>12926721</v>
      </c>
      <c r="C112" s="5">
        <v>203469052</v>
      </c>
      <c r="D112" s="115" t="s">
        <v>166</v>
      </c>
      <c r="E112" s="4" t="s">
        <v>3758</v>
      </c>
      <c r="F112" s="7" t="s">
        <v>74</v>
      </c>
      <c r="G112" s="7" t="s">
        <v>87</v>
      </c>
      <c r="H112" s="7" t="s">
        <v>75</v>
      </c>
      <c r="I112" s="6" t="s">
        <v>1788</v>
      </c>
      <c r="J112" s="7" t="s">
        <v>2</v>
      </c>
      <c r="K112" s="4" t="s">
        <v>10</v>
      </c>
      <c r="L112" s="4" t="s">
        <v>24</v>
      </c>
      <c r="M112" s="4" t="s">
        <v>4310</v>
      </c>
      <c r="N112" s="4" t="s">
        <v>2583</v>
      </c>
      <c r="O112" s="89"/>
      <c r="P112" s="25">
        <v>45456</v>
      </c>
      <c r="Q112" s="4" t="s">
        <v>78</v>
      </c>
      <c r="R112" s="90" t="s">
        <v>3253</v>
      </c>
      <c r="S112" s="6" t="s">
        <v>1795</v>
      </c>
      <c r="T112" s="4" t="s">
        <v>81</v>
      </c>
      <c r="U112" s="4" t="s">
        <v>132</v>
      </c>
      <c r="V112" s="4">
        <v>99</v>
      </c>
      <c r="W112" s="85">
        <v>45821</v>
      </c>
      <c r="X112" s="4" t="s">
        <v>3688</v>
      </c>
      <c r="Y112" s="4">
        <v>568241090</v>
      </c>
      <c r="Z112" s="4" t="s">
        <v>1836</v>
      </c>
      <c r="AA112" s="4" t="s">
        <v>85</v>
      </c>
      <c r="AB112" s="4" t="s">
        <v>4289</v>
      </c>
    </row>
    <row r="113" spans="1:28">
      <c r="A113" s="4">
        <v>112</v>
      </c>
      <c r="B113" s="95">
        <v>14064109</v>
      </c>
      <c r="C113" s="5">
        <v>206875598</v>
      </c>
      <c r="D113" s="115" t="s">
        <v>3402</v>
      </c>
      <c r="E113" s="4" t="s">
        <v>3403</v>
      </c>
      <c r="F113" s="7" t="s">
        <v>74</v>
      </c>
      <c r="G113" s="7" t="s">
        <v>88</v>
      </c>
      <c r="H113" s="7" t="s">
        <v>94</v>
      </c>
      <c r="I113" s="7" t="s">
        <v>1789</v>
      </c>
      <c r="J113" s="6" t="s">
        <v>2</v>
      </c>
      <c r="K113" s="6" t="s">
        <v>10</v>
      </c>
      <c r="L113" s="4" t="s">
        <v>22</v>
      </c>
      <c r="M113" s="4" t="s">
        <v>4310</v>
      </c>
      <c r="N113" s="4" t="s">
        <v>2584</v>
      </c>
      <c r="O113" s="89"/>
      <c r="P113" s="25">
        <v>46020</v>
      </c>
      <c r="Q113" s="4" t="s">
        <v>78</v>
      </c>
      <c r="R113" s="7" t="s">
        <v>3257</v>
      </c>
      <c r="S113" s="6" t="s">
        <v>3478</v>
      </c>
      <c r="T113" s="4" t="s">
        <v>81</v>
      </c>
      <c r="U113" s="4"/>
      <c r="V113" s="4">
        <v>99</v>
      </c>
      <c r="W113" s="4"/>
      <c r="X113" s="4" t="s">
        <v>3290</v>
      </c>
      <c r="Y113" s="112">
        <v>5036879598</v>
      </c>
      <c r="Z113" s="4" t="s">
        <v>3471</v>
      </c>
      <c r="AA113" s="4" t="s">
        <v>3016</v>
      </c>
      <c r="AB113" s="4">
        <v>0</v>
      </c>
    </row>
    <row r="114" spans="1:28">
      <c r="A114" s="4">
        <v>113</v>
      </c>
      <c r="B114" s="5">
        <v>12550017</v>
      </c>
      <c r="C114" s="5">
        <v>206957734</v>
      </c>
      <c r="D114" s="115" t="s">
        <v>4139</v>
      </c>
      <c r="E114" s="4" t="s">
        <v>3976</v>
      </c>
      <c r="F114" s="7" t="s">
        <v>82</v>
      </c>
      <c r="G114" s="7" t="s">
        <v>94</v>
      </c>
      <c r="H114" s="7" t="s">
        <v>89</v>
      </c>
      <c r="I114" s="7" t="s">
        <v>1789</v>
      </c>
      <c r="J114" s="7" t="s">
        <v>2</v>
      </c>
      <c r="K114" s="4" t="s">
        <v>10</v>
      </c>
      <c r="L114" s="4" t="s">
        <v>23</v>
      </c>
      <c r="M114" s="4" t="s">
        <v>4310</v>
      </c>
      <c r="N114" s="4" t="s">
        <v>2584</v>
      </c>
      <c r="O114" s="89"/>
      <c r="P114" s="25">
        <v>46048</v>
      </c>
      <c r="Q114" s="4" t="s">
        <v>78</v>
      </c>
      <c r="R114" s="4" t="s">
        <v>3261</v>
      </c>
      <c r="S114" s="6" t="s">
        <v>1795</v>
      </c>
      <c r="T114" s="4" t="s">
        <v>81</v>
      </c>
      <c r="U114" s="4"/>
      <c r="V114" s="4">
        <v>99</v>
      </c>
      <c r="W114" s="85">
        <v>46104</v>
      </c>
      <c r="X114" s="4" t="s">
        <v>3980</v>
      </c>
      <c r="Y114" s="4" t="s">
        <v>3998</v>
      </c>
      <c r="Z114" s="4" t="s">
        <v>4018</v>
      </c>
      <c r="AA114" s="4" t="s">
        <v>1204</v>
      </c>
      <c r="AB114" s="4" t="e">
        <v>#N/A</v>
      </c>
    </row>
    <row r="115" spans="1:28">
      <c r="A115" s="4">
        <v>114</v>
      </c>
      <c r="B115" s="5">
        <v>15044084</v>
      </c>
      <c r="C115" s="5">
        <v>202199024</v>
      </c>
      <c r="D115" s="115" t="s">
        <v>1228</v>
      </c>
      <c r="E115" s="4" t="s">
        <v>3759</v>
      </c>
      <c r="F115" s="7" t="s">
        <v>82</v>
      </c>
      <c r="G115" s="7" t="s">
        <v>88</v>
      </c>
      <c r="H115" s="7" t="s">
        <v>94</v>
      </c>
      <c r="I115" s="6" t="s">
        <v>1790</v>
      </c>
      <c r="J115" s="7" t="s">
        <v>2</v>
      </c>
      <c r="K115" s="4" t="s">
        <v>10</v>
      </c>
      <c r="L115" s="4" t="s">
        <v>27</v>
      </c>
      <c r="M115" s="4" t="s">
        <v>4310</v>
      </c>
      <c r="N115" s="4" t="s">
        <v>2584</v>
      </c>
      <c r="O115" s="89"/>
      <c r="P115" s="25">
        <v>45589</v>
      </c>
      <c r="Q115" s="4" t="s">
        <v>78</v>
      </c>
      <c r="R115" s="90" t="s">
        <v>3261</v>
      </c>
      <c r="S115" s="6" t="s">
        <v>1795</v>
      </c>
      <c r="T115" s="4" t="s">
        <v>81</v>
      </c>
      <c r="U115" s="4" t="s">
        <v>112</v>
      </c>
      <c r="V115" s="4">
        <v>99</v>
      </c>
      <c r="W115" s="85">
        <v>46319</v>
      </c>
      <c r="X115" s="4" t="s">
        <v>3492</v>
      </c>
      <c r="Y115" s="4">
        <v>525986080</v>
      </c>
      <c r="Z115" s="4" t="s">
        <v>1837</v>
      </c>
      <c r="AA115" s="4" t="s">
        <v>1196</v>
      </c>
      <c r="AB115" s="4" t="s">
        <v>4289</v>
      </c>
    </row>
    <row r="116" spans="1:28">
      <c r="A116" s="4">
        <v>115</v>
      </c>
      <c r="B116" s="5">
        <v>13704182</v>
      </c>
      <c r="C116" s="5">
        <v>203817155</v>
      </c>
      <c r="D116" s="115" t="s">
        <v>713</v>
      </c>
      <c r="E116" s="4" t="s">
        <v>3760</v>
      </c>
      <c r="F116" s="7" t="s">
        <v>74</v>
      </c>
      <c r="G116" s="7" t="s">
        <v>89</v>
      </c>
      <c r="H116" s="7" t="s">
        <v>90</v>
      </c>
      <c r="I116" s="6" t="s">
        <v>1788</v>
      </c>
      <c r="J116" s="7" t="s">
        <v>2</v>
      </c>
      <c r="K116" s="4" t="s">
        <v>10</v>
      </c>
      <c r="L116" s="4" t="s">
        <v>24</v>
      </c>
      <c r="M116" s="4" t="s">
        <v>4309</v>
      </c>
      <c r="N116" s="4" t="s">
        <v>2584</v>
      </c>
      <c r="O116" s="89"/>
      <c r="P116" s="25">
        <v>45517</v>
      </c>
      <c r="Q116" s="4" t="s">
        <v>78</v>
      </c>
      <c r="R116" s="90" t="s">
        <v>3261</v>
      </c>
      <c r="S116" s="6" t="s">
        <v>1795</v>
      </c>
      <c r="T116" s="4" t="s">
        <v>81</v>
      </c>
      <c r="U116" s="4" t="s">
        <v>349</v>
      </c>
      <c r="V116" s="4">
        <v>99</v>
      </c>
      <c r="W116" s="85">
        <v>45882</v>
      </c>
      <c r="X116" s="4" t="s">
        <v>3688</v>
      </c>
      <c r="Y116" s="4">
        <v>508471595</v>
      </c>
      <c r="Z116" s="4" t="s">
        <v>1838</v>
      </c>
      <c r="AA116" s="4" t="s">
        <v>85</v>
      </c>
      <c r="AB116" s="4" t="s">
        <v>4289</v>
      </c>
    </row>
    <row r="117" spans="1:28">
      <c r="A117" s="4">
        <v>116</v>
      </c>
      <c r="B117" s="5">
        <v>11324889</v>
      </c>
      <c r="C117" s="5">
        <v>203679319</v>
      </c>
      <c r="D117" s="115" t="s">
        <v>240</v>
      </c>
      <c r="E117" s="4" t="s">
        <v>3761</v>
      </c>
      <c r="F117" s="7" t="s">
        <v>74</v>
      </c>
      <c r="G117" s="7" t="s">
        <v>76</v>
      </c>
      <c r="H117" s="7" t="s">
        <v>88</v>
      </c>
      <c r="I117" s="6" t="s">
        <v>1788</v>
      </c>
      <c r="J117" s="7" t="s">
        <v>2</v>
      </c>
      <c r="K117" s="4" t="s">
        <v>10</v>
      </c>
      <c r="L117" s="4" t="s">
        <v>24</v>
      </c>
      <c r="M117" s="4" t="s">
        <v>4309</v>
      </c>
      <c r="N117" s="4" t="s">
        <v>2583</v>
      </c>
      <c r="O117" s="89"/>
      <c r="P117" s="25">
        <v>45488</v>
      </c>
      <c r="Q117" s="4" t="s">
        <v>78</v>
      </c>
      <c r="R117" s="90" t="s">
        <v>3253</v>
      </c>
      <c r="S117" s="6" t="s">
        <v>1795</v>
      </c>
      <c r="T117" s="4" t="s">
        <v>81</v>
      </c>
      <c r="U117" s="4" t="s">
        <v>349</v>
      </c>
      <c r="V117" s="4">
        <v>99</v>
      </c>
      <c r="W117" s="85">
        <v>45853</v>
      </c>
      <c r="X117" s="4" t="s">
        <v>3739</v>
      </c>
      <c r="Y117" s="4">
        <v>563919401</v>
      </c>
      <c r="Z117" s="4" t="s">
        <v>1839</v>
      </c>
      <c r="AA117" s="4" t="s">
        <v>85</v>
      </c>
      <c r="AB117" s="4" t="s">
        <v>4289</v>
      </c>
    </row>
    <row r="118" spans="1:28">
      <c r="A118" s="4">
        <v>117</v>
      </c>
      <c r="B118" s="5">
        <v>13507706</v>
      </c>
      <c r="C118" s="5">
        <v>206953967</v>
      </c>
      <c r="D118" s="115" t="s">
        <v>4150</v>
      </c>
      <c r="E118" s="4" t="s">
        <v>4033</v>
      </c>
      <c r="F118" s="7" t="s">
        <v>74</v>
      </c>
      <c r="G118" s="7" t="s">
        <v>75</v>
      </c>
      <c r="H118" s="7" t="s">
        <v>76</v>
      </c>
      <c r="I118" s="6" t="s">
        <v>1790</v>
      </c>
      <c r="J118" s="7" t="s">
        <v>2</v>
      </c>
      <c r="K118" s="4" t="s">
        <v>10</v>
      </c>
      <c r="L118" s="4" t="s">
        <v>22</v>
      </c>
      <c r="M118" s="4" t="s">
        <v>4309</v>
      </c>
      <c r="N118" s="4" t="s">
        <v>2584</v>
      </c>
      <c r="O118" s="89"/>
      <c r="P118" s="25">
        <v>46048</v>
      </c>
      <c r="Q118" s="4" t="s">
        <v>78</v>
      </c>
      <c r="R118" s="4" t="s">
        <v>3252</v>
      </c>
      <c r="S118" s="6" t="s">
        <v>1795</v>
      </c>
      <c r="T118" s="4" t="s">
        <v>81</v>
      </c>
      <c r="U118" s="4"/>
      <c r="V118" s="4">
        <v>99</v>
      </c>
      <c r="W118" s="85">
        <v>46778</v>
      </c>
      <c r="X118" s="4" t="s">
        <v>3290</v>
      </c>
      <c r="Y118" s="4" t="s">
        <v>4048</v>
      </c>
      <c r="Z118" s="4" t="s">
        <v>4061</v>
      </c>
      <c r="AA118" s="4" t="s">
        <v>3658</v>
      </c>
      <c r="AB118" s="4" t="s">
        <v>4289</v>
      </c>
    </row>
    <row r="119" spans="1:28">
      <c r="A119" s="4">
        <v>118</v>
      </c>
      <c r="B119" s="5">
        <v>14413470</v>
      </c>
      <c r="C119" s="5">
        <v>206174652</v>
      </c>
      <c r="D119" s="115" t="s">
        <v>2989</v>
      </c>
      <c r="E119" s="4" t="s">
        <v>3762</v>
      </c>
      <c r="F119" s="7" t="s">
        <v>82</v>
      </c>
      <c r="G119" s="7" t="s">
        <v>94</v>
      </c>
      <c r="H119" s="7" t="s">
        <v>89</v>
      </c>
      <c r="I119" s="7" t="s">
        <v>1788</v>
      </c>
      <c r="J119" s="7" t="s">
        <v>2</v>
      </c>
      <c r="K119" s="4" t="s">
        <v>10</v>
      </c>
      <c r="L119" s="4" t="s">
        <v>24</v>
      </c>
      <c r="M119" s="4" t="s">
        <v>4309</v>
      </c>
      <c r="N119" s="4"/>
      <c r="O119" s="89"/>
      <c r="P119" s="25">
        <v>45932</v>
      </c>
      <c r="Q119" s="4" t="s">
        <v>78</v>
      </c>
      <c r="R119" s="90" t="s">
        <v>3264</v>
      </c>
      <c r="S119" s="6" t="s">
        <v>1795</v>
      </c>
      <c r="T119" s="4" t="s">
        <v>92</v>
      </c>
      <c r="U119" s="4" t="s">
        <v>107</v>
      </c>
      <c r="V119" s="4">
        <v>99</v>
      </c>
      <c r="W119" s="85">
        <v>45992</v>
      </c>
      <c r="X119" s="4"/>
      <c r="Y119" s="4"/>
      <c r="Z119" s="4"/>
      <c r="AA119" s="4" t="s">
        <v>95</v>
      </c>
      <c r="AB119" s="4" t="s">
        <v>4289</v>
      </c>
    </row>
    <row r="120" spans="1:28">
      <c r="A120" s="4">
        <v>119</v>
      </c>
      <c r="B120" s="5">
        <v>12394331</v>
      </c>
      <c r="C120" s="5">
        <v>203679318</v>
      </c>
      <c r="D120" s="115" t="s">
        <v>241</v>
      </c>
      <c r="E120" s="4" t="s">
        <v>3763</v>
      </c>
      <c r="F120" s="7" t="s">
        <v>82</v>
      </c>
      <c r="G120" s="7" t="s">
        <v>88</v>
      </c>
      <c r="H120" s="7" t="s">
        <v>94</v>
      </c>
      <c r="I120" s="6" t="s">
        <v>1788</v>
      </c>
      <c r="J120" s="7" t="s">
        <v>2</v>
      </c>
      <c r="K120" s="4" t="s">
        <v>10</v>
      </c>
      <c r="L120" s="4" t="s">
        <v>24</v>
      </c>
      <c r="M120" s="4" t="s">
        <v>4309</v>
      </c>
      <c r="N120" s="4" t="s">
        <v>2583</v>
      </c>
      <c r="O120" s="89"/>
      <c r="P120" s="25">
        <v>45488</v>
      </c>
      <c r="Q120" s="4" t="s">
        <v>78</v>
      </c>
      <c r="R120" s="90" t="s">
        <v>3257</v>
      </c>
      <c r="S120" s="6" t="s">
        <v>1795</v>
      </c>
      <c r="T120" s="4" t="s">
        <v>92</v>
      </c>
      <c r="U120" s="4" t="s">
        <v>349</v>
      </c>
      <c r="V120" s="4">
        <v>99</v>
      </c>
      <c r="W120" s="85">
        <v>45853</v>
      </c>
      <c r="X120" s="4" t="s">
        <v>3688</v>
      </c>
      <c r="Y120" s="4">
        <v>545506991</v>
      </c>
      <c r="Z120" s="4" t="s">
        <v>1840</v>
      </c>
      <c r="AA120" s="4" t="s">
        <v>85</v>
      </c>
      <c r="AB120" s="4" t="s">
        <v>4289</v>
      </c>
    </row>
    <row r="121" spans="1:28">
      <c r="A121" s="4">
        <v>120</v>
      </c>
      <c r="B121" s="95">
        <v>11986914</v>
      </c>
      <c r="C121" s="5">
        <v>206853664</v>
      </c>
      <c r="D121" s="115" t="s">
        <v>3396</v>
      </c>
      <c r="E121" s="4" t="s">
        <v>3397</v>
      </c>
      <c r="F121" s="7" t="s">
        <v>74</v>
      </c>
      <c r="G121" s="7" t="s">
        <v>87</v>
      </c>
      <c r="H121" s="7" t="s">
        <v>75</v>
      </c>
      <c r="I121" s="7" t="s">
        <v>1789</v>
      </c>
      <c r="J121" s="6" t="s">
        <v>2</v>
      </c>
      <c r="K121" s="6" t="s">
        <v>10</v>
      </c>
      <c r="L121" s="4" t="s">
        <v>22</v>
      </c>
      <c r="M121" s="4" t="s">
        <v>4309</v>
      </c>
      <c r="N121" s="4" t="s">
        <v>2584</v>
      </c>
      <c r="O121" s="89"/>
      <c r="P121" s="25">
        <v>46020</v>
      </c>
      <c r="Q121" s="4" t="s">
        <v>78</v>
      </c>
      <c r="R121" s="4" t="s">
        <v>3264</v>
      </c>
      <c r="S121" s="6" t="s">
        <v>3478</v>
      </c>
      <c r="T121" s="4" t="s">
        <v>81</v>
      </c>
      <c r="U121" s="4"/>
      <c r="V121" s="4">
        <v>99</v>
      </c>
      <c r="W121" s="4"/>
      <c r="X121" s="4" t="s">
        <v>3290</v>
      </c>
      <c r="Y121" s="95">
        <v>585467976</v>
      </c>
      <c r="Z121" s="4" t="s">
        <v>3468</v>
      </c>
      <c r="AA121" s="4" t="s">
        <v>3016</v>
      </c>
      <c r="AB121" s="4" t="s">
        <v>4289</v>
      </c>
    </row>
    <row r="122" spans="1:28">
      <c r="A122" s="4">
        <v>121</v>
      </c>
      <c r="B122" s="95">
        <v>11065452</v>
      </c>
      <c r="C122" s="5">
        <v>206875332</v>
      </c>
      <c r="D122" s="115" t="s">
        <v>3394</v>
      </c>
      <c r="E122" s="4" t="s">
        <v>3395</v>
      </c>
      <c r="F122" s="7" t="s">
        <v>74</v>
      </c>
      <c r="G122" s="7" t="s">
        <v>76</v>
      </c>
      <c r="H122" s="7" t="s">
        <v>88</v>
      </c>
      <c r="I122" s="7" t="s">
        <v>1789</v>
      </c>
      <c r="J122" s="6" t="s">
        <v>2</v>
      </c>
      <c r="K122" s="6" t="s">
        <v>10</v>
      </c>
      <c r="L122" s="4" t="s">
        <v>22</v>
      </c>
      <c r="M122" s="4" t="s">
        <v>4309</v>
      </c>
      <c r="N122" s="4" t="s">
        <v>2584</v>
      </c>
      <c r="O122" s="89"/>
      <c r="P122" s="25">
        <v>46020</v>
      </c>
      <c r="Q122" s="4" t="s">
        <v>78</v>
      </c>
      <c r="R122" s="4" t="s">
        <v>3252</v>
      </c>
      <c r="S122" s="6" t="s">
        <v>3478</v>
      </c>
      <c r="T122" s="4" t="s">
        <v>81</v>
      </c>
      <c r="U122" s="4"/>
      <c r="V122" s="4">
        <v>99</v>
      </c>
      <c r="W122" s="4"/>
      <c r="X122" s="4" t="s">
        <v>3290</v>
      </c>
      <c r="Y122" s="112">
        <v>568795486</v>
      </c>
      <c r="Z122" s="4" t="s">
        <v>3467</v>
      </c>
      <c r="AA122" s="4" t="s">
        <v>3016</v>
      </c>
      <c r="AB122" s="4" t="s">
        <v>4289</v>
      </c>
    </row>
    <row r="123" spans="1:28">
      <c r="A123" s="4">
        <v>122</v>
      </c>
      <c r="B123" s="95">
        <v>13619640</v>
      </c>
      <c r="C123" s="4">
        <v>206873877</v>
      </c>
      <c r="D123" s="115" t="s">
        <v>3519</v>
      </c>
      <c r="E123" s="4" t="s">
        <v>3489</v>
      </c>
      <c r="F123" s="7" t="s">
        <v>82</v>
      </c>
      <c r="G123" s="7" t="s">
        <v>94</v>
      </c>
      <c r="H123" s="7" t="s">
        <v>89</v>
      </c>
      <c r="I123" s="7" t="s">
        <v>1789</v>
      </c>
      <c r="J123" s="4" t="s">
        <v>2</v>
      </c>
      <c r="K123" s="6" t="s">
        <v>10</v>
      </c>
      <c r="L123" s="4" t="s">
        <v>22</v>
      </c>
      <c r="M123" s="4" t="s">
        <v>4309</v>
      </c>
      <c r="N123" s="4" t="s">
        <v>2584</v>
      </c>
      <c r="O123" s="89"/>
      <c r="P123" s="25">
        <v>46020</v>
      </c>
      <c r="Q123" s="4" t="s">
        <v>78</v>
      </c>
      <c r="R123" s="4" t="s">
        <v>3255</v>
      </c>
      <c r="S123" s="4" t="s">
        <v>3478</v>
      </c>
      <c r="T123" s="4" t="s">
        <v>81</v>
      </c>
      <c r="U123" s="4"/>
      <c r="V123" s="4">
        <v>99</v>
      </c>
      <c r="W123" s="4"/>
      <c r="X123" s="4" t="s">
        <v>3290</v>
      </c>
      <c r="Y123" s="4">
        <v>578514885</v>
      </c>
      <c r="Z123" s="4" t="s">
        <v>3505</v>
      </c>
      <c r="AA123" s="4" t="s">
        <v>3016</v>
      </c>
      <c r="AB123" s="4">
        <v>0</v>
      </c>
    </row>
    <row r="124" spans="1:28">
      <c r="A124" s="4">
        <v>123</v>
      </c>
      <c r="B124" s="5">
        <v>14112437</v>
      </c>
      <c r="C124" s="5">
        <v>204883244</v>
      </c>
      <c r="D124" s="115" t="s">
        <v>2302</v>
      </c>
      <c r="E124" s="4" t="s">
        <v>3764</v>
      </c>
      <c r="F124" s="7" t="s">
        <v>74</v>
      </c>
      <c r="G124" s="7" t="s">
        <v>75</v>
      </c>
      <c r="H124" s="7" t="s">
        <v>76</v>
      </c>
      <c r="I124" s="7" t="s">
        <v>1789</v>
      </c>
      <c r="J124" s="7" t="s">
        <v>2</v>
      </c>
      <c r="K124" s="4" t="s">
        <v>10</v>
      </c>
      <c r="L124" s="4" t="s">
        <v>27</v>
      </c>
      <c r="M124" s="4" t="s">
        <v>4309</v>
      </c>
      <c r="N124" s="4" t="s">
        <v>2584</v>
      </c>
      <c r="O124" s="89"/>
      <c r="P124" s="25">
        <v>45691</v>
      </c>
      <c r="Q124" s="4" t="s">
        <v>78</v>
      </c>
      <c r="R124" s="90" t="s">
        <v>3253</v>
      </c>
      <c r="S124" s="6" t="s">
        <v>1795</v>
      </c>
      <c r="T124" s="4" t="s">
        <v>92</v>
      </c>
      <c r="U124" s="4" t="s">
        <v>349</v>
      </c>
      <c r="V124" s="4">
        <v>99</v>
      </c>
      <c r="W124" s="85">
        <v>45747</v>
      </c>
      <c r="X124" s="4" t="s">
        <v>3703</v>
      </c>
      <c r="Y124" s="4">
        <v>554473259</v>
      </c>
      <c r="Z124" s="4" t="s">
        <v>2386</v>
      </c>
      <c r="AA124" s="4" t="s">
        <v>1198</v>
      </c>
      <c r="AB124" s="4" t="s">
        <v>4289</v>
      </c>
    </row>
    <row r="125" spans="1:28">
      <c r="A125" s="4">
        <v>124</v>
      </c>
      <c r="B125" s="5">
        <v>12739261</v>
      </c>
      <c r="C125" s="5">
        <v>203594431</v>
      </c>
      <c r="D125" s="115" t="s">
        <v>2826</v>
      </c>
      <c r="E125" s="4" t="s">
        <v>3765</v>
      </c>
      <c r="F125" s="7" t="s">
        <v>74</v>
      </c>
      <c r="G125" s="7" t="s">
        <v>94</v>
      </c>
      <c r="H125" s="7" t="s">
        <v>89</v>
      </c>
      <c r="I125" s="7" t="s">
        <v>1789</v>
      </c>
      <c r="J125" s="7" t="s">
        <v>2</v>
      </c>
      <c r="K125" s="4" t="s">
        <v>10</v>
      </c>
      <c r="L125" s="4" t="s">
        <v>24</v>
      </c>
      <c r="M125" s="4" t="s">
        <v>4309</v>
      </c>
      <c r="N125" s="4"/>
      <c r="O125" s="89"/>
      <c r="P125" s="25">
        <v>45915</v>
      </c>
      <c r="Q125" s="4" t="s">
        <v>78</v>
      </c>
      <c r="R125" s="90" t="s">
        <v>3254</v>
      </c>
      <c r="S125" s="6" t="s">
        <v>1795</v>
      </c>
      <c r="T125" s="4" t="s">
        <v>92</v>
      </c>
      <c r="U125" s="4" t="s">
        <v>107</v>
      </c>
      <c r="V125" s="4">
        <v>99</v>
      </c>
      <c r="W125" s="85"/>
      <c r="X125" s="4"/>
      <c r="Y125" s="4"/>
      <c r="Z125" s="4"/>
      <c r="AA125" s="4" t="s">
        <v>85</v>
      </c>
      <c r="AB125" s="4" t="s">
        <v>4289</v>
      </c>
    </row>
    <row r="126" spans="1:28">
      <c r="A126" s="4">
        <v>125</v>
      </c>
      <c r="B126" s="5">
        <v>11861382</v>
      </c>
      <c r="C126" s="5">
        <v>206962042</v>
      </c>
      <c r="D126" s="116" t="s">
        <v>4203</v>
      </c>
      <c r="E126" s="95" t="s">
        <v>4204</v>
      </c>
      <c r="F126" s="7" t="s">
        <v>82</v>
      </c>
      <c r="G126" s="7" t="s">
        <v>89</v>
      </c>
      <c r="H126" s="7" t="s">
        <v>90</v>
      </c>
      <c r="I126" s="7" t="s">
        <v>1788</v>
      </c>
      <c r="J126" s="7" t="s">
        <v>2</v>
      </c>
      <c r="K126" s="7" t="s">
        <v>10</v>
      </c>
      <c r="L126" s="7" t="s">
        <v>23</v>
      </c>
      <c r="M126" s="4" t="s">
        <v>4309</v>
      </c>
      <c r="N126" s="4" t="s">
        <v>2584</v>
      </c>
      <c r="O126" s="89"/>
      <c r="P126" s="25">
        <v>46048</v>
      </c>
      <c r="Q126" s="4" t="s">
        <v>78</v>
      </c>
      <c r="R126" s="90" t="s">
        <v>2586</v>
      </c>
      <c r="S126" s="7" t="s">
        <v>1795</v>
      </c>
      <c r="T126" s="7" t="s">
        <v>92</v>
      </c>
      <c r="U126" s="7"/>
      <c r="V126" s="4">
        <v>99</v>
      </c>
      <c r="W126" s="7"/>
      <c r="X126" s="4" t="s">
        <v>3979</v>
      </c>
      <c r="Y126" s="4" t="s">
        <v>4237</v>
      </c>
      <c r="Z126" s="4" t="s">
        <v>4238</v>
      </c>
      <c r="AA126" s="4" t="s">
        <v>1204</v>
      </c>
      <c r="AB126" s="4" t="e">
        <v>#N/A</v>
      </c>
    </row>
    <row r="127" spans="1:28">
      <c r="A127" s="4">
        <v>126</v>
      </c>
      <c r="B127" s="5">
        <v>14253117</v>
      </c>
      <c r="C127" s="5">
        <v>205608624</v>
      </c>
      <c r="D127" s="115" t="s">
        <v>2589</v>
      </c>
      <c r="E127" s="4" t="s">
        <v>3766</v>
      </c>
      <c r="F127" s="7" t="s">
        <v>82</v>
      </c>
      <c r="G127" s="7" t="s">
        <v>87</v>
      </c>
      <c r="H127" s="7" t="s">
        <v>75</v>
      </c>
      <c r="I127" s="7" t="s">
        <v>1789</v>
      </c>
      <c r="J127" s="7" t="s">
        <v>2</v>
      </c>
      <c r="K127" s="4" t="s">
        <v>10</v>
      </c>
      <c r="L127" s="4" t="s">
        <v>22</v>
      </c>
      <c r="M127" s="4" t="s">
        <v>4309</v>
      </c>
      <c r="N127" s="4"/>
      <c r="O127" s="89"/>
      <c r="P127" s="25">
        <v>45845</v>
      </c>
      <c r="Q127" s="4" t="s">
        <v>78</v>
      </c>
      <c r="R127" s="7" t="s">
        <v>3257</v>
      </c>
      <c r="S127" s="6" t="s">
        <v>1795</v>
      </c>
      <c r="T127" s="4" t="s">
        <v>81</v>
      </c>
      <c r="U127" s="4" t="s">
        <v>349</v>
      </c>
      <c r="V127" s="4">
        <v>99</v>
      </c>
      <c r="W127" s="85">
        <v>45901</v>
      </c>
      <c r="X127" s="4" t="s">
        <v>3689</v>
      </c>
      <c r="Y127" s="4">
        <v>562157495</v>
      </c>
      <c r="Z127" s="4" t="s">
        <v>2611</v>
      </c>
      <c r="AA127" s="4" t="s">
        <v>85</v>
      </c>
      <c r="AB127" s="4" t="s">
        <v>4289</v>
      </c>
    </row>
    <row r="128" spans="1:28">
      <c r="A128" s="4">
        <v>127</v>
      </c>
      <c r="B128" s="5">
        <v>12679682</v>
      </c>
      <c r="C128" s="5">
        <v>204869091</v>
      </c>
      <c r="D128" s="115" t="s">
        <v>2305</v>
      </c>
      <c r="E128" s="4" t="s">
        <v>2306</v>
      </c>
      <c r="F128" s="7" t="s">
        <v>82</v>
      </c>
      <c r="G128" s="7" t="s">
        <v>90</v>
      </c>
      <c r="H128" s="7" t="s">
        <v>87</v>
      </c>
      <c r="I128" s="7" t="s">
        <v>1789</v>
      </c>
      <c r="J128" s="7" t="s">
        <v>2</v>
      </c>
      <c r="K128" s="4" t="s">
        <v>10</v>
      </c>
      <c r="L128" s="4" t="s">
        <v>27</v>
      </c>
      <c r="M128" s="4" t="s">
        <v>4309</v>
      </c>
      <c r="N128" s="4" t="s">
        <v>2584</v>
      </c>
      <c r="O128" s="89"/>
      <c r="P128" s="25">
        <v>45691</v>
      </c>
      <c r="Q128" s="4" t="s">
        <v>78</v>
      </c>
      <c r="R128" s="90" t="s">
        <v>3264</v>
      </c>
      <c r="S128" s="6" t="s">
        <v>1795</v>
      </c>
      <c r="T128" s="4" t="s">
        <v>92</v>
      </c>
      <c r="U128" s="4" t="s">
        <v>103</v>
      </c>
      <c r="V128" s="4">
        <v>99</v>
      </c>
      <c r="W128" s="85">
        <v>45747</v>
      </c>
      <c r="X128" s="4" t="s">
        <v>3703</v>
      </c>
      <c r="Y128" s="4">
        <v>526938440</v>
      </c>
      <c r="Z128" s="4" t="s">
        <v>2388</v>
      </c>
      <c r="AA128" s="4" t="s">
        <v>85</v>
      </c>
      <c r="AB128" s="4" t="s">
        <v>4289</v>
      </c>
    </row>
    <row r="129" spans="1:28">
      <c r="A129" s="4">
        <v>128</v>
      </c>
      <c r="B129" s="5">
        <v>12829423</v>
      </c>
      <c r="C129" s="5">
        <v>203850779</v>
      </c>
      <c r="D129" s="115" t="s">
        <v>815</v>
      </c>
      <c r="E129" s="4" t="s">
        <v>3767</v>
      </c>
      <c r="F129" s="7" t="s">
        <v>82</v>
      </c>
      <c r="G129" s="7" t="s">
        <v>87</v>
      </c>
      <c r="H129" s="7" t="s">
        <v>75</v>
      </c>
      <c r="I129" s="6" t="s">
        <v>1788</v>
      </c>
      <c r="J129" s="7" t="s">
        <v>2</v>
      </c>
      <c r="K129" s="4" t="s">
        <v>10</v>
      </c>
      <c r="L129" s="4" t="s">
        <v>24</v>
      </c>
      <c r="M129" s="4" t="s">
        <v>4309</v>
      </c>
      <c r="N129" s="4" t="s">
        <v>2584</v>
      </c>
      <c r="O129" s="89"/>
      <c r="P129" s="25">
        <v>45524</v>
      </c>
      <c r="Q129" s="4" t="s">
        <v>78</v>
      </c>
      <c r="R129" s="90" t="s">
        <v>3262</v>
      </c>
      <c r="S129" s="6" t="s">
        <v>1795</v>
      </c>
      <c r="T129" s="4" t="s">
        <v>92</v>
      </c>
      <c r="U129" s="4" t="s">
        <v>103</v>
      </c>
      <c r="V129" s="4">
        <v>99</v>
      </c>
      <c r="W129" s="85">
        <v>45889</v>
      </c>
      <c r="X129" s="4" t="s">
        <v>3703</v>
      </c>
      <c r="Y129" s="4">
        <v>545615700</v>
      </c>
      <c r="Z129" s="4" t="s">
        <v>1841</v>
      </c>
      <c r="AA129" s="4" t="s">
        <v>85</v>
      </c>
      <c r="AB129" s="4" t="s">
        <v>4289</v>
      </c>
    </row>
    <row r="130" spans="1:28">
      <c r="A130" s="4">
        <v>129</v>
      </c>
      <c r="B130" s="5">
        <v>14148638</v>
      </c>
      <c r="C130" s="5">
        <v>206958279</v>
      </c>
      <c r="D130" s="115" t="s">
        <v>4140</v>
      </c>
      <c r="E130" s="4" t="s">
        <v>3977</v>
      </c>
      <c r="F130" s="7" t="s">
        <v>82</v>
      </c>
      <c r="G130" s="7" t="s">
        <v>89</v>
      </c>
      <c r="H130" s="7" t="s">
        <v>90</v>
      </c>
      <c r="I130" s="7" t="s">
        <v>1789</v>
      </c>
      <c r="J130" s="7" t="s">
        <v>2</v>
      </c>
      <c r="K130" s="4" t="s">
        <v>10</v>
      </c>
      <c r="L130" s="4" t="s">
        <v>23</v>
      </c>
      <c r="M130" s="4" t="s">
        <v>4309</v>
      </c>
      <c r="N130" s="4" t="s">
        <v>2584</v>
      </c>
      <c r="O130" s="89"/>
      <c r="P130" s="25">
        <v>46048</v>
      </c>
      <c r="Q130" s="4" t="s">
        <v>78</v>
      </c>
      <c r="R130" s="90" t="s">
        <v>3256</v>
      </c>
      <c r="S130" s="6" t="s">
        <v>1795</v>
      </c>
      <c r="T130" s="4" t="s">
        <v>92</v>
      </c>
      <c r="U130" s="4"/>
      <c r="V130" s="4">
        <v>99</v>
      </c>
      <c r="W130" s="85">
        <v>46104</v>
      </c>
      <c r="X130" s="4" t="s">
        <v>3979</v>
      </c>
      <c r="Y130" s="4" t="s">
        <v>3999</v>
      </c>
      <c r="Z130" s="4" t="s">
        <v>4019</v>
      </c>
      <c r="AA130" s="4" t="e">
        <v>#N/A</v>
      </c>
      <c r="AB130" s="4" t="e">
        <v>#N/A</v>
      </c>
    </row>
    <row r="131" spans="1:28">
      <c r="A131" s="4">
        <v>130</v>
      </c>
      <c r="B131" s="5">
        <v>13257989</v>
      </c>
      <c r="C131" s="5">
        <v>203555407</v>
      </c>
      <c r="D131" s="115" t="s">
        <v>226</v>
      </c>
      <c r="E131" s="4" t="s">
        <v>3768</v>
      </c>
      <c r="F131" s="7" t="s">
        <v>74</v>
      </c>
      <c r="G131" s="7" t="s">
        <v>94</v>
      </c>
      <c r="H131" s="7" t="s">
        <v>89</v>
      </c>
      <c r="I131" s="6" t="s">
        <v>1788</v>
      </c>
      <c r="J131" s="7" t="s">
        <v>2</v>
      </c>
      <c r="K131" s="4" t="s">
        <v>10</v>
      </c>
      <c r="L131" s="4" t="s">
        <v>24</v>
      </c>
      <c r="M131" s="4" t="s">
        <v>4309</v>
      </c>
      <c r="N131" s="4" t="s">
        <v>2583</v>
      </c>
      <c r="O131" s="89"/>
      <c r="P131" s="25">
        <v>45470</v>
      </c>
      <c r="Q131" s="4" t="s">
        <v>78</v>
      </c>
      <c r="R131" s="90" t="s">
        <v>3258</v>
      </c>
      <c r="S131" s="6" t="s">
        <v>1795</v>
      </c>
      <c r="T131" s="4" t="s">
        <v>92</v>
      </c>
      <c r="U131" s="4" t="s">
        <v>349</v>
      </c>
      <c r="V131" s="4">
        <v>99</v>
      </c>
      <c r="W131" s="85">
        <v>45835</v>
      </c>
      <c r="X131" s="4" t="s">
        <v>3688</v>
      </c>
      <c r="Y131" s="4">
        <v>506895081</v>
      </c>
      <c r="Z131" s="4" t="s">
        <v>1842</v>
      </c>
      <c r="AA131" s="4" t="s">
        <v>85</v>
      </c>
      <c r="AB131" s="4" t="s">
        <v>4289</v>
      </c>
    </row>
    <row r="132" spans="1:28">
      <c r="A132" s="4">
        <v>131</v>
      </c>
      <c r="B132" s="5">
        <v>12811227</v>
      </c>
      <c r="C132" s="5">
        <v>206175159</v>
      </c>
      <c r="D132" s="115" t="s">
        <v>2990</v>
      </c>
      <c r="E132" s="4" t="s">
        <v>3770</v>
      </c>
      <c r="F132" s="7" t="s">
        <v>82</v>
      </c>
      <c r="G132" s="7" t="s">
        <v>76</v>
      </c>
      <c r="H132" s="7" t="s">
        <v>88</v>
      </c>
      <c r="I132" s="7" t="s">
        <v>1788</v>
      </c>
      <c r="J132" s="7" t="s">
        <v>2</v>
      </c>
      <c r="K132" s="4" t="s">
        <v>10</v>
      </c>
      <c r="L132" s="4" t="s">
        <v>24</v>
      </c>
      <c r="M132" s="4" t="s">
        <v>4309</v>
      </c>
      <c r="N132" s="4"/>
      <c r="O132" s="89"/>
      <c r="P132" s="25">
        <v>45932</v>
      </c>
      <c r="Q132" s="4" t="s">
        <v>78</v>
      </c>
      <c r="R132" s="90" t="s">
        <v>3254</v>
      </c>
      <c r="S132" s="6" t="s">
        <v>1795</v>
      </c>
      <c r="T132" s="4" t="s">
        <v>81</v>
      </c>
      <c r="U132" s="4" t="s">
        <v>349</v>
      </c>
      <c r="V132" s="4">
        <v>99</v>
      </c>
      <c r="W132" s="85">
        <v>45992</v>
      </c>
      <c r="X132" s="4"/>
      <c r="Y132" s="4"/>
      <c r="Z132" s="4"/>
      <c r="AA132" s="4" t="s">
        <v>95</v>
      </c>
      <c r="AB132" s="4" t="s">
        <v>4289</v>
      </c>
    </row>
    <row r="133" spans="1:28">
      <c r="A133" s="4">
        <v>132</v>
      </c>
      <c r="B133" s="5">
        <v>12729494</v>
      </c>
      <c r="C133" s="5">
        <v>203850775</v>
      </c>
      <c r="D133" s="115" t="s">
        <v>813</v>
      </c>
      <c r="E133" s="4" t="s">
        <v>3771</v>
      </c>
      <c r="F133" s="7" t="s">
        <v>74</v>
      </c>
      <c r="G133" s="7" t="s">
        <v>75</v>
      </c>
      <c r="H133" s="7" t="s">
        <v>76</v>
      </c>
      <c r="I133" s="6" t="s">
        <v>1788</v>
      </c>
      <c r="J133" s="7" t="s">
        <v>2</v>
      </c>
      <c r="K133" s="4" t="s">
        <v>10</v>
      </c>
      <c r="L133" s="4" t="s">
        <v>24</v>
      </c>
      <c r="M133" s="4" t="s">
        <v>4309</v>
      </c>
      <c r="N133" s="4" t="s">
        <v>2584</v>
      </c>
      <c r="O133" s="89"/>
      <c r="P133" s="25">
        <v>45524</v>
      </c>
      <c r="Q133" s="4" t="s">
        <v>78</v>
      </c>
      <c r="R133" s="90" t="s">
        <v>3260</v>
      </c>
      <c r="S133" s="6" t="s">
        <v>1795</v>
      </c>
      <c r="T133" s="4" t="s">
        <v>92</v>
      </c>
      <c r="U133" s="4" t="s">
        <v>349</v>
      </c>
      <c r="V133" s="4">
        <v>99</v>
      </c>
      <c r="W133" s="85">
        <v>45889</v>
      </c>
      <c r="X133" s="4" t="s">
        <v>3703</v>
      </c>
      <c r="Y133" s="4">
        <v>565849755</v>
      </c>
      <c r="Z133" s="4" t="s">
        <v>1844</v>
      </c>
      <c r="AA133" s="4" t="s">
        <v>1196</v>
      </c>
      <c r="AB133" s="4" t="s">
        <v>4289</v>
      </c>
    </row>
    <row r="134" spans="1:28">
      <c r="A134" s="4">
        <v>133</v>
      </c>
      <c r="B134" s="5">
        <v>11555875</v>
      </c>
      <c r="C134" s="5">
        <v>203469169</v>
      </c>
      <c r="D134" s="115" t="s">
        <v>167</v>
      </c>
      <c r="E134" s="4" t="s">
        <v>3772</v>
      </c>
      <c r="F134" s="7" t="s">
        <v>74</v>
      </c>
      <c r="G134" s="7" t="s">
        <v>90</v>
      </c>
      <c r="H134" s="7" t="s">
        <v>87</v>
      </c>
      <c r="I134" s="6" t="s">
        <v>1788</v>
      </c>
      <c r="J134" s="7" t="s">
        <v>2</v>
      </c>
      <c r="K134" s="4" t="s">
        <v>10</v>
      </c>
      <c r="L134" s="4" t="s">
        <v>24</v>
      </c>
      <c r="M134" s="4" t="s">
        <v>4309</v>
      </c>
      <c r="N134" s="4" t="s">
        <v>2583</v>
      </c>
      <c r="O134" s="89"/>
      <c r="P134" s="25">
        <v>45456</v>
      </c>
      <c r="Q134" s="4" t="s">
        <v>78</v>
      </c>
      <c r="R134" s="4" t="s">
        <v>3252</v>
      </c>
      <c r="S134" s="6" t="s">
        <v>1795</v>
      </c>
      <c r="T134" s="4" t="s">
        <v>81</v>
      </c>
      <c r="U134" s="4" t="s">
        <v>349</v>
      </c>
      <c r="V134" s="4">
        <v>99</v>
      </c>
      <c r="W134" s="85">
        <v>45821</v>
      </c>
      <c r="X134" s="4" t="s">
        <v>3696</v>
      </c>
      <c r="Y134" s="4">
        <v>558414552</v>
      </c>
      <c r="Z134" s="4" t="s">
        <v>1845</v>
      </c>
      <c r="AA134" s="4" t="s">
        <v>85</v>
      </c>
      <c r="AB134" s="4" t="s">
        <v>4289</v>
      </c>
    </row>
    <row r="135" spans="1:28">
      <c r="A135" s="4">
        <v>134</v>
      </c>
      <c r="B135" s="5">
        <v>14900080</v>
      </c>
      <c r="C135" s="5">
        <v>205502952</v>
      </c>
      <c r="D135" s="115" t="s">
        <v>2567</v>
      </c>
      <c r="E135" s="4" t="s">
        <v>3773</v>
      </c>
      <c r="F135" s="7" t="s">
        <v>74</v>
      </c>
      <c r="G135" s="7" t="s">
        <v>87</v>
      </c>
      <c r="H135" s="7" t="s">
        <v>75</v>
      </c>
      <c r="I135" s="7" t="s">
        <v>1789</v>
      </c>
      <c r="J135" s="7" t="s">
        <v>2</v>
      </c>
      <c r="K135" s="4" t="s">
        <v>10</v>
      </c>
      <c r="L135" s="4" t="s">
        <v>23</v>
      </c>
      <c r="M135" s="4" t="s">
        <v>4309</v>
      </c>
      <c r="N135" s="4" t="s">
        <v>2584</v>
      </c>
      <c r="O135" s="89"/>
      <c r="P135" s="25">
        <v>45831</v>
      </c>
      <c r="Q135" s="4" t="s">
        <v>78</v>
      </c>
      <c r="R135" s="90" t="s">
        <v>3261</v>
      </c>
      <c r="S135" s="6" t="s">
        <v>1795</v>
      </c>
      <c r="T135" s="4" t="s">
        <v>92</v>
      </c>
      <c r="U135" s="4" t="s">
        <v>349</v>
      </c>
      <c r="V135" s="4">
        <v>99</v>
      </c>
      <c r="W135" s="85">
        <v>45887</v>
      </c>
      <c r="X135" s="4"/>
      <c r="Y135" s="4"/>
      <c r="Z135" s="4"/>
      <c r="AA135" s="4" t="s">
        <v>1204</v>
      </c>
      <c r="AB135" s="4" t="s">
        <v>4289</v>
      </c>
    </row>
    <row r="136" spans="1:28">
      <c r="A136" s="4">
        <v>135</v>
      </c>
      <c r="B136" s="5">
        <v>11330835</v>
      </c>
      <c r="C136" s="5">
        <v>205608619</v>
      </c>
      <c r="D136" s="115" t="s">
        <v>2598</v>
      </c>
      <c r="E136" s="4" t="s">
        <v>3774</v>
      </c>
      <c r="F136" s="7" t="s">
        <v>74</v>
      </c>
      <c r="G136" s="7" t="s">
        <v>75</v>
      </c>
      <c r="H136" s="7" t="s">
        <v>76</v>
      </c>
      <c r="I136" s="7" t="s">
        <v>1789</v>
      </c>
      <c r="J136" s="7" t="s">
        <v>2</v>
      </c>
      <c r="K136" s="4" t="s">
        <v>10</v>
      </c>
      <c r="L136" s="4" t="s">
        <v>22</v>
      </c>
      <c r="M136" s="4" t="s">
        <v>4309</v>
      </c>
      <c r="N136" s="4"/>
      <c r="O136" s="89"/>
      <c r="P136" s="25">
        <v>45845</v>
      </c>
      <c r="Q136" s="4" t="s">
        <v>78</v>
      </c>
      <c r="R136" s="90" t="s">
        <v>3254</v>
      </c>
      <c r="S136" s="6" t="s">
        <v>1795</v>
      </c>
      <c r="T136" s="4" t="s">
        <v>81</v>
      </c>
      <c r="U136" s="4" t="s">
        <v>112</v>
      </c>
      <c r="V136" s="4">
        <v>99</v>
      </c>
      <c r="W136" s="85">
        <v>45901</v>
      </c>
      <c r="X136" s="4" t="s">
        <v>3689</v>
      </c>
      <c r="Y136" s="4">
        <v>562157512</v>
      </c>
      <c r="Z136" s="4" t="s">
        <v>2620</v>
      </c>
      <c r="AA136" s="4" t="s">
        <v>85</v>
      </c>
      <c r="AB136" s="4" t="s">
        <v>4290</v>
      </c>
    </row>
    <row r="137" spans="1:28">
      <c r="A137" s="4">
        <v>136</v>
      </c>
      <c r="B137" s="5">
        <v>14247160</v>
      </c>
      <c r="C137" s="5">
        <v>202219229</v>
      </c>
      <c r="D137" s="115" t="s">
        <v>1767</v>
      </c>
      <c r="E137" s="4" t="s">
        <v>3775</v>
      </c>
      <c r="F137" s="7" t="s">
        <v>74</v>
      </c>
      <c r="G137" s="7" t="s">
        <v>90</v>
      </c>
      <c r="H137" s="7" t="s">
        <v>87</v>
      </c>
      <c r="I137" s="6" t="s">
        <v>1788</v>
      </c>
      <c r="J137" s="7" t="s">
        <v>2</v>
      </c>
      <c r="K137" s="4" t="s">
        <v>10</v>
      </c>
      <c r="L137" s="4" t="s">
        <v>24</v>
      </c>
      <c r="M137" s="4" t="s">
        <v>4309</v>
      </c>
      <c r="N137" s="4" t="s">
        <v>2584</v>
      </c>
      <c r="O137" s="89"/>
      <c r="P137" s="25">
        <v>45596</v>
      </c>
      <c r="Q137" s="4" t="s">
        <v>78</v>
      </c>
      <c r="R137" s="90" t="s">
        <v>3258</v>
      </c>
      <c r="S137" s="6" t="s">
        <v>1795</v>
      </c>
      <c r="T137" s="4" t="s">
        <v>92</v>
      </c>
      <c r="U137" s="4" t="s">
        <v>107</v>
      </c>
      <c r="V137" s="4">
        <v>99</v>
      </c>
      <c r="W137" s="85">
        <v>46326</v>
      </c>
      <c r="X137" s="4" t="s">
        <v>3752</v>
      </c>
      <c r="Y137" s="4">
        <v>542811653</v>
      </c>
      <c r="Z137" s="4" t="s">
        <v>3776</v>
      </c>
      <c r="AA137" s="4" t="s">
        <v>3699</v>
      </c>
      <c r="AB137" s="4" t="s">
        <v>4289</v>
      </c>
    </row>
    <row r="138" spans="1:28">
      <c r="A138" s="4">
        <v>137</v>
      </c>
      <c r="B138" s="5">
        <v>14936584</v>
      </c>
      <c r="C138" s="5">
        <v>206953971</v>
      </c>
      <c r="D138" s="115" t="s">
        <v>4152</v>
      </c>
      <c r="E138" s="4" t="s">
        <v>4035</v>
      </c>
      <c r="F138" s="7" t="s">
        <v>74</v>
      </c>
      <c r="G138" s="7" t="s">
        <v>75</v>
      </c>
      <c r="H138" s="7" t="s">
        <v>76</v>
      </c>
      <c r="I138" s="6" t="s">
        <v>1789</v>
      </c>
      <c r="J138" s="7" t="s">
        <v>2</v>
      </c>
      <c r="K138" s="4" t="s">
        <v>10</v>
      </c>
      <c r="L138" s="4" t="s">
        <v>22</v>
      </c>
      <c r="M138" s="4" t="s">
        <v>4309</v>
      </c>
      <c r="N138" s="4" t="s">
        <v>2584</v>
      </c>
      <c r="O138" s="89"/>
      <c r="P138" s="25">
        <v>46048</v>
      </c>
      <c r="Q138" s="4" t="s">
        <v>78</v>
      </c>
      <c r="R138" s="4" t="s">
        <v>3260</v>
      </c>
      <c r="S138" s="6" t="s">
        <v>1795</v>
      </c>
      <c r="T138" s="4" t="s">
        <v>81</v>
      </c>
      <c r="U138" s="4"/>
      <c r="V138" s="4">
        <v>99</v>
      </c>
      <c r="W138" s="85">
        <v>46778</v>
      </c>
      <c r="X138" s="4" t="s">
        <v>3290</v>
      </c>
      <c r="Y138" s="4">
        <v>567010550</v>
      </c>
      <c r="Z138" s="4" t="s">
        <v>4063</v>
      </c>
      <c r="AA138" s="4" t="s">
        <v>3016</v>
      </c>
      <c r="AB138" s="4" t="s">
        <v>4289</v>
      </c>
    </row>
    <row r="139" spans="1:28">
      <c r="A139" s="4">
        <v>138</v>
      </c>
      <c r="B139" s="5">
        <v>12545732</v>
      </c>
      <c r="C139" s="5">
        <v>203800602</v>
      </c>
      <c r="D139" s="115" t="s">
        <v>671</v>
      </c>
      <c r="E139" s="4" t="s">
        <v>3777</v>
      </c>
      <c r="F139" s="7" t="s">
        <v>82</v>
      </c>
      <c r="G139" s="7" t="s">
        <v>89</v>
      </c>
      <c r="H139" s="7" t="s">
        <v>90</v>
      </c>
      <c r="I139" s="7" t="s">
        <v>1789</v>
      </c>
      <c r="J139" s="7" t="s">
        <v>2</v>
      </c>
      <c r="K139" s="4" t="s">
        <v>10</v>
      </c>
      <c r="L139" s="4" t="s">
        <v>22</v>
      </c>
      <c r="M139" s="4" t="s">
        <v>4309</v>
      </c>
      <c r="N139" s="4" t="s">
        <v>2584</v>
      </c>
      <c r="O139" s="89"/>
      <c r="P139" s="25">
        <v>45516</v>
      </c>
      <c r="Q139" s="4" t="s">
        <v>78</v>
      </c>
      <c r="R139" s="90" t="s">
        <v>3256</v>
      </c>
      <c r="S139" s="6" t="s">
        <v>1795</v>
      </c>
      <c r="T139" s="4" t="s">
        <v>81</v>
      </c>
      <c r="U139" s="4" t="s">
        <v>107</v>
      </c>
      <c r="V139" s="4">
        <v>99</v>
      </c>
      <c r="W139" s="85">
        <v>45572</v>
      </c>
      <c r="X139" s="4" t="s">
        <v>3689</v>
      </c>
      <c r="Y139" s="4">
        <v>555656341</v>
      </c>
      <c r="Z139" s="4" t="s">
        <v>1846</v>
      </c>
      <c r="AA139" s="4" t="s">
        <v>95</v>
      </c>
      <c r="AB139" s="4" t="s">
        <v>4289</v>
      </c>
    </row>
    <row r="140" spans="1:28">
      <c r="A140" s="4">
        <v>139</v>
      </c>
      <c r="B140" s="5">
        <v>14621156</v>
      </c>
      <c r="C140" s="5">
        <v>203800375</v>
      </c>
      <c r="D140" s="115" t="s">
        <v>655</v>
      </c>
      <c r="E140" s="4" t="s">
        <v>3778</v>
      </c>
      <c r="F140" s="7" t="s">
        <v>74</v>
      </c>
      <c r="G140" s="7" t="s">
        <v>89</v>
      </c>
      <c r="H140" s="7" t="s">
        <v>90</v>
      </c>
      <c r="I140" s="7" t="s">
        <v>1789</v>
      </c>
      <c r="J140" s="7" t="s">
        <v>2</v>
      </c>
      <c r="K140" s="4" t="s">
        <v>10</v>
      </c>
      <c r="L140" s="4" t="s">
        <v>22</v>
      </c>
      <c r="M140" s="4" t="s">
        <v>4309</v>
      </c>
      <c r="N140" s="4" t="s">
        <v>2584</v>
      </c>
      <c r="O140" s="89"/>
      <c r="P140" s="25">
        <v>45516</v>
      </c>
      <c r="Q140" s="4" t="s">
        <v>78</v>
      </c>
      <c r="R140" s="90" t="s">
        <v>3253</v>
      </c>
      <c r="S140" s="6" t="s">
        <v>1795</v>
      </c>
      <c r="T140" s="4" t="s">
        <v>81</v>
      </c>
      <c r="U140" s="4" t="s">
        <v>107</v>
      </c>
      <c r="V140" s="4">
        <v>99</v>
      </c>
      <c r="W140" s="85">
        <v>45572</v>
      </c>
      <c r="X140" s="4" t="s">
        <v>3689</v>
      </c>
      <c r="Y140" s="4">
        <v>554636818</v>
      </c>
      <c r="Z140" s="4" t="s">
        <v>1847</v>
      </c>
      <c r="AA140" s="4" t="s">
        <v>95</v>
      </c>
      <c r="AB140" s="4" t="s">
        <v>4289</v>
      </c>
    </row>
    <row r="141" spans="1:28">
      <c r="A141" s="4">
        <v>140</v>
      </c>
      <c r="B141" s="5">
        <v>11229307</v>
      </c>
      <c r="C141" s="5">
        <v>203555405</v>
      </c>
      <c r="D141" s="115" t="s">
        <v>233</v>
      </c>
      <c r="E141" s="4" t="s">
        <v>3779</v>
      </c>
      <c r="F141" s="7" t="s">
        <v>74</v>
      </c>
      <c r="G141" s="7" t="s">
        <v>75</v>
      </c>
      <c r="H141" s="7" t="s">
        <v>76</v>
      </c>
      <c r="I141" s="6" t="s">
        <v>1788</v>
      </c>
      <c r="J141" s="7" t="s">
        <v>2</v>
      </c>
      <c r="K141" s="4" t="s">
        <v>10</v>
      </c>
      <c r="L141" s="4" t="s">
        <v>24</v>
      </c>
      <c r="M141" s="4" t="s">
        <v>4309</v>
      </c>
      <c r="N141" s="4" t="s">
        <v>2583</v>
      </c>
      <c r="O141" s="89"/>
      <c r="P141" s="25">
        <v>45470</v>
      </c>
      <c r="Q141" s="4" t="s">
        <v>78</v>
      </c>
      <c r="R141" s="90" t="s">
        <v>3257</v>
      </c>
      <c r="S141" s="6" t="s">
        <v>1795</v>
      </c>
      <c r="T141" s="4" t="s">
        <v>92</v>
      </c>
      <c r="U141" s="4" t="s">
        <v>103</v>
      </c>
      <c r="V141" s="4">
        <v>99</v>
      </c>
      <c r="W141" s="85">
        <v>45835</v>
      </c>
      <c r="X141" s="4" t="s">
        <v>3474</v>
      </c>
      <c r="Y141" s="4">
        <v>569704669</v>
      </c>
      <c r="Z141" s="4" t="s">
        <v>1848</v>
      </c>
      <c r="AA141" s="4" t="s">
        <v>85</v>
      </c>
      <c r="AB141" s="4" t="s">
        <v>4289</v>
      </c>
    </row>
    <row r="142" spans="1:28">
      <c r="A142" s="4">
        <v>141</v>
      </c>
      <c r="B142" s="5">
        <v>11965665</v>
      </c>
      <c r="C142" s="5">
        <v>203469396</v>
      </c>
      <c r="D142" s="115" t="s">
        <v>98</v>
      </c>
      <c r="E142" s="4" t="s">
        <v>3780</v>
      </c>
      <c r="F142" s="7" t="s">
        <v>82</v>
      </c>
      <c r="G142" s="7" t="s">
        <v>76</v>
      </c>
      <c r="H142" s="7" t="s">
        <v>88</v>
      </c>
      <c r="I142" s="6" t="s">
        <v>1790</v>
      </c>
      <c r="J142" s="7" t="s">
        <v>2</v>
      </c>
      <c r="K142" s="4" t="s">
        <v>10</v>
      </c>
      <c r="L142" s="4" t="s">
        <v>20</v>
      </c>
      <c r="M142" s="4" t="s">
        <v>4309</v>
      </c>
      <c r="N142" s="4" t="s">
        <v>2583</v>
      </c>
      <c r="O142" s="89"/>
      <c r="P142" s="25">
        <v>45456</v>
      </c>
      <c r="Q142" s="4" t="s">
        <v>78</v>
      </c>
      <c r="R142" s="90" t="s">
        <v>3257</v>
      </c>
      <c r="S142" s="6" t="s">
        <v>1795</v>
      </c>
      <c r="T142" s="4" t="s">
        <v>92</v>
      </c>
      <c r="U142" s="4" t="s">
        <v>349</v>
      </c>
      <c r="V142" s="4">
        <v>99</v>
      </c>
      <c r="W142" s="85">
        <v>46186</v>
      </c>
      <c r="X142" s="4" t="s">
        <v>3731</v>
      </c>
      <c r="Y142" s="4">
        <v>508262007</v>
      </c>
      <c r="Z142" s="4" t="s">
        <v>1849</v>
      </c>
      <c r="AA142" s="4" t="s">
        <v>95</v>
      </c>
      <c r="AB142" s="4" t="s">
        <v>4289</v>
      </c>
    </row>
    <row r="143" spans="1:28">
      <c r="A143" s="4">
        <v>142</v>
      </c>
      <c r="B143" s="5">
        <v>14331130</v>
      </c>
      <c r="C143" s="5">
        <v>206514852</v>
      </c>
      <c r="D143" s="115" t="s">
        <v>3250</v>
      </c>
      <c r="E143" s="4" t="s">
        <v>3781</v>
      </c>
      <c r="F143" s="7" t="s">
        <v>82</v>
      </c>
      <c r="G143" s="7" t="s">
        <v>89</v>
      </c>
      <c r="H143" s="7" t="s">
        <v>90</v>
      </c>
      <c r="I143" s="7" t="s">
        <v>1789</v>
      </c>
      <c r="J143" s="7" t="s">
        <v>2</v>
      </c>
      <c r="K143" s="4" t="s">
        <v>10</v>
      </c>
      <c r="L143" s="4" t="s">
        <v>22</v>
      </c>
      <c r="M143" s="4" t="s">
        <v>4309</v>
      </c>
      <c r="N143" s="4" t="s">
        <v>2584</v>
      </c>
      <c r="O143" s="89"/>
      <c r="P143" s="25">
        <v>45971</v>
      </c>
      <c r="Q143" s="4" t="s">
        <v>78</v>
      </c>
      <c r="R143" s="90" t="s">
        <v>2586</v>
      </c>
      <c r="S143" s="6" t="s">
        <v>1795</v>
      </c>
      <c r="T143" s="4" t="s">
        <v>81</v>
      </c>
      <c r="U143" s="4" t="s">
        <v>349</v>
      </c>
      <c r="V143" s="4">
        <v>99</v>
      </c>
      <c r="W143" s="85">
        <v>46245</v>
      </c>
      <c r="X143" s="4" t="s">
        <v>3782</v>
      </c>
      <c r="Y143" s="4">
        <v>567002645</v>
      </c>
      <c r="Z143" s="4" t="s">
        <v>3248</v>
      </c>
      <c r="AA143" s="4" t="s">
        <v>3016</v>
      </c>
      <c r="AB143" s="4" t="s">
        <v>4289</v>
      </c>
    </row>
    <row r="144" spans="1:28">
      <c r="A144" s="4">
        <v>143</v>
      </c>
      <c r="B144" s="5">
        <v>11480390</v>
      </c>
      <c r="C144" s="5">
        <v>205647583</v>
      </c>
      <c r="D144" s="115" t="s">
        <v>2636</v>
      </c>
      <c r="E144" s="4" t="s">
        <v>3783</v>
      </c>
      <c r="F144" s="7" t="s">
        <v>82</v>
      </c>
      <c r="G144" s="7" t="s">
        <v>88</v>
      </c>
      <c r="H144" s="7" t="s">
        <v>94</v>
      </c>
      <c r="I144" s="7" t="s">
        <v>1789</v>
      </c>
      <c r="J144" s="7" t="s">
        <v>2</v>
      </c>
      <c r="K144" s="4" t="s">
        <v>10</v>
      </c>
      <c r="L144" s="4" t="s">
        <v>23</v>
      </c>
      <c r="M144" s="4" t="s">
        <v>4309</v>
      </c>
      <c r="N144" s="4" t="s">
        <v>2584</v>
      </c>
      <c r="O144" s="89"/>
      <c r="P144" s="25">
        <v>45852</v>
      </c>
      <c r="Q144" s="4" t="s">
        <v>78</v>
      </c>
      <c r="R144" s="90" t="s">
        <v>3262</v>
      </c>
      <c r="S144" s="6" t="s">
        <v>1795</v>
      </c>
      <c r="T144" s="4" t="s">
        <v>92</v>
      </c>
      <c r="U144" s="4" t="s">
        <v>349</v>
      </c>
      <c r="V144" s="4">
        <v>99</v>
      </c>
      <c r="W144" s="85">
        <v>45908</v>
      </c>
      <c r="X144" s="4"/>
      <c r="Y144" s="4">
        <v>523044307</v>
      </c>
      <c r="Z144" s="4" t="s">
        <v>2627</v>
      </c>
      <c r="AA144" s="4" t="s">
        <v>1204</v>
      </c>
      <c r="AB144" s="4" t="s">
        <v>4290</v>
      </c>
    </row>
    <row r="145" spans="1:28">
      <c r="A145" s="4">
        <v>144</v>
      </c>
      <c r="B145" s="5">
        <v>15264306</v>
      </c>
      <c r="C145" s="5">
        <v>206949318</v>
      </c>
      <c r="D145" s="116" t="s">
        <v>4193</v>
      </c>
      <c r="E145" s="95" t="s">
        <v>4194</v>
      </c>
      <c r="F145" s="7" t="s">
        <v>74</v>
      </c>
      <c r="G145" s="7" t="s">
        <v>90</v>
      </c>
      <c r="H145" s="7" t="s">
        <v>87</v>
      </c>
      <c r="I145" s="6" t="s">
        <v>1790</v>
      </c>
      <c r="J145" s="7" t="s">
        <v>2</v>
      </c>
      <c r="K145" s="7" t="s">
        <v>10</v>
      </c>
      <c r="L145" s="7" t="s">
        <v>22</v>
      </c>
      <c r="M145" s="4" t="s">
        <v>4309</v>
      </c>
      <c r="N145" s="4" t="s">
        <v>2584</v>
      </c>
      <c r="O145" s="89"/>
      <c r="P145" s="25">
        <v>46048</v>
      </c>
      <c r="Q145" s="4" t="s">
        <v>78</v>
      </c>
      <c r="R145" s="4" t="s">
        <v>3264</v>
      </c>
      <c r="S145" s="7" t="s">
        <v>1795</v>
      </c>
      <c r="T145" s="7" t="s">
        <v>81</v>
      </c>
      <c r="U145" s="7"/>
      <c r="V145" s="4">
        <v>99</v>
      </c>
      <c r="W145" s="7"/>
      <c r="X145" s="4" t="s">
        <v>3290</v>
      </c>
      <c r="Y145" s="4" t="s">
        <v>4228</v>
      </c>
      <c r="Z145" s="4" t="s">
        <v>4229</v>
      </c>
      <c r="AA145" s="4" t="s">
        <v>3016</v>
      </c>
      <c r="AB145" s="4" t="e">
        <v>#N/A</v>
      </c>
    </row>
    <row r="146" spans="1:28">
      <c r="A146" s="4">
        <v>145</v>
      </c>
      <c r="B146" s="5">
        <v>13629225</v>
      </c>
      <c r="C146" s="5">
        <v>206934491</v>
      </c>
      <c r="D146" s="115" t="s">
        <v>4147</v>
      </c>
      <c r="E146" s="4" t="s">
        <v>4029</v>
      </c>
      <c r="F146" s="7" t="s">
        <v>74</v>
      </c>
      <c r="G146" s="7" t="s">
        <v>88</v>
      </c>
      <c r="H146" s="7" t="s">
        <v>94</v>
      </c>
      <c r="I146" s="6" t="s">
        <v>1790</v>
      </c>
      <c r="J146" s="7" t="s">
        <v>2</v>
      </c>
      <c r="K146" s="4" t="s">
        <v>10</v>
      </c>
      <c r="L146" s="4" t="s">
        <v>22</v>
      </c>
      <c r="M146" s="4" t="s">
        <v>4309</v>
      </c>
      <c r="N146" s="4" t="s">
        <v>2584</v>
      </c>
      <c r="O146" s="89"/>
      <c r="P146" s="25">
        <v>46048</v>
      </c>
      <c r="Q146" s="4" t="s">
        <v>78</v>
      </c>
      <c r="R146" s="90" t="s">
        <v>2586</v>
      </c>
      <c r="S146" s="6" t="s">
        <v>1795</v>
      </c>
      <c r="T146" s="4" t="s">
        <v>81</v>
      </c>
      <c r="U146" s="4"/>
      <c r="V146" s="4">
        <v>99</v>
      </c>
      <c r="W146" s="85">
        <v>46778</v>
      </c>
      <c r="X146" s="4" t="s">
        <v>3290</v>
      </c>
      <c r="Y146" s="4" t="s">
        <v>4044</v>
      </c>
      <c r="Z146" s="4" t="s">
        <v>4057</v>
      </c>
      <c r="AA146" s="4" t="s">
        <v>3168</v>
      </c>
      <c r="AB146" s="4" t="s">
        <v>4289</v>
      </c>
    </row>
    <row r="147" spans="1:28">
      <c r="A147" s="4">
        <v>146</v>
      </c>
      <c r="B147" s="5">
        <v>11566034</v>
      </c>
      <c r="C147" s="5">
        <v>103775146</v>
      </c>
      <c r="D147" s="115" t="s">
        <v>130</v>
      </c>
      <c r="E147" s="4" t="s">
        <v>131</v>
      </c>
      <c r="F147" s="7" t="s">
        <v>74</v>
      </c>
      <c r="G147" s="7" t="s">
        <v>94</v>
      </c>
      <c r="H147" s="7" t="s">
        <v>89</v>
      </c>
      <c r="I147" s="6" t="s">
        <v>244</v>
      </c>
      <c r="J147" s="7" t="s">
        <v>2</v>
      </c>
      <c r="K147" s="4" t="s">
        <v>10</v>
      </c>
      <c r="L147" s="4" t="s">
        <v>21</v>
      </c>
      <c r="M147" s="4" t="s">
        <v>4309</v>
      </c>
      <c r="N147" s="4"/>
      <c r="O147" s="89"/>
      <c r="P147" s="25">
        <v>44067</v>
      </c>
      <c r="Q147" s="7" t="s">
        <v>78</v>
      </c>
      <c r="R147" s="90" t="s">
        <v>3255</v>
      </c>
      <c r="S147" s="6" t="s">
        <v>1795</v>
      </c>
      <c r="T147" s="4" t="s">
        <v>81</v>
      </c>
      <c r="U147" s="4" t="s">
        <v>103</v>
      </c>
      <c r="V147" s="4">
        <v>3</v>
      </c>
      <c r="W147" s="85"/>
      <c r="X147" s="4" t="s">
        <v>3474</v>
      </c>
      <c r="Y147" s="4">
        <v>0</v>
      </c>
      <c r="Z147" s="4" t="e">
        <v>#N/A</v>
      </c>
      <c r="AA147" s="4" t="s">
        <v>127</v>
      </c>
      <c r="AB147" s="4" t="s">
        <v>4290</v>
      </c>
    </row>
    <row r="148" spans="1:28">
      <c r="A148" s="4">
        <v>147</v>
      </c>
      <c r="B148" s="5">
        <v>12163861</v>
      </c>
      <c r="C148" s="5">
        <v>102206211</v>
      </c>
      <c r="D148" s="115" t="s">
        <v>126</v>
      </c>
      <c r="E148" s="4" t="s">
        <v>3784</v>
      </c>
      <c r="F148" s="7" t="s">
        <v>74</v>
      </c>
      <c r="G148" s="7" t="s">
        <v>76</v>
      </c>
      <c r="H148" s="7" t="s">
        <v>88</v>
      </c>
      <c r="I148" s="6" t="s">
        <v>119</v>
      </c>
      <c r="J148" s="7" t="s">
        <v>2</v>
      </c>
      <c r="K148" s="4" t="s">
        <v>10</v>
      </c>
      <c r="L148" s="4" t="s">
        <v>21</v>
      </c>
      <c r="M148" s="4" t="s">
        <v>4310</v>
      </c>
      <c r="N148" s="4" t="s">
        <v>2583</v>
      </c>
      <c r="O148" s="89"/>
      <c r="P148" s="25">
        <v>42868</v>
      </c>
      <c r="Q148" s="4" t="s">
        <v>78</v>
      </c>
      <c r="R148" s="90" t="s">
        <v>3260</v>
      </c>
      <c r="S148" s="6" t="s">
        <v>1795</v>
      </c>
      <c r="T148" s="4" t="s">
        <v>81</v>
      </c>
      <c r="U148" s="4" t="s">
        <v>107</v>
      </c>
      <c r="V148" s="4">
        <v>1</v>
      </c>
      <c r="W148" s="85"/>
      <c r="X148" s="4" t="s">
        <v>3473</v>
      </c>
      <c r="Y148" s="4">
        <v>0</v>
      </c>
      <c r="Z148" s="4" t="e">
        <v>#N/A</v>
      </c>
      <c r="AA148" s="4" t="s">
        <v>127</v>
      </c>
      <c r="AB148" s="4" t="s">
        <v>4290</v>
      </c>
    </row>
    <row r="149" spans="1:28">
      <c r="A149" s="4">
        <v>148</v>
      </c>
      <c r="B149" s="5">
        <v>188482</v>
      </c>
      <c r="C149" s="5">
        <v>203816296</v>
      </c>
      <c r="D149" s="115" t="s">
        <v>3524</v>
      </c>
      <c r="E149" s="4" t="s">
        <v>3785</v>
      </c>
      <c r="F149" s="7" t="s">
        <v>74</v>
      </c>
      <c r="G149" s="7" t="s">
        <v>87</v>
      </c>
      <c r="H149" s="7" t="s">
        <v>75</v>
      </c>
      <c r="I149" s="7" t="s">
        <v>1789</v>
      </c>
      <c r="J149" s="7" t="s">
        <v>2</v>
      </c>
      <c r="K149" s="4" t="s">
        <v>10</v>
      </c>
      <c r="L149" s="4" t="s">
        <v>22</v>
      </c>
      <c r="M149" s="4" t="s">
        <v>4309</v>
      </c>
      <c r="N149" s="4" t="s">
        <v>2583</v>
      </c>
      <c r="O149" s="89"/>
      <c r="P149" s="25">
        <v>45518</v>
      </c>
      <c r="Q149" s="4" t="s">
        <v>78</v>
      </c>
      <c r="R149" s="90" t="s">
        <v>3264</v>
      </c>
      <c r="S149" s="6" t="s">
        <v>1795</v>
      </c>
      <c r="T149" s="4" t="s">
        <v>81</v>
      </c>
      <c r="U149" s="4" t="s">
        <v>107</v>
      </c>
      <c r="V149" s="4">
        <v>99</v>
      </c>
      <c r="W149" s="85">
        <v>45574</v>
      </c>
      <c r="X149" s="4" t="s">
        <v>3689</v>
      </c>
      <c r="Y149" s="4">
        <v>582768871</v>
      </c>
      <c r="Z149" s="4" t="s">
        <v>1850</v>
      </c>
      <c r="AA149" s="4" t="s">
        <v>95</v>
      </c>
      <c r="AB149" s="4" t="s">
        <v>4290</v>
      </c>
    </row>
    <row r="150" spans="1:28">
      <c r="A150" s="4">
        <v>149</v>
      </c>
      <c r="B150" s="5">
        <v>12163160</v>
      </c>
      <c r="C150" s="5">
        <v>102205456</v>
      </c>
      <c r="D150" s="115" t="s">
        <v>117</v>
      </c>
      <c r="E150" s="4" t="s">
        <v>3786</v>
      </c>
      <c r="F150" s="7" t="s">
        <v>74</v>
      </c>
      <c r="G150" s="7" t="s">
        <v>75</v>
      </c>
      <c r="H150" s="7" t="s">
        <v>76</v>
      </c>
      <c r="I150" s="6" t="s">
        <v>119</v>
      </c>
      <c r="J150" s="7" t="s">
        <v>2</v>
      </c>
      <c r="K150" s="4" t="s">
        <v>10</v>
      </c>
      <c r="L150" s="4" t="s">
        <v>21</v>
      </c>
      <c r="M150" s="4" t="s">
        <v>4310</v>
      </c>
      <c r="N150" s="4" t="s">
        <v>2583</v>
      </c>
      <c r="O150" s="89"/>
      <c r="P150" s="25">
        <v>42868</v>
      </c>
      <c r="Q150" s="4" t="s">
        <v>78</v>
      </c>
      <c r="R150" s="90" t="s">
        <v>3258</v>
      </c>
      <c r="S150" s="6" t="s">
        <v>1795</v>
      </c>
      <c r="T150" s="4" t="s">
        <v>81</v>
      </c>
      <c r="U150" s="4" t="s">
        <v>112</v>
      </c>
      <c r="V150" s="4">
        <v>1</v>
      </c>
      <c r="W150" s="85"/>
      <c r="X150" s="4" t="s">
        <v>3473</v>
      </c>
      <c r="Y150" s="4">
        <v>0</v>
      </c>
      <c r="Z150" s="4" t="e">
        <v>#N/A</v>
      </c>
      <c r="AA150" s="4" t="s">
        <v>1194</v>
      </c>
      <c r="AB150" s="4" t="s">
        <v>4290</v>
      </c>
    </row>
    <row r="151" spans="1:28">
      <c r="A151" s="4">
        <v>150</v>
      </c>
      <c r="B151" s="5">
        <v>75325</v>
      </c>
      <c r="C151" s="5">
        <v>203469404</v>
      </c>
      <c r="D151" s="115" t="s">
        <v>99</v>
      </c>
      <c r="E151" s="4" t="s">
        <v>3787</v>
      </c>
      <c r="F151" s="7" t="s">
        <v>74</v>
      </c>
      <c r="G151" s="7" t="s">
        <v>88</v>
      </c>
      <c r="H151" s="7" t="s">
        <v>94</v>
      </c>
      <c r="I151" s="6" t="s">
        <v>1790</v>
      </c>
      <c r="J151" s="7" t="s">
        <v>2</v>
      </c>
      <c r="K151" s="4" t="s">
        <v>10</v>
      </c>
      <c r="L151" s="4" t="s">
        <v>20</v>
      </c>
      <c r="M151" s="4" t="s">
        <v>4309</v>
      </c>
      <c r="N151" s="4" t="s">
        <v>2583</v>
      </c>
      <c r="O151" s="89"/>
      <c r="P151" s="25">
        <v>45456</v>
      </c>
      <c r="Q151" s="4" t="s">
        <v>78</v>
      </c>
      <c r="R151" s="90" t="s">
        <v>3252</v>
      </c>
      <c r="S151" s="6" t="s">
        <v>1795</v>
      </c>
      <c r="T151" s="4" t="s">
        <v>81</v>
      </c>
      <c r="U151" s="4" t="s">
        <v>112</v>
      </c>
      <c r="V151" s="4">
        <v>99</v>
      </c>
      <c r="W151" s="85">
        <v>46186</v>
      </c>
      <c r="X151" s="4" t="s">
        <v>3690</v>
      </c>
      <c r="Y151" s="4">
        <v>521283880</v>
      </c>
      <c r="Z151" s="4" t="s">
        <v>1851</v>
      </c>
      <c r="AA151" s="4" t="s">
        <v>95</v>
      </c>
      <c r="AB151" s="4" t="s">
        <v>4290</v>
      </c>
    </row>
    <row r="152" spans="1:28">
      <c r="A152" s="4">
        <v>151</v>
      </c>
      <c r="B152" s="5">
        <v>14756948</v>
      </c>
      <c r="C152" s="5">
        <v>206514788</v>
      </c>
      <c r="D152" s="115" t="s">
        <v>3249</v>
      </c>
      <c r="E152" s="4" t="s">
        <v>3788</v>
      </c>
      <c r="F152" s="7" t="s">
        <v>82</v>
      </c>
      <c r="G152" s="7" t="s">
        <v>88</v>
      </c>
      <c r="H152" s="7" t="s">
        <v>94</v>
      </c>
      <c r="I152" s="7" t="s">
        <v>1789</v>
      </c>
      <c r="J152" s="7" t="s">
        <v>2</v>
      </c>
      <c r="K152" s="4" t="s">
        <v>10</v>
      </c>
      <c r="L152" s="4" t="s">
        <v>22</v>
      </c>
      <c r="M152" s="4" t="s">
        <v>4309</v>
      </c>
      <c r="N152" s="4" t="s">
        <v>2584</v>
      </c>
      <c r="O152" s="89"/>
      <c r="P152" s="25">
        <v>45971</v>
      </c>
      <c r="Q152" s="4" t="s">
        <v>78</v>
      </c>
      <c r="R152" s="90" t="s">
        <v>3254</v>
      </c>
      <c r="S152" s="6" t="s">
        <v>1795</v>
      </c>
      <c r="T152" s="4" t="s">
        <v>81</v>
      </c>
      <c r="U152" s="4" t="s">
        <v>349</v>
      </c>
      <c r="V152" s="4">
        <v>99</v>
      </c>
      <c r="W152" s="85">
        <v>46245</v>
      </c>
      <c r="X152" s="4" t="s">
        <v>3782</v>
      </c>
      <c r="Y152" s="4">
        <v>557217399</v>
      </c>
      <c r="Z152" s="4" t="s">
        <v>3247</v>
      </c>
      <c r="AA152" s="4" t="s">
        <v>3016</v>
      </c>
      <c r="AB152" s="4" t="s">
        <v>4290</v>
      </c>
    </row>
    <row r="153" spans="1:28">
      <c r="A153" s="4">
        <v>152</v>
      </c>
      <c r="B153" s="5">
        <v>12193980</v>
      </c>
      <c r="C153" s="5">
        <v>205647581</v>
      </c>
      <c r="D153" s="115" t="s">
        <v>2640</v>
      </c>
      <c r="E153" s="4" t="s">
        <v>3789</v>
      </c>
      <c r="F153" s="7" t="s">
        <v>82</v>
      </c>
      <c r="G153" s="7" t="s">
        <v>76</v>
      </c>
      <c r="H153" s="7" t="s">
        <v>88</v>
      </c>
      <c r="I153" s="7" t="s">
        <v>1789</v>
      </c>
      <c r="J153" s="7" t="s">
        <v>2</v>
      </c>
      <c r="K153" s="4" t="s">
        <v>10</v>
      </c>
      <c r="L153" s="4" t="s">
        <v>23</v>
      </c>
      <c r="M153" s="4" t="s">
        <v>4309</v>
      </c>
      <c r="N153" s="4" t="s">
        <v>2584</v>
      </c>
      <c r="O153" s="89"/>
      <c r="P153" s="25">
        <v>45852</v>
      </c>
      <c r="Q153" s="4" t="s">
        <v>78</v>
      </c>
      <c r="R153" s="90" t="s">
        <v>3261</v>
      </c>
      <c r="S153" s="6" t="s">
        <v>1795</v>
      </c>
      <c r="T153" s="4" t="s">
        <v>92</v>
      </c>
      <c r="U153" s="4" t="s">
        <v>112</v>
      </c>
      <c r="V153" s="4">
        <v>99</v>
      </c>
      <c r="W153" s="85">
        <v>45908</v>
      </c>
      <c r="X153" s="4"/>
      <c r="Y153" s="4">
        <v>526400684</v>
      </c>
      <c r="Z153" s="4" t="s">
        <v>2631</v>
      </c>
      <c r="AA153" s="4" t="s">
        <v>1204</v>
      </c>
      <c r="AB153" s="4" t="s">
        <v>4289</v>
      </c>
    </row>
    <row r="154" spans="1:28">
      <c r="A154" s="4">
        <v>153</v>
      </c>
      <c r="B154" s="5">
        <v>31052</v>
      </c>
      <c r="C154" s="5">
        <v>102981768</v>
      </c>
      <c r="D154" s="115" t="s">
        <v>383</v>
      </c>
      <c r="E154" s="4" t="s">
        <v>3790</v>
      </c>
      <c r="F154" s="7" t="s">
        <v>82</v>
      </c>
      <c r="G154" s="7" t="s">
        <v>90</v>
      </c>
      <c r="H154" s="7" t="s">
        <v>87</v>
      </c>
      <c r="I154" s="6" t="s">
        <v>244</v>
      </c>
      <c r="J154" s="7" t="s">
        <v>2</v>
      </c>
      <c r="K154" s="4" t="s">
        <v>10</v>
      </c>
      <c r="L154" s="4" t="s">
        <v>21</v>
      </c>
      <c r="M154" s="4" t="s">
        <v>4310</v>
      </c>
      <c r="N154" s="4"/>
      <c r="O154" s="89"/>
      <c r="P154" s="25">
        <v>43044</v>
      </c>
      <c r="Q154" s="4" t="s">
        <v>78</v>
      </c>
      <c r="R154" s="90" t="s">
        <v>3258</v>
      </c>
      <c r="S154" s="6" t="s">
        <v>1795</v>
      </c>
      <c r="T154" s="4" t="s">
        <v>81</v>
      </c>
      <c r="U154" s="4" t="s">
        <v>107</v>
      </c>
      <c r="V154" s="4">
        <v>3</v>
      </c>
      <c r="W154" s="85"/>
      <c r="X154" s="4" t="s">
        <v>3739</v>
      </c>
      <c r="Y154" s="4">
        <v>0</v>
      </c>
      <c r="Z154" s="4" t="e">
        <v>#N/A</v>
      </c>
      <c r="AA154" s="4" t="s">
        <v>1196</v>
      </c>
      <c r="AB154" s="4" t="s">
        <v>4289</v>
      </c>
    </row>
    <row r="155" spans="1:28">
      <c r="A155" s="4">
        <v>154</v>
      </c>
      <c r="B155" s="5">
        <v>14855756</v>
      </c>
      <c r="C155" s="5">
        <v>203801393</v>
      </c>
      <c r="D155" s="115" t="s">
        <v>715</v>
      </c>
      <c r="E155" s="4" t="s">
        <v>3791</v>
      </c>
      <c r="F155" s="7" t="s">
        <v>74</v>
      </c>
      <c r="G155" s="7" t="s">
        <v>89</v>
      </c>
      <c r="H155" s="7" t="s">
        <v>90</v>
      </c>
      <c r="I155" s="6" t="s">
        <v>1788</v>
      </c>
      <c r="J155" s="7" t="s">
        <v>2</v>
      </c>
      <c r="K155" s="4" t="s">
        <v>10</v>
      </c>
      <c r="L155" s="4" t="s">
        <v>24</v>
      </c>
      <c r="M155" s="4" t="s">
        <v>4309</v>
      </c>
      <c r="N155" s="4" t="s">
        <v>2584</v>
      </c>
      <c r="O155" s="89"/>
      <c r="P155" s="25">
        <v>45517</v>
      </c>
      <c r="Q155" s="4" t="s">
        <v>78</v>
      </c>
      <c r="R155" s="90" t="s">
        <v>3260</v>
      </c>
      <c r="S155" s="6" t="s">
        <v>1795</v>
      </c>
      <c r="T155" s="4" t="s">
        <v>81</v>
      </c>
      <c r="U155" s="4" t="s">
        <v>349</v>
      </c>
      <c r="V155" s="4">
        <v>99</v>
      </c>
      <c r="W155" s="85">
        <v>45882</v>
      </c>
      <c r="X155" s="4" t="s">
        <v>3698</v>
      </c>
      <c r="Y155" s="4">
        <v>558106293</v>
      </c>
      <c r="Z155" s="4" t="s">
        <v>1852</v>
      </c>
      <c r="AA155" s="4" t="s">
        <v>1196</v>
      </c>
      <c r="AB155" s="4" t="s">
        <v>4289</v>
      </c>
    </row>
    <row r="156" spans="1:28">
      <c r="A156" s="4">
        <v>155</v>
      </c>
      <c r="B156" s="5">
        <v>303658</v>
      </c>
      <c r="C156" s="5">
        <v>204864416</v>
      </c>
      <c r="D156" s="115" t="s">
        <v>2279</v>
      </c>
      <c r="E156" s="4" t="s">
        <v>3792</v>
      </c>
      <c r="F156" s="7" t="s">
        <v>74</v>
      </c>
      <c r="G156" s="7" t="s">
        <v>87</v>
      </c>
      <c r="H156" s="7" t="s">
        <v>75</v>
      </c>
      <c r="I156" s="7" t="s">
        <v>1789</v>
      </c>
      <c r="J156" s="7" t="s">
        <v>2</v>
      </c>
      <c r="K156" s="4" t="s">
        <v>10</v>
      </c>
      <c r="L156" s="4" t="s">
        <v>22</v>
      </c>
      <c r="M156" s="4" t="s">
        <v>4309</v>
      </c>
      <c r="N156" s="4" t="s">
        <v>2584</v>
      </c>
      <c r="O156" s="89"/>
      <c r="P156" s="25">
        <v>45684</v>
      </c>
      <c r="Q156" s="4" t="s">
        <v>78</v>
      </c>
      <c r="R156" s="90" t="s">
        <v>2586</v>
      </c>
      <c r="S156" s="6" t="s">
        <v>1795</v>
      </c>
      <c r="T156" s="4" t="s">
        <v>81</v>
      </c>
      <c r="U156" s="4" t="s">
        <v>103</v>
      </c>
      <c r="V156" s="4">
        <v>99</v>
      </c>
      <c r="W156" s="85">
        <v>45740</v>
      </c>
      <c r="X156" s="4" t="s">
        <v>3689</v>
      </c>
      <c r="Y156" s="4"/>
      <c r="Z156" s="4"/>
      <c r="AA156" s="4" t="s">
        <v>85</v>
      </c>
      <c r="AB156" s="4" t="s">
        <v>4289</v>
      </c>
    </row>
    <row r="157" spans="1:28">
      <c r="A157" s="4">
        <v>156</v>
      </c>
      <c r="B157" s="5">
        <v>14736734</v>
      </c>
      <c r="C157" s="5">
        <v>206016552</v>
      </c>
      <c r="D157" s="115" t="s">
        <v>2829</v>
      </c>
      <c r="E157" s="4" t="s">
        <v>3793</v>
      </c>
      <c r="F157" s="7" t="s">
        <v>74</v>
      </c>
      <c r="G157" s="7" t="s">
        <v>88</v>
      </c>
      <c r="H157" s="7" t="s">
        <v>94</v>
      </c>
      <c r="I157" s="7" t="s">
        <v>1789</v>
      </c>
      <c r="J157" s="7" t="s">
        <v>2</v>
      </c>
      <c r="K157" s="4" t="s">
        <v>10</v>
      </c>
      <c r="L157" s="4" t="s">
        <v>24</v>
      </c>
      <c r="M157" s="4" t="s">
        <v>4309</v>
      </c>
      <c r="N157" s="4"/>
      <c r="O157" s="89"/>
      <c r="P157" s="25">
        <v>45915</v>
      </c>
      <c r="Q157" s="4" t="s">
        <v>78</v>
      </c>
      <c r="R157" s="90" t="s">
        <v>3262</v>
      </c>
      <c r="S157" s="6" t="s">
        <v>1795</v>
      </c>
      <c r="T157" s="4" t="s">
        <v>81</v>
      </c>
      <c r="U157" s="4" t="s">
        <v>103</v>
      </c>
      <c r="V157" s="4">
        <v>99</v>
      </c>
      <c r="W157" s="85"/>
      <c r="X157" s="4"/>
      <c r="Y157" s="4"/>
      <c r="Z157" s="4"/>
      <c r="AA157" s="4" t="s">
        <v>1198</v>
      </c>
      <c r="AB157" s="4" t="s">
        <v>4289</v>
      </c>
    </row>
    <row r="158" spans="1:28">
      <c r="A158" s="4">
        <v>157</v>
      </c>
      <c r="B158" s="5">
        <v>11981381</v>
      </c>
      <c r="C158" s="5">
        <v>204403811</v>
      </c>
      <c r="D158" s="115" t="s">
        <v>1768</v>
      </c>
      <c r="E158" s="4" t="s">
        <v>3794</v>
      </c>
      <c r="F158" s="7" t="s">
        <v>74</v>
      </c>
      <c r="G158" s="7" t="s">
        <v>89</v>
      </c>
      <c r="H158" s="7" t="s">
        <v>90</v>
      </c>
      <c r="I158" s="6" t="s">
        <v>1788</v>
      </c>
      <c r="J158" s="7" t="s">
        <v>2</v>
      </c>
      <c r="K158" s="4" t="s">
        <v>10</v>
      </c>
      <c r="L158" s="4" t="s">
        <v>24</v>
      </c>
      <c r="M158" s="4" t="s">
        <v>4309</v>
      </c>
      <c r="N158" s="4" t="s">
        <v>2584</v>
      </c>
      <c r="O158" s="89"/>
      <c r="P158" s="25">
        <v>45596</v>
      </c>
      <c r="Q158" s="4" t="s">
        <v>78</v>
      </c>
      <c r="R158" s="90" t="s">
        <v>3254</v>
      </c>
      <c r="S158" s="6" t="s">
        <v>1795</v>
      </c>
      <c r="T158" s="4" t="s">
        <v>92</v>
      </c>
      <c r="U158" s="4" t="s">
        <v>112</v>
      </c>
      <c r="V158" s="4">
        <v>99</v>
      </c>
      <c r="W158" s="85">
        <v>45961</v>
      </c>
      <c r="X158" s="4" t="s">
        <v>3739</v>
      </c>
      <c r="Y158" s="4">
        <v>543218836</v>
      </c>
      <c r="Z158" s="4" t="s">
        <v>1853</v>
      </c>
      <c r="AA158" s="4" t="s">
        <v>2277</v>
      </c>
      <c r="AB158" s="4" t="s">
        <v>4289</v>
      </c>
    </row>
    <row r="159" spans="1:28">
      <c r="A159" s="4">
        <v>158</v>
      </c>
      <c r="B159" s="5">
        <v>12981173</v>
      </c>
      <c r="C159" s="5">
        <v>206348053</v>
      </c>
      <c r="D159" s="115" t="s">
        <v>3197</v>
      </c>
      <c r="E159" s="4" t="s">
        <v>3849</v>
      </c>
      <c r="F159" s="7" t="s">
        <v>82</v>
      </c>
      <c r="G159" s="7" t="s">
        <v>90</v>
      </c>
      <c r="H159" s="7" t="s">
        <v>87</v>
      </c>
      <c r="I159" s="7" t="s">
        <v>1788</v>
      </c>
      <c r="J159" s="7" t="s">
        <v>2</v>
      </c>
      <c r="K159" s="4" t="s">
        <v>10</v>
      </c>
      <c r="L159" s="4" t="s">
        <v>24</v>
      </c>
      <c r="M159" s="4" t="s">
        <v>4309</v>
      </c>
      <c r="N159" s="4" t="s">
        <v>2584</v>
      </c>
      <c r="O159" s="89"/>
      <c r="P159" s="25">
        <v>45957</v>
      </c>
      <c r="Q159" s="4" t="s">
        <v>78</v>
      </c>
      <c r="R159" s="90" t="s">
        <v>3261</v>
      </c>
      <c r="S159" s="6" t="s">
        <v>1795</v>
      </c>
      <c r="T159" s="4" t="s">
        <v>92</v>
      </c>
      <c r="U159" s="4" t="s">
        <v>103</v>
      </c>
      <c r="V159" s="4">
        <v>99</v>
      </c>
      <c r="W159" s="85">
        <v>46013</v>
      </c>
      <c r="X159" s="4" t="s">
        <v>3688</v>
      </c>
      <c r="Y159" s="4">
        <v>525611462</v>
      </c>
      <c r="Z159" s="4" t="s">
        <v>3209</v>
      </c>
      <c r="AA159" s="4" t="s">
        <v>3016</v>
      </c>
      <c r="AB159" s="4" t="s">
        <v>4289</v>
      </c>
    </row>
    <row r="160" spans="1:28">
      <c r="A160" s="4">
        <v>159</v>
      </c>
      <c r="B160" s="5">
        <v>11615494</v>
      </c>
      <c r="C160" s="5">
        <v>206915011</v>
      </c>
      <c r="D160" s="115" t="s">
        <v>4143</v>
      </c>
      <c r="E160" s="4" t="s">
        <v>4024</v>
      </c>
      <c r="F160" s="7" t="s">
        <v>74</v>
      </c>
      <c r="G160" s="7" t="s">
        <v>89</v>
      </c>
      <c r="H160" s="7" t="s">
        <v>90</v>
      </c>
      <c r="I160" s="6" t="s">
        <v>1790</v>
      </c>
      <c r="J160" s="7" t="s">
        <v>2</v>
      </c>
      <c r="K160" s="4" t="s">
        <v>10</v>
      </c>
      <c r="L160" s="4" t="s">
        <v>22</v>
      </c>
      <c r="M160" s="4" t="s">
        <v>4309</v>
      </c>
      <c r="N160" s="4" t="s">
        <v>2584</v>
      </c>
      <c r="O160" s="89"/>
      <c r="P160" s="25">
        <v>46048</v>
      </c>
      <c r="Q160" s="4" t="s">
        <v>78</v>
      </c>
      <c r="R160" s="90" t="s">
        <v>2586</v>
      </c>
      <c r="S160" s="6" t="s">
        <v>1795</v>
      </c>
      <c r="T160" s="4" t="s">
        <v>81</v>
      </c>
      <c r="U160" s="4"/>
      <c r="V160" s="4">
        <v>99</v>
      </c>
      <c r="W160" s="85">
        <v>46778</v>
      </c>
      <c r="X160" s="4" t="s">
        <v>3290</v>
      </c>
      <c r="Y160" s="4" t="s">
        <v>4039</v>
      </c>
      <c r="Z160" s="4" t="s">
        <v>4052</v>
      </c>
      <c r="AA160" s="4" t="s">
        <v>3168</v>
      </c>
      <c r="AB160" s="4" t="s">
        <v>4289</v>
      </c>
    </row>
    <row r="161" spans="1:28">
      <c r="A161" s="4">
        <v>160</v>
      </c>
      <c r="B161" s="5">
        <v>12860167</v>
      </c>
      <c r="C161" s="5">
        <v>203850788</v>
      </c>
      <c r="D161" s="115" t="s">
        <v>814</v>
      </c>
      <c r="E161" s="4" t="s">
        <v>3795</v>
      </c>
      <c r="F161" s="7" t="s">
        <v>82</v>
      </c>
      <c r="G161" s="7" t="s">
        <v>90</v>
      </c>
      <c r="H161" s="7" t="s">
        <v>87</v>
      </c>
      <c r="I161" s="6" t="s">
        <v>1788</v>
      </c>
      <c r="J161" s="7" t="s">
        <v>2</v>
      </c>
      <c r="K161" s="4" t="s">
        <v>10</v>
      </c>
      <c r="L161" s="4" t="s">
        <v>24</v>
      </c>
      <c r="M161" s="4" t="s">
        <v>4309</v>
      </c>
      <c r="N161" s="4" t="s">
        <v>2583</v>
      </c>
      <c r="O161" s="89"/>
      <c r="P161" s="25">
        <v>45524</v>
      </c>
      <c r="Q161" s="4" t="s">
        <v>78</v>
      </c>
      <c r="R161" s="90" t="s">
        <v>2586</v>
      </c>
      <c r="S161" s="6" t="s">
        <v>1795</v>
      </c>
      <c r="T161" s="4" t="s">
        <v>81</v>
      </c>
      <c r="U161" s="4" t="s">
        <v>112</v>
      </c>
      <c r="V161" s="4">
        <v>99</v>
      </c>
      <c r="W161" s="85">
        <v>45889</v>
      </c>
      <c r="X161" s="4" t="s">
        <v>3703</v>
      </c>
      <c r="Y161" s="4">
        <v>582254787</v>
      </c>
      <c r="Z161" s="4" t="s">
        <v>1854</v>
      </c>
      <c r="AA161" s="4" t="s">
        <v>85</v>
      </c>
      <c r="AB161" s="4" t="s">
        <v>4290</v>
      </c>
    </row>
    <row r="162" spans="1:28">
      <c r="A162" s="4">
        <v>161</v>
      </c>
      <c r="B162" s="95">
        <v>14791276</v>
      </c>
      <c r="C162" s="4">
        <v>206873785</v>
      </c>
      <c r="D162" s="115" t="s">
        <v>3520</v>
      </c>
      <c r="E162" s="4" t="s">
        <v>3490</v>
      </c>
      <c r="F162" s="7" t="s">
        <v>82</v>
      </c>
      <c r="G162" s="7" t="s">
        <v>90</v>
      </c>
      <c r="H162" s="7" t="s">
        <v>87</v>
      </c>
      <c r="I162" s="7" t="s">
        <v>1789</v>
      </c>
      <c r="J162" s="4" t="s">
        <v>2</v>
      </c>
      <c r="K162" s="6" t="s">
        <v>10</v>
      </c>
      <c r="L162" s="4" t="s">
        <v>22</v>
      </c>
      <c r="M162" s="4" t="s">
        <v>4309</v>
      </c>
      <c r="N162" s="4" t="s">
        <v>2584</v>
      </c>
      <c r="O162" s="89"/>
      <c r="P162" s="25">
        <v>46020</v>
      </c>
      <c r="Q162" s="4" t="s">
        <v>78</v>
      </c>
      <c r="R162" s="4" t="s">
        <v>3258</v>
      </c>
      <c r="S162" s="4" t="s">
        <v>3478</v>
      </c>
      <c r="T162" s="4" t="s">
        <v>81</v>
      </c>
      <c r="U162" s="4"/>
      <c r="V162" s="4">
        <v>99</v>
      </c>
      <c r="W162" s="4"/>
      <c r="X162" s="4" t="s">
        <v>3290</v>
      </c>
      <c r="Y162" s="4">
        <v>564281109</v>
      </c>
      <c r="Z162" s="4" t="s">
        <v>3506</v>
      </c>
      <c r="AA162" s="4" t="s">
        <v>3016</v>
      </c>
      <c r="AB162" s="4">
        <v>0</v>
      </c>
    </row>
    <row r="163" spans="1:28">
      <c r="A163" s="4">
        <v>162</v>
      </c>
      <c r="B163" s="5">
        <v>13908183</v>
      </c>
      <c r="C163" s="5">
        <v>204319468</v>
      </c>
      <c r="D163" s="115" t="s">
        <v>1744</v>
      </c>
      <c r="E163" s="4" t="s">
        <v>3796</v>
      </c>
      <c r="F163" s="7" t="s">
        <v>74</v>
      </c>
      <c r="G163" s="7" t="s">
        <v>89</v>
      </c>
      <c r="H163" s="7" t="s">
        <v>90</v>
      </c>
      <c r="I163" s="6" t="s">
        <v>1790</v>
      </c>
      <c r="J163" s="7" t="s">
        <v>2</v>
      </c>
      <c r="K163" s="4" t="s">
        <v>10</v>
      </c>
      <c r="L163" s="4" t="s">
        <v>27</v>
      </c>
      <c r="M163" s="4" t="s">
        <v>4309</v>
      </c>
      <c r="N163" s="4" t="s">
        <v>2584</v>
      </c>
      <c r="O163" s="89"/>
      <c r="P163" s="25">
        <v>45589</v>
      </c>
      <c r="Q163" s="4" t="s">
        <v>78</v>
      </c>
      <c r="R163" s="90" t="s">
        <v>3256</v>
      </c>
      <c r="S163" s="6" t="s">
        <v>1795</v>
      </c>
      <c r="T163" s="4" t="s">
        <v>81</v>
      </c>
      <c r="U163" s="4" t="s">
        <v>107</v>
      </c>
      <c r="V163" s="4">
        <v>99</v>
      </c>
      <c r="W163" s="85">
        <v>46319</v>
      </c>
      <c r="X163" s="4" t="s">
        <v>3698</v>
      </c>
      <c r="Y163" s="4">
        <v>506731024</v>
      </c>
      <c r="Z163" s="4" t="s">
        <v>1855</v>
      </c>
      <c r="AA163" s="4" t="s">
        <v>85</v>
      </c>
      <c r="AB163" s="4" t="s">
        <v>4289</v>
      </c>
    </row>
    <row r="164" spans="1:28">
      <c r="A164" s="4">
        <v>163</v>
      </c>
      <c r="B164" s="5">
        <v>11968333</v>
      </c>
      <c r="C164" s="5">
        <v>204868856</v>
      </c>
      <c r="D164" s="115" t="s">
        <v>2339</v>
      </c>
      <c r="E164" s="4" t="s">
        <v>2340</v>
      </c>
      <c r="F164" s="7" t="s">
        <v>82</v>
      </c>
      <c r="G164" s="7" t="s">
        <v>75</v>
      </c>
      <c r="H164" s="7" t="s">
        <v>76</v>
      </c>
      <c r="I164" s="7" t="s">
        <v>1789</v>
      </c>
      <c r="J164" s="7" t="s">
        <v>2</v>
      </c>
      <c r="K164" s="4" t="s">
        <v>10</v>
      </c>
      <c r="L164" s="4" t="s">
        <v>27</v>
      </c>
      <c r="M164" s="4" t="s">
        <v>4309</v>
      </c>
      <c r="N164" s="4" t="s">
        <v>2584</v>
      </c>
      <c r="O164" s="89"/>
      <c r="P164" s="25">
        <v>45691</v>
      </c>
      <c r="Q164" s="4" t="s">
        <v>78</v>
      </c>
      <c r="R164" s="90" t="s">
        <v>3256</v>
      </c>
      <c r="S164" s="6" t="s">
        <v>1795</v>
      </c>
      <c r="T164" s="4" t="s">
        <v>81</v>
      </c>
      <c r="U164" s="4" t="s">
        <v>112</v>
      </c>
      <c r="V164" s="4">
        <v>99</v>
      </c>
      <c r="W164" s="85">
        <v>45747</v>
      </c>
      <c r="X164" s="4" t="s">
        <v>3690</v>
      </c>
      <c r="Y164" s="4">
        <v>544589942</v>
      </c>
      <c r="Z164" s="4" t="s">
        <v>2404</v>
      </c>
      <c r="AA164" s="4" t="s">
        <v>85</v>
      </c>
      <c r="AB164" s="4" t="s">
        <v>4289</v>
      </c>
    </row>
    <row r="165" spans="1:28">
      <c r="A165" s="4">
        <v>164</v>
      </c>
      <c r="B165" s="5">
        <v>15248311</v>
      </c>
      <c r="C165" s="5">
        <v>206953812</v>
      </c>
      <c r="D165" s="115" t="s">
        <v>4153</v>
      </c>
      <c r="E165" s="4" t="s">
        <v>4036</v>
      </c>
      <c r="F165" s="7" t="s">
        <v>74</v>
      </c>
      <c r="G165" s="7" t="s">
        <v>75</v>
      </c>
      <c r="H165" s="7" t="s">
        <v>76</v>
      </c>
      <c r="I165" s="6" t="s">
        <v>1789</v>
      </c>
      <c r="J165" s="7" t="s">
        <v>2</v>
      </c>
      <c r="K165" s="4" t="s">
        <v>10</v>
      </c>
      <c r="L165" s="4" t="s">
        <v>22</v>
      </c>
      <c r="M165" s="4" t="s">
        <v>4309</v>
      </c>
      <c r="N165" s="4" t="s">
        <v>2584</v>
      </c>
      <c r="O165" s="89"/>
      <c r="P165" s="25">
        <v>46048</v>
      </c>
      <c r="Q165" s="4" t="s">
        <v>78</v>
      </c>
      <c r="R165" s="4" t="s">
        <v>3261</v>
      </c>
      <c r="S165" s="6" t="s">
        <v>1795</v>
      </c>
      <c r="T165" s="4" t="s">
        <v>81</v>
      </c>
      <c r="U165" s="4"/>
      <c r="V165" s="4">
        <v>99</v>
      </c>
      <c r="W165" s="85">
        <v>46778</v>
      </c>
      <c r="X165" s="4" t="s">
        <v>3290</v>
      </c>
      <c r="Y165" s="4" t="s">
        <v>4050</v>
      </c>
      <c r="Z165" s="4" t="s">
        <v>4064</v>
      </c>
      <c r="AA165" s="4" t="s">
        <v>3168</v>
      </c>
      <c r="AB165" s="4" t="s">
        <v>4289</v>
      </c>
    </row>
    <row r="166" spans="1:28">
      <c r="A166" s="4">
        <v>165</v>
      </c>
      <c r="B166" s="5">
        <v>15143255</v>
      </c>
      <c r="C166" s="5">
        <v>205495602</v>
      </c>
      <c r="D166" s="115" t="s">
        <v>2574</v>
      </c>
      <c r="E166" s="4" t="s">
        <v>3797</v>
      </c>
      <c r="F166" s="7" t="s">
        <v>74</v>
      </c>
      <c r="G166" s="7" t="s">
        <v>76</v>
      </c>
      <c r="H166" s="7" t="s">
        <v>88</v>
      </c>
      <c r="I166" s="7" t="s">
        <v>1789</v>
      </c>
      <c r="J166" s="7" t="s">
        <v>2</v>
      </c>
      <c r="K166" s="4" t="s">
        <v>10</v>
      </c>
      <c r="L166" s="4" t="s">
        <v>23</v>
      </c>
      <c r="M166" s="4" t="s">
        <v>4309</v>
      </c>
      <c r="N166" s="4" t="s">
        <v>2584</v>
      </c>
      <c r="O166" s="89"/>
      <c r="P166" s="25">
        <v>45831</v>
      </c>
      <c r="Q166" s="4" t="s">
        <v>78</v>
      </c>
      <c r="R166" s="90" t="s">
        <v>2586</v>
      </c>
      <c r="S166" s="6" t="s">
        <v>1795</v>
      </c>
      <c r="T166" s="4" t="s">
        <v>81</v>
      </c>
      <c r="U166" s="4" t="s">
        <v>132</v>
      </c>
      <c r="V166" s="4">
        <v>99</v>
      </c>
      <c r="W166" s="85">
        <v>45887</v>
      </c>
      <c r="X166" s="4"/>
      <c r="Y166" s="4"/>
      <c r="Z166" s="4"/>
      <c r="AA166" s="4" t="s">
        <v>1204</v>
      </c>
      <c r="AB166" s="4" t="s">
        <v>4289</v>
      </c>
    </row>
    <row r="167" spans="1:28">
      <c r="A167" s="4">
        <v>166</v>
      </c>
      <c r="B167" s="5">
        <v>14209824</v>
      </c>
      <c r="C167" s="5">
        <v>204299909</v>
      </c>
      <c r="D167" s="115" t="s">
        <v>1739</v>
      </c>
      <c r="E167" s="4" t="s">
        <v>3798</v>
      </c>
      <c r="F167" s="7" t="s">
        <v>74</v>
      </c>
      <c r="G167" s="7" t="s">
        <v>88</v>
      </c>
      <c r="H167" s="7" t="s">
        <v>94</v>
      </c>
      <c r="I167" s="6" t="s">
        <v>1790</v>
      </c>
      <c r="J167" s="7" t="s">
        <v>2</v>
      </c>
      <c r="K167" s="4" t="s">
        <v>10</v>
      </c>
      <c r="L167" s="4" t="s">
        <v>27</v>
      </c>
      <c r="M167" s="4" t="s">
        <v>4309</v>
      </c>
      <c r="N167" s="4" t="s">
        <v>2584</v>
      </c>
      <c r="O167" s="89"/>
      <c r="P167" s="25">
        <v>45589</v>
      </c>
      <c r="Q167" s="4" t="s">
        <v>78</v>
      </c>
      <c r="R167" s="90" t="s">
        <v>3258</v>
      </c>
      <c r="S167" s="6" t="s">
        <v>1795</v>
      </c>
      <c r="T167" s="4" t="s">
        <v>81</v>
      </c>
      <c r="U167" s="4" t="s">
        <v>3263</v>
      </c>
      <c r="V167" s="4">
        <v>99</v>
      </c>
      <c r="W167" s="85">
        <v>46319</v>
      </c>
      <c r="X167" s="4" t="s">
        <v>3694</v>
      </c>
      <c r="Y167" s="4">
        <v>564239883</v>
      </c>
      <c r="Z167" s="4" t="s">
        <v>1856</v>
      </c>
      <c r="AA167" s="4" t="s">
        <v>85</v>
      </c>
      <c r="AB167" s="4" t="s">
        <v>4289</v>
      </c>
    </row>
    <row r="168" spans="1:28">
      <c r="A168" s="4">
        <v>167</v>
      </c>
      <c r="B168" s="5">
        <v>13963860</v>
      </c>
      <c r="C168" s="5">
        <v>203850935</v>
      </c>
      <c r="D168" s="115" t="s">
        <v>816</v>
      </c>
      <c r="E168" s="4" t="s">
        <v>3799</v>
      </c>
      <c r="F168" s="7" t="s">
        <v>74</v>
      </c>
      <c r="G168" s="7" t="s">
        <v>88</v>
      </c>
      <c r="H168" s="7" t="s">
        <v>94</v>
      </c>
      <c r="I168" s="6" t="s">
        <v>1788</v>
      </c>
      <c r="J168" s="7" t="s">
        <v>2</v>
      </c>
      <c r="K168" s="4" t="s">
        <v>10</v>
      </c>
      <c r="L168" s="4" t="s">
        <v>24</v>
      </c>
      <c r="M168" s="4" t="s">
        <v>4309</v>
      </c>
      <c r="N168" s="4" t="s">
        <v>2584</v>
      </c>
      <c r="O168" s="89"/>
      <c r="P168" s="25">
        <v>45524</v>
      </c>
      <c r="Q168" s="4" t="s">
        <v>78</v>
      </c>
      <c r="R168" s="90" t="s">
        <v>2586</v>
      </c>
      <c r="S168" s="6" t="s">
        <v>1795</v>
      </c>
      <c r="T168" s="4" t="s">
        <v>92</v>
      </c>
      <c r="U168" s="4" t="s">
        <v>349</v>
      </c>
      <c r="V168" s="4">
        <v>99</v>
      </c>
      <c r="W168" s="85">
        <v>45889</v>
      </c>
      <c r="X168" s="4" t="s">
        <v>3694</v>
      </c>
      <c r="Y168" s="4">
        <v>561508184</v>
      </c>
      <c r="Z168" s="4" t="s">
        <v>1857</v>
      </c>
      <c r="AA168" s="4" t="s">
        <v>1198</v>
      </c>
      <c r="AB168" s="4" t="s">
        <v>4289</v>
      </c>
    </row>
    <row r="169" spans="1:28">
      <c r="A169" s="4">
        <v>168</v>
      </c>
      <c r="B169" s="5">
        <v>12937570</v>
      </c>
      <c r="C169" s="5">
        <v>203679325</v>
      </c>
      <c r="D169" s="115" t="s">
        <v>242</v>
      </c>
      <c r="E169" s="4" t="s">
        <v>3800</v>
      </c>
      <c r="F169" s="7" t="s">
        <v>74</v>
      </c>
      <c r="G169" s="7" t="s">
        <v>89</v>
      </c>
      <c r="H169" s="7" t="s">
        <v>90</v>
      </c>
      <c r="I169" s="6" t="s">
        <v>1788</v>
      </c>
      <c r="J169" s="7" t="s">
        <v>2</v>
      </c>
      <c r="K169" s="4" t="s">
        <v>10</v>
      </c>
      <c r="L169" s="4" t="s">
        <v>24</v>
      </c>
      <c r="M169" s="4" t="s">
        <v>4309</v>
      </c>
      <c r="N169" s="4" t="s">
        <v>2583</v>
      </c>
      <c r="O169" s="89"/>
      <c r="P169" s="25">
        <v>45488</v>
      </c>
      <c r="Q169" s="4" t="s">
        <v>78</v>
      </c>
      <c r="R169" s="90" t="s">
        <v>2586</v>
      </c>
      <c r="S169" s="6" t="s">
        <v>1795</v>
      </c>
      <c r="T169" s="4" t="s">
        <v>81</v>
      </c>
      <c r="U169" s="4" t="s">
        <v>112</v>
      </c>
      <c r="V169" s="4">
        <v>99</v>
      </c>
      <c r="W169" s="85">
        <v>45853</v>
      </c>
      <c r="X169" s="4" t="s">
        <v>1197</v>
      </c>
      <c r="Y169" s="4">
        <v>551250860</v>
      </c>
      <c r="Z169" s="4" t="s">
        <v>1858</v>
      </c>
      <c r="AA169" s="4" t="s">
        <v>85</v>
      </c>
      <c r="AB169" s="4" t="s">
        <v>4289</v>
      </c>
    </row>
    <row r="170" spans="1:28">
      <c r="A170" s="4">
        <v>169</v>
      </c>
      <c r="B170" s="5">
        <v>11545608</v>
      </c>
      <c r="C170" s="5">
        <v>202238249</v>
      </c>
      <c r="D170" s="115" t="s">
        <v>1690</v>
      </c>
      <c r="E170" s="4" t="s">
        <v>3801</v>
      </c>
      <c r="F170" s="7" t="s">
        <v>74</v>
      </c>
      <c r="G170" s="7" t="s">
        <v>94</v>
      </c>
      <c r="H170" s="7" t="s">
        <v>89</v>
      </c>
      <c r="I170" s="6" t="s">
        <v>1790</v>
      </c>
      <c r="J170" s="7" t="s">
        <v>2</v>
      </c>
      <c r="K170" s="4" t="s">
        <v>10</v>
      </c>
      <c r="L170" s="4" t="s">
        <v>27</v>
      </c>
      <c r="M170" s="4" t="s">
        <v>4309</v>
      </c>
      <c r="N170" s="4" t="s">
        <v>2584</v>
      </c>
      <c r="O170" s="89"/>
      <c r="P170" s="25">
        <v>45586</v>
      </c>
      <c r="Q170" s="4" t="s">
        <v>78</v>
      </c>
      <c r="R170" s="90" t="s">
        <v>3262</v>
      </c>
      <c r="S170" s="6" t="s">
        <v>1795</v>
      </c>
      <c r="T170" s="4" t="s">
        <v>81</v>
      </c>
      <c r="U170" s="4" t="s">
        <v>3263</v>
      </c>
      <c r="V170" s="4">
        <v>99</v>
      </c>
      <c r="W170" s="85">
        <v>46316</v>
      </c>
      <c r="X170" s="4" t="s">
        <v>3694</v>
      </c>
      <c r="Y170" s="4">
        <v>564266279</v>
      </c>
      <c r="Z170" s="4" t="s">
        <v>1859</v>
      </c>
      <c r="AA170" s="4" t="s">
        <v>85</v>
      </c>
      <c r="AB170" s="4" t="s">
        <v>4289</v>
      </c>
    </row>
    <row r="171" spans="1:28">
      <c r="A171" s="4">
        <v>170</v>
      </c>
      <c r="B171" s="5">
        <v>12165376</v>
      </c>
      <c r="C171" s="5">
        <v>102207652</v>
      </c>
      <c r="D171" s="115" t="s">
        <v>128</v>
      </c>
      <c r="E171" s="4" t="s">
        <v>3802</v>
      </c>
      <c r="F171" s="7" t="s">
        <v>82</v>
      </c>
      <c r="G171" s="7" t="s">
        <v>75</v>
      </c>
      <c r="H171" s="7" t="s">
        <v>76</v>
      </c>
      <c r="I171" s="6" t="s">
        <v>119</v>
      </c>
      <c r="J171" s="7" t="s">
        <v>2</v>
      </c>
      <c r="K171" s="4" t="s">
        <v>10</v>
      </c>
      <c r="L171" s="4" t="s">
        <v>21</v>
      </c>
      <c r="M171" s="4" t="s">
        <v>4310</v>
      </c>
      <c r="N171" s="4" t="s">
        <v>2583</v>
      </c>
      <c r="O171" s="89"/>
      <c r="P171" s="25">
        <v>42868</v>
      </c>
      <c r="Q171" s="4" t="s">
        <v>78</v>
      </c>
      <c r="R171" s="90" t="s">
        <v>3257</v>
      </c>
      <c r="S171" s="6" t="s">
        <v>1795</v>
      </c>
      <c r="T171" s="4" t="s">
        <v>81</v>
      </c>
      <c r="U171" s="4" t="s">
        <v>112</v>
      </c>
      <c r="V171" s="4">
        <v>1</v>
      </c>
      <c r="W171" s="85"/>
      <c r="X171" s="4" t="s">
        <v>3473</v>
      </c>
      <c r="Y171" s="4">
        <v>502909988</v>
      </c>
      <c r="Z171" s="4" t="e">
        <v>#N/A</v>
      </c>
      <c r="AA171" s="4" t="s">
        <v>1194</v>
      </c>
      <c r="AB171" s="4" t="s">
        <v>4290</v>
      </c>
    </row>
    <row r="172" spans="1:28">
      <c r="A172" s="4">
        <v>171</v>
      </c>
      <c r="B172" s="5">
        <v>14067526</v>
      </c>
      <c r="C172" s="5">
        <v>203813085</v>
      </c>
      <c r="D172" s="115" t="s">
        <v>706</v>
      </c>
      <c r="E172" s="4" t="s">
        <v>3803</v>
      </c>
      <c r="F172" s="7" t="s">
        <v>74</v>
      </c>
      <c r="G172" s="7" t="s">
        <v>89</v>
      </c>
      <c r="H172" s="7" t="s">
        <v>90</v>
      </c>
      <c r="I172" s="6" t="s">
        <v>1790</v>
      </c>
      <c r="J172" s="7" t="s">
        <v>2</v>
      </c>
      <c r="K172" s="4" t="s">
        <v>10</v>
      </c>
      <c r="L172" s="4" t="s">
        <v>20</v>
      </c>
      <c r="M172" s="4" t="s">
        <v>4309</v>
      </c>
      <c r="N172" s="4" t="s">
        <v>2584</v>
      </c>
      <c r="O172" s="89"/>
      <c r="P172" s="25">
        <v>45517</v>
      </c>
      <c r="Q172" s="4" t="s">
        <v>78</v>
      </c>
      <c r="R172" s="90" t="s">
        <v>3261</v>
      </c>
      <c r="S172" s="6" t="s">
        <v>1795</v>
      </c>
      <c r="T172" s="4" t="s">
        <v>81</v>
      </c>
      <c r="U172" s="4" t="s">
        <v>103</v>
      </c>
      <c r="V172" s="4">
        <v>99</v>
      </c>
      <c r="W172" s="85">
        <v>46247</v>
      </c>
      <c r="X172" s="4" t="s">
        <v>3474</v>
      </c>
      <c r="Y172" s="4">
        <v>547140955</v>
      </c>
      <c r="Z172" s="4" t="s">
        <v>1860</v>
      </c>
      <c r="AA172" s="4" t="s">
        <v>1194</v>
      </c>
      <c r="AB172" s="4" t="s">
        <v>4289</v>
      </c>
    </row>
    <row r="173" spans="1:28">
      <c r="A173" s="4">
        <v>172</v>
      </c>
      <c r="B173" s="95">
        <v>11201867</v>
      </c>
      <c r="C173" s="5">
        <v>206875145</v>
      </c>
      <c r="D173" s="115" t="s">
        <v>3430</v>
      </c>
      <c r="E173" s="4" t="s">
        <v>3390</v>
      </c>
      <c r="F173" s="7" t="s">
        <v>74</v>
      </c>
      <c r="G173" s="7" t="s">
        <v>89</v>
      </c>
      <c r="H173" s="7" t="s">
        <v>90</v>
      </c>
      <c r="I173" s="7" t="s">
        <v>1789</v>
      </c>
      <c r="J173" s="6" t="s">
        <v>2</v>
      </c>
      <c r="K173" s="6" t="s">
        <v>10</v>
      </c>
      <c r="L173" s="4" t="s">
        <v>22</v>
      </c>
      <c r="M173" s="4" t="s">
        <v>4309</v>
      </c>
      <c r="N173" s="4" t="s">
        <v>2584</v>
      </c>
      <c r="O173" s="89"/>
      <c r="P173" s="25">
        <v>46020</v>
      </c>
      <c r="Q173" s="4" t="s">
        <v>78</v>
      </c>
      <c r="R173" s="4" t="s">
        <v>3264</v>
      </c>
      <c r="S173" s="6" t="s">
        <v>3478</v>
      </c>
      <c r="T173" s="4" t="s">
        <v>81</v>
      </c>
      <c r="U173" s="4"/>
      <c r="V173" s="4">
        <v>99</v>
      </c>
      <c r="W173" s="4"/>
      <c r="X173" s="4" t="s">
        <v>3290</v>
      </c>
      <c r="Y173" s="95">
        <v>589796545</v>
      </c>
      <c r="Z173" s="4" t="s">
        <v>3463</v>
      </c>
      <c r="AA173" s="4" t="s">
        <v>3016</v>
      </c>
      <c r="AB173" s="4">
        <v>0</v>
      </c>
    </row>
    <row r="174" spans="1:28">
      <c r="A174" s="4">
        <v>173</v>
      </c>
      <c r="B174" s="5">
        <v>12542093</v>
      </c>
      <c r="C174" s="5">
        <v>206136724</v>
      </c>
      <c r="D174" s="115" t="s">
        <v>2991</v>
      </c>
      <c r="E174" s="4" t="s">
        <v>3804</v>
      </c>
      <c r="F174" s="7" t="s">
        <v>74</v>
      </c>
      <c r="G174" s="7" t="s">
        <v>89</v>
      </c>
      <c r="H174" s="7" t="s">
        <v>90</v>
      </c>
      <c r="I174" s="7" t="s">
        <v>1789</v>
      </c>
      <c r="J174" s="7" t="s">
        <v>2</v>
      </c>
      <c r="K174" s="4" t="s">
        <v>10</v>
      </c>
      <c r="L174" s="4" t="s">
        <v>24</v>
      </c>
      <c r="M174" s="4" t="s">
        <v>4309</v>
      </c>
      <c r="N174" s="4"/>
      <c r="O174" s="89"/>
      <c r="P174" s="25">
        <v>45932</v>
      </c>
      <c r="Q174" s="4" t="s">
        <v>78</v>
      </c>
      <c r="R174" s="4" t="s">
        <v>3261</v>
      </c>
      <c r="S174" s="6" t="s">
        <v>1795</v>
      </c>
      <c r="T174" s="4" t="s">
        <v>81</v>
      </c>
      <c r="U174" s="4" t="s">
        <v>349</v>
      </c>
      <c r="V174" s="4">
        <v>99</v>
      </c>
      <c r="W174" s="85">
        <v>45992</v>
      </c>
      <c r="X174" s="4"/>
      <c r="Y174" s="4"/>
      <c r="Z174" s="4"/>
      <c r="AA174" s="4" t="s">
        <v>85</v>
      </c>
      <c r="AB174" s="4" t="s">
        <v>4290</v>
      </c>
    </row>
    <row r="175" spans="1:28">
      <c r="A175" s="4">
        <v>174</v>
      </c>
      <c r="B175" s="5">
        <v>12334447</v>
      </c>
      <c r="C175" s="5">
        <v>204329123</v>
      </c>
      <c r="D175" s="115" t="s">
        <v>1745</v>
      </c>
      <c r="E175" s="4" t="s">
        <v>3805</v>
      </c>
      <c r="F175" s="7" t="s">
        <v>82</v>
      </c>
      <c r="G175" s="7" t="s">
        <v>88</v>
      </c>
      <c r="H175" s="7" t="s">
        <v>94</v>
      </c>
      <c r="I175" s="6" t="s">
        <v>1790</v>
      </c>
      <c r="J175" s="7" t="s">
        <v>2</v>
      </c>
      <c r="K175" s="4" t="s">
        <v>10</v>
      </c>
      <c r="L175" s="4" t="s">
        <v>27</v>
      </c>
      <c r="M175" s="4" t="s">
        <v>4309</v>
      </c>
      <c r="N175" s="4" t="s">
        <v>2584</v>
      </c>
      <c r="O175" s="89"/>
      <c r="P175" s="25">
        <v>45589</v>
      </c>
      <c r="Q175" s="4" t="s">
        <v>78</v>
      </c>
      <c r="R175" s="90" t="s">
        <v>3258</v>
      </c>
      <c r="S175" s="6" t="s">
        <v>1795</v>
      </c>
      <c r="T175" s="4" t="s">
        <v>81</v>
      </c>
      <c r="U175" s="4" t="s">
        <v>107</v>
      </c>
      <c r="V175" s="4">
        <v>99</v>
      </c>
      <c r="W175" s="85">
        <v>46319</v>
      </c>
      <c r="X175" s="4" t="s">
        <v>3690</v>
      </c>
      <c r="Y175" s="4">
        <v>557880795</v>
      </c>
      <c r="Z175" s="4" t="s">
        <v>1861</v>
      </c>
      <c r="AA175" s="4" t="s">
        <v>85</v>
      </c>
      <c r="AB175" s="4" t="s">
        <v>4289</v>
      </c>
    </row>
    <row r="176" spans="1:28">
      <c r="A176" s="4">
        <v>175</v>
      </c>
      <c r="B176" s="5">
        <v>13757502</v>
      </c>
      <c r="C176" s="5">
        <v>206851163</v>
      </c>
      <c r="D176" s="115" t="s">
        <v>3398</v>
      </c>
      <c r="E176" s="4" t="s">
        <v>3399</v>
      </c>
      <c r="F176" s="7" t="s">
        <v>74</v>
      </c>
      <c r="G176" s="7" t="s">
        <v>87</v>
      </c>
      <c r="H176" s="7" t="s">
        <v>75</v>
      </c>
      <c r="I176" s="7" t="s">
        <v>1789</v>
      </c>
      <c r="J176" s="6" t="s">
        <v>2</v>
      </c>
      <c r="K176" s="6" t="s">
        <v>10</v>
      </c>
      <c r="L176" s="4" t="s">
        <v>22</v>
      </c>
      <c r="M176" s="4" t="s">
        <v>4309</v>
      </c>
      <c r="N176" s="4" t="s">
        <v>2584</v>
      </c>
      <c r="O176" s="89"/>
      <c r="P176" s="25">
        <v>46020</v>
      </c>
      <c r="Q176" s="4" t="s">
        <v>78</v>
      </c>
      <c r="R176" s="4" t="s">
        <v>3261</v>
      </c>
      <c r="S176" s="6" t="s">
        <v>3478</v>
      </c>
      <c r="T176" s="4" t="s">
        <v>81</v>
      </c>
      <c r="U176" s="4"/>
      <c r="V176" s="4">
        <v>99</v>
      </c>
      <c r="W176" s="4"/>
      <c r="X176" s="4" t="s">
        <v>3290</v>
      </c>
      <c r="Y176" s="95">
        <v>540921680</v>
      </c>
      <c r="Z176" s="4" t="s">
        <v>3469</v>
      </c>
      <c r="AA176" s="4" t="s">
        <v>3016</v>
      </c>
      <c r="AB176" s="4" t="s">
        <v>4289</v>
      </c>
    </row>
    <row r="177" spans="1:28">
      <c r="A177" s="4">
        <v>176</v>
      </c>
      <c r="B177" s="5">
        <v>12661418</v>
      </c>
      <c r="C177" s="5">
        <v>203469083</v>
      </c>
      <c r="D177" s="115" t="s">
        <v>168</v>
      </c>
      <c r="E177" s="4" t="s">
        <v>3806</v>
      </c>
      <c r="F177" s="7" t="s">
        <v>82</v>
      </c>
      <c r="G177" s="7" t="s">
        <v>76</v>
      </c>
      <c r="H177" s="7" t="s">
        <v>88</v>
      </c>
      <c r="I177" s="6" t="s">
        <v>1788</v>
      </c>
      <c r="J177" s="7" t="s">
        <v>2</v>
      </c>
      <c r="K177" s="4" t="s">
        <v>10</v>
      </c>
      <c r="L177" s="4" t="s">
        <v>24</v>
      </c>
      <c r="M177" s="4" t="s">
        <v>4309</v>
      </c>
      <c r="N177" s="4" t="s">
        <v>2583</v>
      </c>
      <c r="O177" s="89"/>
      <c r="P177" s="25">
        <v>45456</v>
      </c>
      <c r="Q177" s="4" t="s">
        <v>78</v>
      </c>
      <c r="R177" s="90" t="s">
        <v>3252</v>
      </c>
      <c r="S177" s="6" t="s">
        <v>1795</v>
      </c>
      <c r="T177" s="4" t="s">
        <v>81</v>
      </c>
      <c r="U177" s="4" t="s">
        <v>103</v>
      </c>
      <c r="V177" s="4">
        <v>99</v>
      </c>
      <c r="W177" s="85">
        <v>45821</v>
      </c>
      <c r="X177" s="4" t="s">
        <v>3688</v>
      </c>
      <c r="Y177" s="4">
        <v>555606981</v>
      </c>
      <c r="Z177" s="4" t="s">
        <v>1862</v>
      </c>
      <c r="AA177" s="4" t="s">
        <v>85</v>
      </c>
      <c r="AB177" s="4" t="s">
        <v>4289</v>
      </c>
    </row>
    <row r="178" spans="1:28">
      <c r="A178" s="4">
        <v>177</v>
      </c>
      <c r="B178" s="5">
        <v>11475348</v>
      </c>
      <c r="C178" s="5">
        <v>203679326</v>
      </c>
      <c r="D178" s="115" t="s">
        <v>243</v>
      </c>
      <c r="E178" s="4" t="s">
        <v>3807</v>
      </c>
      <c r="F178" s="7" t="s">
        <v>74</v>
      </c>
      <c r="G178" s="7" t="s">
        <v>88</v>
      </c>
      <c r="H178" s="7" t="s">
        <v>94</v>
      </c>
      <c r="I178" s="6" t="s">
        <v>1788</v>
      </c>
      <c r="J178" s="7" t="s">
        <v>2</v>
      </c>
      <c r="K178" s="4" t="s">
        <v>10</v>
      </c>
      <c r="L178" s="4" t="s">
        <v>24</v>
      </c>
      <c r="M178" s="4" t="s">
        <v>4309</v>
      </c>
      <c r="N178" s="4" t="s">
        <v>2584</v>
      </c>
      <c r="O178" s="89"/>
      <c r="P178" s="25">
        <v>45488</v>
      </c>
      <c r="Q178" s="4" t="s">
        <v>78</v>
      </c>
      <c r="R178" s="90" t="s">
        <v>3256</v>
      </c>
      <c r="S178" s="6" t="s">
        <v>1795</v>
      </c>
      <c r="T178" s="4" t="s">
        <v>92</v>
      </c>
      <c r="U178" s="4" t="s">
        <v>103</v>
      </c>
      <c r="V178" s="4">
        <v>99</v>
      </c>
      <c r="W178" s="85">
        <v>45853</v>
      </c>
      <c r="X178" s="4" t="s">
        <v>3688</v>
      </c>
      <c r="Y178" s="4">
        <v>561905956</v>
      </c>
      <c r="Z178" s="4" t="s">
        <v>1863</v>
      </c>
      <c r="AA178" s="4" t="s">
        <v>85</v>
      </c>
      <c r="AB178" s="4" t="s">
        <v>4289</v>
      </c>
    </row>
    <row r="179" spans="1:28" ht="14.5" customHeight="1">
      <c r="A179" s="4">
        <v>178</v>
      </c>
      <c r="B179" s="5">
        <v>12883729</v>
      </c>
      <c r="C179" s="5">
        <v>205301874</v>
      </c>
      <c r="D179" s="115" t="s">
        <v>3125</v>
      </c>
      <c r="E179" s="4" t="s">
        <v>3808</v>
      </c>
      <c r="F179" s="7" t="s">
        <v>74</v>
      </c>
      <c r="G179" s="7" t="s">
        <v>88</v>
      </c>
      <c r="H179" s="7" t="s">
        <v>94</v>
      </c>
      <c r="I179" s="7" t="s">
        <v>1789</v>
      </c>
      <c r="J179" s="7" t="s">
        <v>2</v>
      </c>
      <c r="K179" s="4" t="s">
        <v>10</v>
      </c>
      <c r="L179" s="4" t="s">
        <v>23</v>
      </c>
      <c r="M179" s="4" t="s">
        <v>4309</v>
      </c>
      <c r="N179" s="4"/>
      <c r="O179" s="89"/>
      <c r="P179" s="25">
        <v>45950</v>
      </c>
      <c r="Q179" s="4" t="s">
        <v>78</v>
      </c>
      <c r="R179" s="90" t="s">
        <v>3256</v>
      </c>
      <c r="S179" s="6" t="s">
        <v>1795</v>
      </c>
      <c r="T179" s="4" t="s">
        <v>92</v>
      </c>
      <c r="U179" s="4" t="s">
        <v>349</v>
      </c>
      <c r="V179" s="4">
        <v>99</v>
      </c>
      <c r="W179" s="85"/>
      <c r="X179" s="4"/>
      <c r="Y179" s="4"/>
      <c r="Z179" s="4"/>
      <c r="AA179" s="4" t="s">
        <v>1202</v>
      </c>
      <c r="AB179" s="4" t="s">
        <v>4289</v>
      </c>
    </row>
    <row r="180" spans="1:28">
      <c r="A180" s="4">
        <v>179</v>
      </c>
      <c r="B180" s="5">
        <v>13329728</v>
      </c>
      <c r="C180" s="5">
        <v>206008708</v>
      </c>
      <c r="D180" s="115" t="s">
        <v>2834</v>
      </c>
      <c r="E180" s="4" t="s">
        <v>3809</v>
      </c>
      <c r="F180" s="7" t="s">
        <v>74</v>
      </c>
      <c r="G180" s="7" t="s">
        <v>88</v>
      </c>
      <c r="H180" s="7" t="s">
        <v>94</v>
      </c>
      <c r="I180" s="7" t="s">
        <v>1789</v>
      </c>
      <c r="J180" s="7" t="s">
        <v>2</v>
      </c>
      <c r="K180" s="4" t="s">
        <v>10</v>
      </c>
      <c r="L180" s="4" t="s">
        <v>24</v>
      </c>
      <c r="M180" s="4" t="s">
        <v>4309</v>
      </c>
      <c r="N180" s="4"/>
      <c r="O180" s="89"/>
      <c r="P180" s="25">
        <v>45915</v>
      </c>
      <c r="Q180" s="4" t="s">
        <v>78</v>
      </c>
      <c r="R180" s="90" t="s">
        <v>3252</v>
      </c>
      <c r="S180" s="6" t="s">
        <v>1795</v>
      </c>
      <c r="T180" s="4" t="s">
        <v>81</v>
      </c>
      <c r="U180" s="4" t="s">
        <v>112</v>
      </c>
      <c r="V180" s="4">
        <v>99</v>
      </c>
      <c r="W180" s="85"/>
      <c r="X180" s="4"/>
      <c r="Y180" s="4"/>
      <c r="Z180" s="4"/>
      <c r="AA180" s="4" t="s">
        <v>85</v>
      </c>
      <c r="AB180" s="4" t="s">
        <v>4290</v>
      </c>
    </row>
    <row r="181" spans="1:28">
      <c r="A181" s="4">
        <v>180</v>
      </c>
      <c r="B181" s="95">
        <v>11595541</v>
      </c>
      <c r="C181" s="5">
        <v>206873881</v>
      </c>
      <c r="D181" s="115" t="s">
        <v>3425</v>
      </c>
      <c r="E181" s="4" t="s">
        <v>3379</v>
      </c>
      <c r="F181" s="7" t="s">
        <v>74</v>
      </c>
      <c r="G181" s="7" t="s">
        <v>88</v>
      </c>
      <c r="H181" s="7" t="s">
        <v>94</v>
      </c>
      <c r="I181" s="7" t="s">
        <v>1789</v>
      </c>
      <c r="J181" s="6" t="s">
        <v>2</v>
      </c>
      <c r="K181" s="6" t="s">
        <v>10</v>
      </c>
      <c r="L181" s="4" t="s">
        <v>22</v>
      </c>
      <c r="M181" s="4" t="s">
        <v>4309</v>
      </c>
      <c r="N181" s="4" t="s">
        <v>2584</v>
      </c>
      <c r="O181" s="89"/>
      <c r="P181" s="25">
        <v>46020</v>
      </c>
      <c r="Q181" s="4" t="s">
        <v>78</v>
      </c>
      <c r="R181" s="90" t="s">
        <v>2586</v>
      </c>
      <c r="S181" s="6" t="s">
        <v>3478</v>
      </c>
      <c r="T181" s="4" t="s">
        <v>81</v>
      </c>
      <c r="U181" s="4"/>
      <c r="V181" s="4">
        <v>99</v>
      </c>
      <c r="W181" s="4"/>
      <c r="X181" s="4" t="s">
        <v>3290</v>
      </c>
      <c r="Y181" s="95">
        <v>56583352</v>
      </c>
      <c r="Z181" s="4" t="s">
        <v>3455</v>
      </c>
      <c r="AA181" s="4" t="s">
        <v>3016</v>
      </c>
      <c r="AB181" s="4" t="s">
        <v>4290</v>
      </c>
    </row>
    <row r="182" spans="1:28">
      <c r="A182" s="4">
        <v>181</v>
      </c>
      <c r="B182" s="5">
        <v>11507887</v>
      </c>
      <c r="C182" s="5">
        <v>206175107</v>
      </c>
      <c r="D182" s="115" t="s">
        <v>2992</v>
      </c>
      <c r="E182" s="4" t="s">
        <v>3811</v>
      </c>
      <c r="F182" s="7" t="s">
        <v>74</v>
      </c>
      <c r="G182" s="7" t="s">
        <v>88</v>
      </c>
      <c r="H182" s="7" t="s">
        <v>94</v>
      </c>
      <c r="I182" s="7" t="s">
        <v>1789</v>
      </c>
      <c r="J182" s="7" t="s">
        <v>2</v>
      </c>
      <c r="K182" s="4" t="s">
        <v>10</v>
      </c>
      <c r="L182" s="4" t="s">
        <v>24</v>
      </c>
      <c r="M182" s="4" t="s">
        <v>4309</v>
      </c>
      <c r="N182" s="4"/>
      <c r="O182" s="89"/>
      <c r="P182" s="25">
        <v>45932</v>
      </c>
      <c r="Q182" s="4" t="s">
        <v>78</v>
      </c>
      <c r="R182" s="4" t="s">
        <v>3260</v>
      </c>
      <c r="S182" s="6" t="s">
        <v>1795</v>
      </c>
      <c r="T182" s="4" t="s">
        <v>81</v>
      </c>
      <c r="U182" s="4" t="s">
        <v>349</v>
      </c>
      <c r="V182" s="4">
        <v>99</v>
      </c>
      <c r="W182" s="85">
        <v>45992</v>
      </c>
      <c r="X182" s="4"/>
      <c r="Y182" s="4"/>
      <c r="Z182" s="4"/>
      <c r="AA182" s="4" t="s">
        <v>1204</v>
      </c>
      <c r="AB182" s="4" t="s">
        <v>4289</v>
      </c>
    </row>
    <row r="183" spans="1:28">
      <c r="A183" s="4">
        <v>182</v>
      </c>
      <c r="B183" s="5">
        <v>14973812</v>
      </c>
      <c r="C183" s="5">
        <v>203469455</v>
      </c>
      <c r="D183" s="115" t="s">
        <v>104</v>
      </c>
      <c r="E183" s="4" t="s">
        <v>3812</v>
      </c>
      <c r="F183" s="7" t="s">
        <v>82</v>
      </c>
      <c r="G183" s="7" t="s">
        <v>87</v>
      </c>
      <c r="H183" s="7" t="s">
        <v>75</v>
      </c>
      <c r="I183" s="6" t="s">
        <v>1790</v>
      </c>
      <c r="J183" s="7" t="s">
        <v>2</v>
      </c>
      <c r="K183" s="4" t="s">
        <v>10</v>
      </c>
      <c r="L183" s="4" t="s">
        <v>20</v>
      </c>
      <c r="M183" s="4" t="s">
        <v>4309</v>
      </c>
      <c r="N183" s="4" t="s">
        <v>2584</v>
      </c>
      <c r="O183" s="89"/>
      <c r="P183" s="25">
        <v>45456</v>
      </c>
      <c r="Q183" s="4" t="s">
        <v>78</v>
      </c>
      <c r="R183" s="90" t="s">
        <v>3258</v>
      </c>
      <c r="S183" s="6" t="s">
        <v>1795</v>
      </c>
      <c r="T183" s="4" t="s">
        <v>92</v>
      </c>
      <c r="U183" s="4" t="s">
        <v>107</v>
      </c>
      <c r="V183" s="4">
        <v>99</v>
      </c>
      <c r="W183" s="85">
        <v>46186</v>
      </c>
      <c r="X183" s="4" t="s">
        <v>1213</v>
      </c>
      <c r="Y183" s="4">
        <v>558956509</v>
      </c>
      <c r="Z183" s="4" t="s">
        <v>1864</v>
      </c>
      <c r="AA183" s="4" t="s">
        <v>95</v>
      </c>
      <c r="AB183" s="4" t="s">
        <v>4289</v>
      </c>
    </row>
    <row r="184" spans="1:28">
      <c r="A184" s="4">
        <v>183</v>
      </c>
      <c r="B184" s="5">
        <v>12389950</v>
      </c>
      <c r="C184" s="5">
        <v>203813088</v>
      </c>
      <c r="D184" s="115" t="s">
        <v>707</v>
      </c>
      <c r="E184" s="4" t="s">
        <v>3813</v>
      </c>
      <c r="F184" s="7" t="s">
        <v>82</v>
      </c>
      <c r="G184" s="7" t="s">
        <v>89</v>
      </c>
      <c r="H184" s="7" t="s">
        <v>90</v>
      </c>
      <c r="I184" s="6" t="s">
        <v>1790</v>
      </c>
      <c r="J184" s="7" t="s">
        <v>2</v>
      </c>
      <c r="K184" s="4" t="s">
        <v>10</v>
      </c>
      <c r="L184" s="4" t="s">
        <v>20</v>
      </c>
      <c r="M184" s="4" t="s">
        <v>4309</v>
      </c>
      <c r="N184" s="4" t="s">
        <v>2584</v>
      </c>
      <c r="O184" s="89"/>
      <c r="P184" s="25">
        <v>45517</v>
      </c>
      <c r="Q184" s="4" t="s">
        <v>78</v>
      </c>
      <c r="R184" s="90" t="s">
        <v>3261</v>
      </c>
      <c r="S184" s="6" t="s">
        <v>1795</v>
      </c>
      <c r="T184" s="4" t="s">
        <v>81</v>
      </c>
      <c r="U184" s="4" t="s">
        <v>349</v>
      </c>
      <c r="V184" s="4">
        <v>99</v>
      </c>
      <c r="W184" s="85">
        <v>46247</v>
      </c>
      <c r="X184" s="4" t="s">
        <v>3688</v>
      </c>
      <c r="Y184" s="4">
        <v>543770163</v>
      </c>
      <c r="Z184" s="4" t="s">
        <v>1865</v>
      </c>
      <c r="AA184" s="4" t="s">
        <v>1194</v>
      </c>
      <c r="AB184" s="4" t="s">
        <v>4289</v>
      </c>
    </row>
    <row r="185" spans="1:28">
      <c r="A185" s="4">
        <v>184</v>
      </c>
      <c r="B185" s="5">
        <v>14394292</v>
      </c>
      <c r="C185" s="5">
        <v>204072320</v>
      </c>
      <c r="D185" s="115" t="s">
        <v>1469</v>
      </c>
      <c r="E185" s="4" t="s">
        <v>3814</v>
      </c>
      <c r="F185" s="7" t="s">
        <v>82</v>
      </c>
      <c r="G185" s="7" t="s">
        <v>87</v>
      </c>
      <c r="H185" s="7" t="s">
        <v>75</v>
      </c>
      <c r="I185" s="7" t="s">
        <v>1789</v>
      </c>
      <c r="J185" s="7" t="s">
        <v>2</v>
      </c>
      <c r="K185" s="4" t="s">
        <v>10</v>
      </c>
      <c r="L185" s="4" t="s">
        <v>22</v>
      </c>
      <c r="M185" s="4" t="s">
        <v>4309</v>
      </c>
      <c r="N185" s="4" t="s">
        <v>2584</v>
      </c>
      <c r="O185" s="89"/>
      <c r="P185" s="25">
        <v>45684</v>
      </c>
      <c r="Q185" s="4" t="s">
        <v>78</v>
      </c>
      <c r="R185" s="90" t="s">
        <v>3258</v>
      </c>
      <c r="S185" s="6" t="s">
        <v>1795</v>
      </c>
      <c r="T185" s="4" t="s">
        <v>81</v>
      </c>
      <c r="U185" s="4" t="s">
        <v>349</v>
      </c>
      <c r="V185" s="4">
        <v>99</v>
      </c>
      <c r="W185" s="85">
        <v>45740</v>
      </c>
      <c r="X185" s="4" t="s">
        <v>3689</v>
      </c>
      <c r="Y185" s="4"/>
      <c r="Z185" s="4"/>
      <c r="AA185" s="4" t="s">
        <v>3815</v>
      </c>
      <c r="AB185" s="4" t="s">
        <v>4289</v>
      </c>
    </row>
    <row r="186" spans="1:28">
      <c r="A186" s="4">
        <v>185</v>
      </c>
      <c r="B186" s="5">
        <v>235746</v>
      </c>
      <c r="C186" s="5">
        <v>204299908</v>
      </c>
      <c r="D186" s="115" t="s">
        <v>1740</v>
      </c>
      <c r="E186" s="4" t="s">
        <v>3816</v>
      </c>
      <c r="F186" s="7" t="s">
        <v>82</v>
      </c>
      <c r="G186" s="7" t="s">
        <v>88</v>
      </c>
      <c r="H186" s="7" t="s">
        <v>94</v>
      </c>
      <c r="I186" s="6" t="s">
        <v>1790</v>
      </c>
      <c r="J186" s="7" t="s">
        <v>2</v>
      </c>
      <c r="K186" s="4" t="s">
        <v>10</v>
      </c>
      <c r="L186" s="4" t="s">
        <v>27</v>
      </c>
      <c r="M186" s="4" t="s">
        <v>4309</v>
      </c>
      <c r="N186" s="4" t="s">
        <v>2584</v>
      </c>
      <c r="O186" s="89"/>
      <c r="P186" s="25">
        <v>45589</v>
      </c>
      <c r="Q186" s="4" t="s">
        <v>78</v>
      </c>
      <c r="R186" s="90" t="s">
        <v>3253</v>
      </c>
      <c r="S186" s="6" t="s">
        <v>1795</v>
      </c>
      <c r="T186" s="4" t="s">
        <v>81</v>
      </c>
      <c r="U186" s="4" t="s">
        <v>112</v>
      </c>
      <c r="V186" s="4">
        <v>99</v>
      </c>
      <c r="W186" s="85">
        <v>46319</v>
      </c>
      <c r="X186" s="4" t="s">
        <v>3492</v>
      </c>
      <c r="Y186" s="4">
        <v>503605264</v>
      </c>
      <c r="Z186" s="4" t="s">
        <v>1866</v>
      </c>
      <c r="AA186" s="4" t="s">
        <v>1198</v>
      </c>
      <c r="AB186" s="4" t="s">
        <v>4289</v>
      </c>
    </row>
    <row r="187" spans="1:28">
      <c r="A187" s="4">
        <v>186</v>
      </c>
      <c r="B187" s="5">
        <v>11749291</v>
      </c>
      <c r="C187" s="5">
        <v>205647585</v>
      </c>
      <c r="D187" s="115" t="s">
        <v>2638</v>
      </c>
      <c r="E187" s="4" t="s">
        <v>3817</v>
      </c>
      <c r="F187" s="7" t="s">
        <v>74</v>
      </c>
      <c r="G187" s="7" t="s">
        <v>76</v>
      </c>
      <c r="H187" s="7" t="s">
        <v>88</v>
      </c>
      <c r="I187" s="7" t="s">
        <v>1789</v>
      </c>
      <c r="J187" s="7" t="s">
        <v>2</v>
      </c>
      <c r="K187" s="4" t="s">
        <v>10</v>
      </c>
      <c r="L187" s="4" t="s">
        <v>23</v>
      </c>
      <c r="M187" s="4" t="s">
        <v>4309</v>
      </c>
      <c r="N187" s="4" t="s">
        <v>2584</v>
      </c>
      <c r="O187" s="89"/>
      <c r="P187" s="25">
        <v>45852</v>
      </c>
      <c r="Q187" s="4" t="s">
        <v>78</v>
      </c>
      <c r="R187" s="90" t="s">
        <v>3257</v>
      </c>
      <c r="S187" s="6" t="s">
        <v>1795</v>
      </c>
      <c r="T187" s="4" t="s">
        <v>81</v>
      </c>
      <c r="U187" s="4" t="s">
        <v>349</v>
      </c>
      <c r="V187" s="4">
        <v>99</v>
      </c>
      <c r="W187" s="85">
        <v>45908</v>
      </c>
      <c r="X187" s="4"/>
      <c r="Y187" s="4">
        <v>554547916</v>
      </c>
      <c r="Z187" s="4" t="s">
        <v>2629</v>
      </c>
      <c r="AA187" s="4" t="s">
        <v>95</v>
      </c>
      <c r="AB187" s="4" t="s">
        <v>4290</v>
      </c>
    </row>
    <row r="188" spans="1:28">
      <c r="A188" s="4">
        <v>187</v>
      </c>
      <c r="B188" s="5">
        <v>12629895</v>
      </c>
      <c r="C188" s="5">
        <v>205647825</v>
      </c>
      <c r="D188" s="115" t="s">
        <v>2641</v>
      </c>
      <c r="E188" s="4" t="s">
        <v>3818</v>
      </c>
      <c r="F188" s="7" t="s">
        <v>74</v>
      </c>
      <c r="G188" s="7" t="s">
        <v>75</v>
      </c>
      <c r="H188" s="7" t="s">
        <v>76</v>
      </c>
      <c r="I188" s="7" t="s">
        <v>1789</v>
      </c>
      <c r="J188" s="7" t="s">
        <v>2</v>
      </c>
      <c r="K188" s="4" t="s">
        <v>10</v>
      </c>
      <c r="L188" s="4" t="s">
        <v>23</v>
      </c>
      <c r="M188" s="4" t="s">
        <v>4309</v>
      </c>
      <c r="N188" s="4" t="s">
        <v>2584</v>
      </c>
      <c r="O188" s="89"/>
      <c r="P188" s="25">
        <v>45852</v>
      </c>
      <c r="Q188" s="4" t="s">
        <v>78</v>
      </c>
      <c r="R188" s="90" t="s">
        <v>3252</v>
      </c>
      <c r="S188" s="6" t="s">
        <v>1795</v>
      </c>
      <c r="T188" s="4" t="s">
        <v>92</v>
      </c>
      <c r="U188" s="4" t="s">
        <v>349</v>
      </c>
      <c r="V188" s="4">
        <v>99</v>
      </c>
      <c r="W188" s="85">
        <v>45908</v>
      </c>
      <c r="X188" s="4"/>
      <c r="Y188" s="4">
        <v>558944871</v>
      </c>
      <c r="Z188" s="4" t="s">
        <v>2632</v>
      </c>
      <c r="AA188" s="4" t="s">
        <v>1204</v>
      </c>
      <c r="AB188" s="4" t="s">
        <v>4289</v>
      </c>
    </row>
    <row r="189" spans="1:28">
      <c r="A189" s="4">
        <v>188</v>
      </c>
      <c r="B189" s="5">
        <v>12252412</v>
      </c>
      <c r="C189" s="5">
        <v>206297429</v>
      </c>
      <c r="D189" s="115" t="s">
        <v>3127</v>
      </c>
      <c r="E189" s="4" t="s">
        <v>3819</v>
      </c>
      <c r="F189" s="7" t="s">
        <v>82</v>
      </c>
      <c r="G189" s="7" t="s">
        <v>88</v>
      </c>
      <c r="H189" s="7" t="s">
        <v>94</v>
      </c>
      <c r="I189" s="7" t="s">
        <v>1788</v>
      </c>
      <c r="J189" s="7" t="s">
        <v>2</v>
      </c>
      <c r="K189" s="4" t="s">
        <v>10</v>
      </c>
      <c r="L189" s="4" t="s">
        <v>23</v>
      </c>
      <c r="M189" s="4" t="s">
        <v>4309</v>
      </c>
      <c r="N189" s="4"/>
      <c r="O189" s="89"/>
      <c r="P189" s="25">
        <v>45950</v>
      </c>
      <c r="Q189" s="4" t="s">
        <v>78</v>
      </c>
      <c r="R189" s="7" t="s">
        <v>3257</v>
      </c>
      <c r="S189" s="6" t="s">
        <v>1795</v>
      </c>
      <c r="T189" s="4" t="s">
        <v>92</v>
      </c>
      <c r="U189" s="4" t="s">
        <v>349</v>
      </c>
      <c r="V189" s="4">
        <v>99</v>
      </c>
      <c r="W189" s="85"/>
      <c r="X189" s="4"/>
      <c r="Y189" s="4"/>
      <c r="Z189" s="4"/>
      <c r="AA189" s="4" t="s">
        <v>1204</v>
      </c>
      <c r="AB189" s="4" t="s">
        <v>4289</v>
      </c>
    </row>
    <row r="190" spans="1:28">
      <c r="A190" s="4">
        <v>189</v>
      </c>
      <c r="B190" s="5">
        <v>12345779</v>
      </c>
      <c r="C190" s="5">
        <v>203469406</v>
      </c>
      <c r="D190" s="115" t="s">
        <v>100</v>
      </c>
      <c r="E190" s="4" t="s">
        <v>3820</v>
      </c>
      <c r="F190" s="7" t="s">
        <v>74</v>
      </c>
      <c r="G190" s="7" t="s">
        <v>87</v>
      </c>
      <c r="H190" s="7" t="s">
        <v>75</v>
      </c>
      <c r="I190" s="6" t="s">
        <v>1790</v>
      </c>
      <c r="J190" s="7" t="s">
        <v>2</v>
      </c>
      <c r="K190" s="4" t="s">
        <v>10</v>
      </c>
      <c r="L190" s="4" t="s">
        <v>20</v>
      </c>
      <c r="M190" s="4" t="s">
        <v>4309</v>
      </c>
      <c r="N190" s="4" t="s">
        <v>2584</v>
      </c>
      <c r="O190" s="89"/>
      <c r="P190" s="25">
        <v>45456</v>
      </c>
      <c r="Q190" s="4" t="s">
        <v>78</v>
      </c>
      <c r="R190" s="90" t="s">
        <v>3262</v>
      </c>
      <c r="S190" s="6" t="s">
        <v>1795</v>
      </c>
      <c r="T190" s="4" t="s">
        <v>92</v>
      </c>
      <c r="U190" s="4" t="s">
        <v>132</v>
      </c>
      <c r="V190" s="4">
        <v>99</v>
      </c>
      <c r="W190" s="85">
        <v>46186</v>
      </c>
      <c r="X190" s="4" t="s">
        <v>3703</v>
      </c>
      <c r="Y190" s="4">
        <v>508051820</v>
      </c>
      <c r="Z190" s="4" t="s">
        <v>1867</v>
      </c>
      <c r="AA190" s="4" t="s">
        <v>1198</v>
      </c>
      <c r="AB190" s="4" t="s">
        <v>4289</v>
      </c>
    </row>
    <row r="191" spans="1:28">
      <c r="A191" s="4">
        <v>190</v>
      </c>
      <c r="B191" s="5">
        <v>15005850</v>
      </c>
      <c r="C191" s="5">
        <v>203555408</v>
      </c>
      <c r="D191" s="115" t="s">
        <v>234</v>
      </c>
      <c r="E191" s="4" t="s">
        <v>3821</v>
      </c>
      <c r="F191" s="7" t="s">
        <v>82</v>
      </c>
      <c r="G191" s="7" t="s">
        <v>88</v>
      </c>
      <c r="H191" s="7" t="s">
        <v>94</v>
      </c>
      <c r="I191" s="6" t="s">
        <v>1788</v>
      </c>
      <c r="J191" s="7" t="s">
        <v>2</v>
      </c>
      <c r="K191" s="4" t="s">
        <v>10</v>
      </c>
      <c r="L191" s="4" t="s">
        <v>24</v>
      </c>
      <c r="M191" s="4" t="s">
        <v>4309</v>
      </c>
      <c r="N191" s="4" t="s">
        <v>2584</v>
      </c>
      <c r="O191" s="89"/>
      <c r="P191" s="25">
        <v>45470</v>
      </c>
      <c r="Q191" s="4" t="s">
        <v>78</v>
      </c>
      <c r="R191" s="90" t="s">
        <v>3264</v>
      </c>
      <c r="S191" s="6" t="s">
        <v>1795</v>
      </c>
      <c r="T191" s="4" t="s">
        <v>81</v>
      </c>
      <c r="U191" s="4" t="s">
        <v>107</v>
      </c>
      <c r="V191" s="4">
        <v>99</v>
      </c>
      <c r="W191" s="85">
        <v>45835</v>
      </c>
      <c r="X191" s="4" t="s">
        <v>3739</v>
      </c>
      <c r="Y191" s="4">
        <v>565541897</v>
      </c>
      <c r="Z191" s="4" t="s">
        <v>1868</v>
      </c>
      <c r="AA191" s="4" t="s">
        <v>1196</v>
      </c>
      <c r="AB191" s="4" t="s">
        <v>4289</v>
      </c>
    </row>
    <row r="192" spans="1:28" ht="14.5" customHeight="1">
      <c r="A192" s="4">
        <v>191</v>
      </c>
      <c r="B192" s="5">
        <v>14117703</v>
      </c>
      <c r="C192" s="5">
        <v>203469114</v>
      </c>
      <c r="D192" s="115" t="s">
        <v>169</v>
      </c>
      <c r="E192" s="4" t="s">
        <v>3822</v>
      </c>
      <c r="F192" s="7" t="s">
        <v>74</v>
      </c>
      <c r="G192" s="7" t="s">
        <v>75</v>
      </c>
      <c r="H192" s="7" t="s">
        <v>76</v>
      </c>
      <c r="I192" s="6" t="s">
        <v>1788</v>
      </c>
      <c r="J192" s="7" t="s">
        <v>2</v>
      </c>
      <c r="K192" s="4" t="s">
        <v>10</v>
      </c>
      <c r="L192" s="4" t="s">
        <v>24</v>
      </c>
      <c r="M192" s="4" t="s">
        <v>4309</v>
      </c>
      <c r="N192" s="4" t="s">
        <v>2583</v>
      </c>
      <c r="O192" s="89"/>
      <c r="P192" s="25">
        <v>45456</v>
      </c>
      <c r="Q192" s="4" t="s">
        <v>78</v>
      </c>
      <c r="R192" s="90" t="s">
        <v>3252</v>
      </c>
      <c r="S192" s="6" t="s">
        <v>1795</v>
      </c>
      <c r="T192" s="4" t="s">
        <v>81</v>
      </c>
      <c r="U192" s="4" t="s">
        <v>349</v>
      </c>
      <c r="V192" s="4">
        <v>99</v>
      </c>
      <c r="W192" s="85">
        <v>45821</v>
      </c>
      <c r="X192" s="4" t="s">
        <v>3698</v>
      </c>
      <c r="Y192" s="4">
        <v>566473269</v>
      </c>
      <c r="Z192" s="4" t="s">
        <v>1869</v>
      </c>
      <c r="AA192" s="4" t="s">
        <v>85</v>
      </c>
      <c r="AB192" s="4" t="s">
        <v>4289</v>
      </c>
    </row>
    <row r="193" spans="1:28" ht="14.5" customHeight="1">
      <c r="A193" s="4">
        <v>192</v>
      </c>
      <c r="B193" s="5">
        <v>15292290</v>
      </c>
      <c r="C193" s="5">
        <v>203813078</v>
      </c>
      <c r="D193" s="115" t="s">
        <v>708</v>
      </c>
      <c r="E193" s="4" t="s">
        <v>3823</v>
      </c>
      <c r="F193" s="7" t="s">
        <v>82</v>
      </c>
      <c r="G193" s="7" t="s">
        <v>94</v>
      </c>
      <c r="H193" s="7" t="s">
        <v>89</v>
      </c>
      <c r="I193" s="6" t="s">
        <v>1790</v>
      </c>
      <c r="J193" s="7" t="s">
        <v>2</v>
      </c>
      <c r="K193" s="4" t="s">
        <v>10</v>
      </c>
      <c r="L193" s="4" t="s">
        <v>20</v>
      </c>
      <c r="M193" s="4" t="s">
        <v>4309</v>
      </c>
      <c r="N193" s="4" t="s">
        <v>2583</v>
      </c>
      <c r="O193" s="89"/>
      <c r="P193" s="25">
        <v>45517</v>
      </c>
      <c r="Q193" s="4" t="s">
        <v>78</v>
      </c>
      <c r="R193" s="90" t="s">
        <v>3260</v>
      </c>
      <c r="S193" s="6" t="s">
        <v>1795</v>
      </c>
      <c r="T193" s="4" t="s">
        <v>81</v>
      </c>
      <c r="U193" s="4" t="s">
        <v>107</v>
      </c>
      <c r="V193" s="4">
        <v>99</v>
      </c>
      <c r="W193" s="85">
        <v>46247</v>
      </c>
      <c r="X193" s="4" t="s">
        <v>3688</v>
      </c>
      <c r="Y193" s="4">
        <v>561223817</v>
      </c>
      <c r="Z193" s="4" t="s">
        <v>1870</v>
      </c>
      <c r="AA193" s="4" t="s">
        <v>1194</v>
      </c>
      <c r="AB193" s="4" t="s">
        <v>4289</v>
      </c>
    </row>
    <row r="194" spans="1:28">
      <c r="A194" s="4">
        <v>193</v>
      </c>
      <c r="B194" s="5">
        <v>14572119</v>
      </c>
      <c r="C194" s="5">
        <v>206952968</v>
      </c>
      <c r="D194" s="115" t="s">
        <v>4142</v>
      </c>
      <c r="E194" s="4" t="s">
        <v>4022</v>
      </c>
      <c r="F194" s="7" t="s">
        <v>74</v>
      </c>
      <c r="G194" s="7" t="s">
        <v>90</v>
      </c>
      <c r="H194" s="7" t="s">
        <v>87</v>
      </c>
      <c r="I194" s="6" t="s">
        <v>1790</v>
      </c>
      <c r="J194" s="7" t="s">
        <v>2</v>
      </c>
      <c r="K194" s="4" t="s">
        <v>10</v>
      </c>
      <c r="L194" s="4" t="s">
        <v>22</v>
      </c>
      <c r="M194" s="4" t="s">
        <v>4309</v>
      </c>
      <c r="N194" s="4" t="s">
        <v>2584</v>
      </c>
      <c r="O194" s="89"/>
      <c r="P194" s="25">
        <v>46048</v>
      </c>
      <c r="Q194" s="4" t="s">
        <v>78</v>
      </c>
      <c r="R194" s="4" t="s">
        <v>3255</v>
      </c>
      <c r="S194" s="6" t="s">
        <v>1795</v>
      </c>
      <c r="T194" s="4" t="s">
        <v>81</v>
      </c>
      <c r="U194" s="4"/>
      <c r="V194" s="4">
        <v>99</v>
      </c>
      <c r="W194" s="85">
        <v>46778</v>
      </c>
      <c r="X194" s="4"/>
      <c r="Y194" s="4"/>
      <c r="Z194" s="4"/>
      <c r="AA194" s="4"/>
      <c r="AB194" s="4" t="s">
        <v>4290</v>
      </c>
    </row>
    <row r="195" spans="1:28">
      <c r="A195" s="4">
        <v>194</v>
      </c>
      <c r="B195" s="5">
        <v>13501255</v>
      </c>
      <c r="C195" s="5">
        <v>205608882</v>
      </c>
      <c r="D195" s="115" t="s">
        <v>2595</v>
      </c>
      <c r="E195" s="4" t="s">
        <v>3824</v>
      </c>
      <c r="F195" s="7" t="s">
        <v>82</v>
      </c>
      <c r="G195" s="7" t="s">
        <v>89</v>
      </c>
      <c r="H195" s="7" t="s">
        <v>90</v>
      </c>
      <c r="I195" s="7" t="s">
        <v>1789</v>
      </c>
      <c r="J195" s="7" t="s">
        <v>2</v>
      </c>
      <c r="K195" s="4" t="s">
        <v>10</v>
      </c>
      <c r="L195" s="4" t="s">
        <v>22</v>
      </c>
      <c r="M195" s="4" t="s">
        <v>4309</v>
      </c>
      <c r="N195" s="4"/>
      <c r="O195" s="89"/>
      <c r="P195" s="25">
        <v>45845</v>
      </c>
      <c r="Q195" s="4" t="s">
        <v>78</v>
      </c>
      <c r="R195" s="4" t="s">
        <v>3258</v>
      </c>
      <c r="S195" s="6" t="s">
        <v>1795</v>
      </c>
      <c r="T195" s="4" t="s">
        <v>81</v>
      </c>
      <c r="U195" s="4" t="s">
        <v>349</v>
      </c>
      <c r="V195" s="4">
        <v>99</v>
      </c>
      <c r="W195" s="85">
        <v>45901</v>
      </c>
      <c r="X195" s="4" t="s">
        <v>3689</v>
      </c>
      <c r="Y195" s="4">
        <v>562157508</v>
      </c>
      <c r="Z195" s="4" t="s">
        <v>2617</v>
      </c>
      <c r="AA195" s="4" t="s">
        <v>85</v>
      </c>
      <c r="AB195" s="4" t="s">
        <v>4289</v>
      </c>
    </row>
    <row r="196" spans="1:28">
      <c r="A196" s="4">
        <v>195</v>
      </c>
      <c r="B196" s="5">
        <v>137113</v>
      </c>
      <c r="C196" s="5">
        <v>205276100</v>
      </c>
      <c r="D196" s="115" t="s">
        <v>2530</v>
      </c>
      <c r="E196" s="4" t="s">
        <v>3850</v>
      </c>
      <c r="F196" s="7" t="s">
        <v>82</v>
      </c>
      <c r="G196" s="7" t="s">
        <v>88</v>
      </c>
      <c r="H196" s="7" t="s">
        <v>94</v>
      </c>
      <c r="I196" s="6" t="s">
        <v>1789</v>
      </c>
      <c r="J196" s="7" t="s">
        <v>2</v>
      </c>
      <c r="K196" s="4" t="s">
        <v>10</v>
      </c>
      <c r="L196" s="4" t="s">
        <v>22</v>
      </c>
      <c r="M196" s="4" t="s">
        <v>4309</v>
      </c>
      <c r="N196" s="4" t="s">
        <v>2584</v>
      </c>
      <c r="O196" s="89"/>
      <c r="P196" s="25">
        <v>45796</v>
      </c>
      <c r="Q196" s="4" t="s">
        <v>78</v>
      </c>
      <c r="R196" s="90" t="s">
        <v>3260</v>
      </c>
      <c r="S196" s="6" t="s">
        <v>1795</v>
      </c>
      <c r="T196" s="4" t="s">
        <v>81</v>
      </c>
      <c r="U196" s="4" t="s">
        <v>103</v>
      </c>
      <c r="V196" s="4">
        <v>99</v>
      </c>
      <c r="W196" s="85">
        <v>45838</v>
      </c>
      <c r="X196" s="4" t="s">
        <v>3689</v>
      </c>
      <c r="Y196" s="4">
        <v>502903470</v>
      </c>
      <c r="Z196" s="4" t="s">
        <v>2534</v>
      </c>
      <c r="AA196" s="4" t="s">
        <v>85</v>
      </c>
      <c r="AB196" s="4" t="s">
        <v>4289</v>
      </c>
    </row>
    <row r="197" spans="1:28">
      <c r="A197" s="4">
        <v>196</v>
      </c>
      <c r="B197" s="5">
        <v>14020529</v>
      </c>
      <c r="C197" s="5">
        <v>203908354</v>
      </c>
      <c r="D197" s="115" t="s">
        <v>1157</v>
      </c>
      <c r="E197" s="4" t="s">
        <v>3825</v>
      </c>
      <c r="F197" s="7" t="s">
        <v>74</v>
      </c>
      <c r="G197" s="7" t="s">
        <v>76</v>
      </c>
      <c r="H197" s="7" t="s">
        <v>88</v>
      </c>
      <c r="I197" s="7" t="s">
        <v>1789</v>
      </c>
      <c r="J197" s="7" t="s">
        <v>2</v>
      </c>
      <c r="K197" s="4" t="s">
        <v>10</v>
      </c>
      <c r="L197" s="4" t="s">
        <v>22</v>
      </c>
      <c r="M197" s="4" t="s">
        <v>4309</v>
      </c>
      <c r="N197" s="4" t="s">
        <v>2584</v>
      </c>
      <c r="O197" s="89"/>
      <c r="P197" s="25">
        <v>45684</v>
      </c>
      <c r="Q197" s="4" t="s">
        <v>78</v>
      </c>
      <c r="R197" s="90" t="s">
        <v>3264</v>
      </c>
      <c r="S197" s="6" t="s">
        <v>1795</v>
      </c>
      <c r="T197" s="4" t="s">
        <v>81</v>
      </c>
      <c r="U197" s="4" t="s">
        <v>349</v>
      </c>
      <c r="V197" s="4">
        <v>99</v>
      </c>
      <c r="W197" s="85">
        <v>45740</v>
      </c>
      <c r="X197" s="4" t="s">
        <v>3689</v>
      </c>
      <c r="Y197" s="4"/>
      <c r="Z197" s="4"/>
      <c r="AA197" s="4" t="s">
        <v>95</v>
      </c>
      <c r="AB197" s="4" t="s">
        <v>4289</v>
      </c>
    </row>
    <row r="198" spans="1:28">
      <c r="A198" s="4">
        <v>197</v>
      </c>
      <c r="B198" s="5">
        <v>15339132</v>
      </c>
      <c r="C198" s="5">
        <v>205647835</v>
      </c>
      <c r="D198" s="115" t="s">
        <v>2635</v>
      </c>
      <c r="E198" s="4" t="s">
        <v>3826</v>
      </c>
      <c r="F198" s="7" t="s">
        <v>74</v>
      </c>
      <c r="G198" s="7" t="s">
        <v>87</v>
      </c>
      <c r="H198" s="7" t="s">
        <v>75</v>
      </c>
      <c r="I198" s="7" t="s">
        <v>1789</v>
      </c>
      <c r="J198" s="7" t="s">
        <v>2</v>
      </c>
      <c r="K198" s="4" t="s">
        <v>10</v>
      </c>
      <c r="L198" s="4" t="s">
        <v>23</v>
      </c>
      <c r="M198" s="4" t="s">
        <v>4309</v>
      </c>
      <c r="N198" s="4" t="s">
        <v>2584</v>
      </c>
      <c r="O198" s="89"/>
      <c r="P198" s="25">
        <v>45852</v>
      </c>
      <c r="Q198" s="4" t="s">
        <v>78</v>
      </c>
      <c r="R198" s="90" t="s">
        <v>3256</v>
      </c>
      <c r="S198" s="6" t="s">
        <v>1795</v>
      </c>
      <c r="T198" s="4" t="s">
        <v>92</v>
      </c>
      <c r="U198" s="4" t="s">
        <v>349</v>
      </c>
      <c r="V198" s="4">
        <v>99</v>
      </c>
      <c r="W198" s="85">
        <v>45908</v>
      </c>
      <c r="X198" s="4"/>
      <c r="Y198" s="4">
        <v>254746935676</v>
      </c>
      <c r="Z198" s="4" t="s">
        <v>2626</v>
      </c>
      <c r="AA198" s="4" t="s">
        <v>1196</v>
      </c>
      <c r="AB198" s="4" t="s">
        <v>4289</v>
      </c>
    </row>
    <row r="199" spans="1:28">
      <c r="A199" s="4">
        <v>198</v>
      </c>
      <c r="B199" s="5">
        <v>12205668</v>
      </c>
      <c r="C199" s="5">
        <v>203850776</v>
      </c>
      <c r="D199" s="115" t="s">
        <v>812</v>
      </c>
      <c r="E199" s="4" t="s">
        <v>3827</v>
      </c>
      <c r="F199" s="7" t="s">
        <v>74</v>
      </c>
      <c r="G199" s="7" t="s">
        <v>88</v>
      </c>
      <c r="H199" s="7" t="s">
        <v>94</v>
      </c>
      <c r="I199" s="6" t="s">
        <v>1788</v>
      </c>
      <c r="J199" s="7" t="s">
        <v>2</v>
      </c>
      <c r="K199" s="4" t="s">
        <v>10</v>
      </c>
      <c r="L199" s="4" t="s">
        <v>24</v>
      </c>
      <c r="M199" s="4" t="s">
        <v>4309</v>
      </c>
      <c r="N199" s="4" t="s">
        <v>2584</v>
      </c>
      <c r="O199" s="89"/>
      <c r="P199" s="25">
        <v>45524</v>
      </c>
      <c r="Q199" s="4" t="s">
        <v>78</v>
      </c>
      <c r="R199" s="90" t="s">
        <v>3255</v>
      </c>
      <c r="S199" s="6" t="s">
        <v>1795</v>
      </c>
      <c r="T199" s="4" t="s">
        <v>92</v>
      </c>
      <c r="U199" s="4" t="s">
        <v>107</v>
      </c>
      <c r="V199" s="4">
        <v>99</v>
      </c>
      <c r="W199" s="85">
        <v>45889</v>
      </c>
      <c r="X199" s="4" t="s">
        <v>3703</v>
      </c>
      <c r="Y199" s="4">
        <v>582898457</v>
      </c>
      <c r="Z199" s="4" t="s">
        <v>1871</v>
      </c>
      <c r="AA199" s="4" t="s">
        <v>85</v>
      </c>
      <c r="AB199" s="4" t="s">
        <v>4289</v>
      </c>
    </row>
    <row r="200" spans="1:28">
      <c r="A200" s="4">
        <v>199</v>
      </c>
      <c r="B200" s="5">
        <v>11900819</v>
      </c>
      <c r="C200" s="5">
        <v>203469168</v>
      </c>
      <c r="D200" s="115" t="s">
        <v>170</v>
      </c>
      <c r="E200" s="4" t="s">
        <v>3828</v>
      </c>
      <c r="F200" s="7" t="s">
        <v>82</v>
      </c>
      <c r="G200" s="7" t="s">
        <v>90</v>
      </c>
      <c r="H200" s="7" t="s">
        <v>87</v>
      </c>
      <c r="I200" s="6" t="s">
        <v>1788</v>
      </c>
      <c r="J200" s="7" t="s">
        <v>2</v>
      </c>
      <c r="K200" s="4" t="s">
        <v>10</v>
      </c>
      <c r="L200" s="4" t="s">
        <v>24</v>
      </c>
      <c r="M200" s="4" t="s">
        <v>4309</v>
      </c>
      <c r="N200" s="4" t="s">
        <v>2583</v>
      </c>
      <c r="O200" s="89"/>
      <c r="P200" s="25">
        <v>45456</v>
      </c>
      <c r="Q200" s="4" t="s">
        <v>78</v>
      </c>
      <c r="R200" s="90" t="s">
        <v>2586</v>
      </c>
      <c r="S200" s="6" t="s">
        <v>1795</v>
      </c>
      <c r="T200" s="4" t="s">
        <v>81</v>
      </c>
      <c r="U200" s="4" t="s">
        <v>107</v>
      </c>
      <c r="V200" s="4">
        <v>99</v>
      </c>
      <c r="W200" s="85">
        <v>45821</v>
      </c>
      <c r="X200" s="4" t="s">
        <v>3688</v>
      </c>
      <c r="Y200" s="4">
        <v>529068653</v>
      </c>
      <c r="Z200" s="4" t="s">
        <v>1872</v>
      </c>
      <c r="AA200" s="4" t="s">
        <v>1196</v>
      </c>
      <c r="AB200" s="4" t="s">
        <v>4289</v>
      </c>
    </row>
    <row r="201" spans="1:28">
      <c r="A201" s="4">
        <v>200</v>
      </c>
      <c r="B201" s="5">
        <v>13078650</v>
      </c>
      <c r="C201" s="5">
        <v>205651024</v>
      </c>
      <c r="D201" s="115" t="s">
        <v>2639</v>
      </c>
      <c r="E201" s="4" t="s">
        <v>3829</v>
      </c>
      <c r="F201" s="7" t="s">
        <v>74</v>
      </c>
      <c r="G201" s="7" t="s">
        <v>76</v>
      </c>
      <c r="H201" s="7" t="s">
        <v>88</v>
      </c>
      <c r="I201" s="7" t="s">
        <v>1789</v>
      </c>
      <c r="J201" s="7" t="s">
        <v>2</v>
      </c>
      <c r="K201" s="4" t="s">
        <v>10</v>
      </c>
      <c r="L201" s="4" t="s">
        <v>23</v>
      </c>
      <c r="M201" s="4" t="s">
        <v>4309</v>
      </c>
      <c r="N201" s="4" t="s">
        <v>2584</v>
      </c>
      <c r="O201" s="89"/>
      <c r="P201" s="25">
        <v>45852</v>
      </c>
      <c r="Q201" s="4" t="s">
        <v>78</v>
      </c>
      <c r="R201" s="90" t="s">
        <v>3264</v>
      </c>
      <c r="S201" s="6" t="s">
        <v>1795</v>
      </c>
      <c r="T201" s="4" t="s">
        <v>92</v>
      </c>
      <c r="U201" s="4" t="s">
        <v>107</v>
      </c>
      <c r="V201" s="4">
        <v>99</v>
      </c>
      <c r="W201" s="85">
        <v>45908</v>
      </c>
      <c r="X201" s="4"/>
      <c r="Y201" s="4">
        <v>555158681</v>
      </c>
      <c r="Z201" s="4" t="s">
        <v>2630</v>
      </c>
      <c r="AA201" s="4" t="s">
        <v>1196</v>
      </c>
      <c r="AB201" s="4" t="s">
        <v>4289</v>
      </c>
    </row>
    <row r="202" spans="1:28">
      <c r="A202" s="4">
        <v>201</v>
      </c>
      <c r="B202" s="5">
        <v>15212878</v>
      </c>
      <c r="C202" s="5">
        <v>205647828</v>
      </c>
      <c r="D202" s="115" t="s">
        <v>2634</v>
      </c>
      <c r="E202" s="4" t="s">
        <v>3830</v>
      </c>
      <c r="F202" s="7" t="s">
        <v>74</v>
      </c>
      <c r="G202" s="7" t="s">
        <v>89</v>
      </c>
      <c r="H202" s="7" t="s">
        <v>90</v>
      </c>
      <c r="I202" s="7" t="s">
        <v>1789</v>
      </c>
      <c r="J202" s="7" t="s">
        <v>2</v>
      </c>
      <c r="K202" s="4" t="s">
        <v>10</v>
      </c>
      <c r="L202" s="4" t="s">
        <v>23</v>
      </c>
      <c r="M202" s="4" t="s">
        <v>4309</v>
      </c>
      <c r="N202" s="4" t="s">
        <v>2584</v>
      </c>
      <c r="O202" s="89"/>
      <c r="P202" s="25">
        <v>45852</v>
      </c>
      <c r="Q202" s="4" t="s">
        <v>78</v>
      </c>
      <c r="R202" s="90" t="s">
        <v>3255</v>
      </c>
      <c r="S202" s="6" t="s">
        <v>1795</v>
      </c>
      <c r="T202" s="4" t="s">
        <v>92</v>
      </c>
      <c r="U202" s="4" t="s">
        <v>349</v>
      </c>
      <c r="V202" s="4">
        <v>99</v>
      </c>
      <c r="W202" s="85">
        <v>45908</v>
      </c>
      <c r="X202" s="4"/>
      <c r="Y202" s="4">
        <v>504073427</v>
      </c>
      <c r="Z202" s="4" t="s">
        <v>2625</v>
      </c>
      <c r="AA202" s="4" t="s">
        <v>1204</v>
      </c>
      <c r="AB202" s="4" t="s">
        <v>4289</v>
      </c>
    </row>
    <row r="203" spans="1:28">
      <c r="A203" s="4">
        <v>202</v>
      </c>
      <c r="B203" s="5">
        <v>12362784</v>
      </c>
      <c r="C203" s="5">
        <v>203555404</v>
      </c>
      <c r="D203" s="115" t="s">
        <v>227</v>
      </c>
      <c r="E203" s="4" t="s">
        <v>3831</v>
      </c>
      <c r="F203" s="7" t="s">
        <v>74</v>
      </c>
      <c r="G203" s="7" t="s">
        <v>75</v>
      </c>
      <c r="H203" s="7" t="s">
        <v>76</v>
      </c>
      <c r="I203" s="6" t="s">
        <v>1788</v>
      </c>
      <c r="J203" s="7" t="s">
        <v>2</v>
      </c>
      <c r="K203" s="4" t="s">
        <v>10</v>
      </c>
      <c r="L203" s="4" t="s">
        <v>24</v>
      </c>
      <c r="M203" s="4" t="s">
        <v>4309</v>
      </c>
      <c r="N203" s="4" t="s">
        <v>2583</v>
      </c>
      <c r="O203" s="89"/>
      <c r="P203" s="25">
        <v>45470</v>
      </c>
      <c r="Q203" s="4" t="s">
        <v>78</v>
      </c>
      <c r="R203" s="90" t="s">
        <v>3258</v>
      </c>
      <c r="S203" s="6" t="s">
        <v>1795</v>
      </c>
      <c r="T203" s="4" t="s">
        <v>81</v>
      </c>
      <c r="U203" s="4" t="s">
        <v>349</v>
      </c>
      <c r="V203" s="4">
        <v>99</v>
      </c>
      <c r="W203" s="85">
        <v>45835</v>
      </c>
      <c r="X203" s="4" t="s">
        <v>3696</v>
      </c>
      <c r="Y203" s="4">
        <v>529623797</v>
      </c>
      <c r="Z203" s="4" t="s">
        <v>1873</v>
      </c>
      <c r="AA203" s="4" t="s">
        <v>1198</v>
      </c>
      <c r="AB203" s="4" t="s">
        <v>4289</v>
      </c>
    </row>
    <row r="204" spans="1:28">
      <c r="A204" s="4">
        <v>203</v>
      </c>
      <c r="B204" s="5">
        <v>12396574</v>
      </c>
      <c r="C204" s="5">
        <v>102434105</v>
      </c>
      <c r="D204" s="115" t="s">
        <v>123</v>
      </c>
      <c r="E204" s="4" t="s">
        <v>124</v>
      </c>
      <c r="F204" s="7" t="s">
        <v>74</v>
      </c>
      <c r="G204" s="7" t="s">
        <v>94</v>
      </c>
      <c r="H204" s="7" t="s">
        <v>89</v>
      </c>
      <c r="I204" s="6" t="s">
        <v>119</v>
      </c>
      <c r="J204" s="7" t="s">
        <v>2</v>
      </c>
      <c r="K204" s="4" t="s">
        <v>10</v>
      </c>
      <c r="L204" s="4" t="s">
        <v>21</v>
      </c>
      <c r="M204" s="4" t="s">
        <v>4309</v>
      </c>
      <c r="N204" s="4" t="s">
        <v>2583</v>
      </c>
      <c r="O204" s="89"/>
      <c r="P204" s="25">
        <v>42883</v>
      </c>
      <c r="Q204" s="4" t="s">
        <v>78</v>
      </c>
      <c r="R204" s="90" t="s">
        <v>3260</v>
      </c>
      <c r="S204" s="6" t="s">
        <v>1795</v>
      </c>
      <c r="T204" s="4" t="s">
        <v>81</v>
      </c>
      <c r="U204" s="4" t="s">
        <v>103</v>
      </c>
      <c r="V204" s="4">
        <v>1</v>
      </c>
      <c r="W204" s="85"/>
      <c r="X204" s="4" t="s">
        <v>3473</v>
      </c>
      <c r="Y204" s="4">
        <v>0</v>
      </c>
      <c r="Z204" s="4" t="e">
        <v>#N/A</v>
      </c>
      <c r="AA204" s="4" t="s">
        <v>1194</v>
      </c>
      <c r="AB204" s="4" t="s">
        <v>4289</v>
      </c>
    </row>
    <row r="205" spans="1:28">
      <c r="A205" s="4">
        <v>204</v>
      </c>
      <c r="B205" s="5">
        <v>14498368</v>
      </c>
      <c r="C205" s="5">
        <v>204319805</v>
      </c>
      <c r="D205" s="115" t="s">
        <v>1749</v>
      </c>
      <c r="E205" s="4" t="s">
        <v>3832</v>
      </c>
      <c r="F205" s="7" t="s">
        <v>82</v>
      </c>
      <c r="G205" s="7" t="s">
        <v>88</v>
      </c>
      <c r="H205" s="7" t="s">
        <v>94</v>
      </c>
      <c r="I205" s="6" t="s">
        <v>1790</v>
      </c>
      <c r="J205" s="7" t="s">
        <v>2</v>
      </c>
      <c r="K205" s="4" t="s">
        <v>10</v>
      </c>
      <c r="L205" s="4" t="s">
        <v>27</v>
      </c>
      <c r="M205" s="4" t="s">
        <v>4309</v>
      </c>
      <c r="N205" s="4" t="s">
        <v>2584</v>
      </c>
      <c r="O205" s="89"/>
      <c r="P205" s="25">
        <v>45589</v>
      </c>
      <c r="Q205" s="4" t="s">
        <v>78</v>
      </c>
      <c r="R205" s="90" t="s">
        <v>3256</v>
      </c>
      <c r="S205" s="6" t="s">
        <v>1795</v>
      </c>
      <c r="T205" s="4" t="s">
        <v>81</v>
      </c>
      <c r="U205" s="4" t="s">
        <v>107</v>
      </c>
      <c r="V205" s="4">
        <v>99</v>
      </c>
      <c r="W205" s="85">
        <v>46319</v>
      </c>
      <c r="X205" s="4" t="s">
        <v>3694</v>
      </c>
      <c r="Y205" s="4">
        <v>558501520</v>
      </c>
      <c r="Z205" s="4" t="s">
        <v>1874</v>
      </c>
      <c r="AA205" s="4" t="s">
        <v>85</v>
      </c>
      <c r="AB205" s="4" t="s">
        <v>4289</v>
      </c>
    </row>
    <row r="206" spans="1:28">
      <c r="A206" s="4">
        <v>205</v>
      </c>
      <c r="B206" s="5">
        <v>11672424</v>
      </c>
      <c r="C206" s="5">
        <v>206949310</v>
      </c>
      <c r="D206" s="116" t="s">
        <v>4197</v>
      </c>
      <c r="E206" s="95" t="s">
        <v>4198</v>
      </c>
      <c r="F206" s="7" t="s">
        <v>74</v>
      </c>
      <c r="G206" s="7" t="s">
        <v>90</v>
      </c>
      <c r="H206" s="7" t="s">
        <v>87</v>
      </c>
      <c r="I206" s="6" t="s">
        <v>1790</v>
      </c>
      <c r="J206" s="7" t="s">
        <v>2</v>
      </c>
      <c r="K206" s="7" t="s">
        <v>10</v>
      </c>
      <c r="L206" s="7" t="s">
        <v>22</v>
      </c>
      <c r="M206" s="4" t="s">
        <v>4309</v>
      </c>
      <c r="N206" s="4" t="s">
        <v>2584</v>
      </c>
      <c r="O206" s="89"/>
      <c r="P206" s="25">
        <v>46048</v>
      </c>
      <c r="Q206" s="4" t="s">
        <v>78</v>
      </c>
      <c r="R206" s="4" t="s">
        <v>3261</v>
      </c>
      <c r="S206" s="7" t="s">
        <v>1795</v>
      </c>
      <c r="T206" s="7" t="s">
        <v>81</v>
      </c>
      <c r="U206" s="7"/>
      <c r="V206" s="4">
        <v>99</v>
      </c>
      <c r="W206" s="7"/>
      <c r="X206" s="4" t="s">
        <v>3290</v>
      </c>
      <c r="Y206" s="4" t="s">
        <v>4231</v>
      </c>
      <c r="Z206" s="4" t="s">
        <v>4232</v>
      </c>
      <c r="AA206" s="4" t="s">
        <v>3016</v>
      </c>
      <c r="AB206" s="4" t="e">
        <v>#N/A</v>
      </c>
    </row>
    <row r="207" spans="1:28">
      <c r="A207" s="4">
        <v>206</v>
      </c>
      <c r="B207" s="5">
        <v>14040549</v>
      </c>
      <c r="C207" s="5">
        <v>206007530</v>
      </c>
      <c r="D207" s="115" t="s">
        <v>2843</v>
      </c>
      <c r="E207" s="4" t="s">
        <v>3833</v>
      </c>
      <c r="F207" s="7" t="s">
        <v>74</v>
      </c>
      <c r="G207" s="7" t="s">
        <v>75</v>
      </c>
      <c r="H207" s="7" t="s">
        <v>76</v>
      </c>
      <c r="I207" s="7" t="s">
        <v>1789</v>
      </c>
      <c r="J207" s="7" t="s">
        <v>2</v>
      </c>
      <c r="K207" s="4" t="s">
        <v>10</v>
      </c>
      <c r="L207" s="4" t="s">
        <v>24</v>
      </c>
      <c r="M207" s="4" t="s">
        <v>4309</v>
      </c>
      <c r="N207" s="4"/>
      <c r="O207" s="89"/>
      <c r="P207" s="25">
        <v>45915</v>
      </c>
      <c r="Q207" s="4" t="s">
        <v>78</v>
      </c>
      <c r="R207" s="90" t="s">
        <v>3258</v>
      </c>
      <c r="S207" s="6" t="s">
        <v>1795</v>
      </c>
      <c r="T207" s="4" t="s">
        <v>81</v>
      </c>
      <c r="U207" s="4" t="s">
        <v>132</v>
      </c>
      <c r="V207" s="4">
        <v>99</v>
      </c>
      <c r="W207" s="85"/>
      <c r="X207" s="4"/>
      <c r="Y207" s="4"/>
      <c r="Z207" s="4"/>
      <c r="AA207" s="4" t="s">
        <v>1210</v>
      </c>
      <c r="AB207" s="4" t="s">
        <v>4290</v>
      </c>
    </row>
    <row r="208" spans="1:28">
      <c r="A208" s="4">
        <v>207</v>
      </c>
      <c r="B208" s="5">
        <v>12695220</v>
      </c>
      <c r="C208" s="5">
        <v>203800377</v>
      </c>
      <c r="D208" s="115" t="s">
        <v>654</v>
      </c>
      <c r="E208" s="4" t="s">
        <v>3834</v>
      </c>
      <c r="F208" s="7" t="s">
        <v>74</v>
      </c>
      <c r="G208" s="7" t="s">
        <v>90</v>
      </c>
      <c r="H208" s="7" t="s">
        <v>87</v>
      </c>
      <c r="I208" s="7" t="s">
        <v>1789</v>
      </c>
      <c r="J208" s="7" t="s">
        <v>2</v>
      </c>
      <c r="K208" s="4" t="s">
        <v>10</v>
      </c>
      <c r="L208" s="4" t="s">
        <v>22</v>
      </c>
      <c r="M208" s="4" t="s">
        <v>4309</v>
      </c>
      <c r="N208" s="4" t="s">
        <v>2583</v>
      </c>
      <c r="O208" s="89"/>
      <c r="P208" s="25">
        <v>45516</v>
      </c>
      <c r="Q208" s="4" t="s">
        <v>78</v>
      </c>
      <c r="R208" s="90" t="s">
        <v>3258</v>
      </c>
      <c r="S208" s="6" t="s">
        <v>1795</v>
      </c>
      <c r="T208" s="4" t="s">
        <v>81</v>
      </c>
      <c r="U208" s="4" t="s">
        <v>3263</v>
      </c>
      <c r="V208" s="4">
        <v>99</v>
      </c>
      <c r="W208" s="85">
        <v>45572</v>
      </c>
      <c r="X208" s="4" t="s">
        <v>3689</v>
      </c>
      <c r="Y208" s="4">
        <v>554586177</v>
      </c>
      <c r="Z208" s="4" t="s">
        <v>1875</v>
      </c>
      <c r="AA208" s="4" t="s">
        <v>95</v>
      </c>
      <c r="AB208" s="4" t="s">
        <v>4289</v>
      </c>
    </row>
    <row r="209" spans="1:28">
      <c r="A209" s="4">
        <v>208</v>
      </c>
      <c r="B209" s="5">
        <v>13420010</v>
      </c>
      <c r="C209" s="5">
        <v>205609143</v>
      </c>
      <c r="D209" s="115" t="s">
        <v>2601</v>
      </c>
      <c r="E209" s="4" t="s">
        <v>3835</v>
      </c>
      <c r="F209" s="7" t="s">
        <v>82</v>
      </c>
      <c r="G209" s="7" t="s">
        <v>75</v>
      </c>
      <c r="H209" s="7" t="s">
        <v>76</v>
      </c>
      <c r="I209" s="7" t="s">
        <v>1789</v>
      </c>
      <c r="J209" s="7" t="s">
        <v>2</v>
      </c>
      <c r="K209" s="4" t="s">
        <v>10</v>
      </c>
      <c r="L209" s="4" t="s">
        <v>22</v>
      </c>
      <c r="M209" s="4" t="s">
        <v>4309</v>
      </c>
      <c r="N209" s="4"/>
      <c r="O209" s="89"/>
      <c r="P209" s="25">
        <v>45845</v>
      </c>
      <c r="Q209" s="4" t="s">
        <v>78</v>
      </c>
      <c r="R209" s="7" t="s">
        <v>3257</v>
      </c>
      <c r="S209" s="6" t="s">
        <v>1795</v>
      </c>
      <c r="T209" s="4" t="s">
        <v>81</v>
      </c>
      <c r="U209" s="4" t="s">
        <v>349</v>
      </c>
      <c r="V209" s="4">
        <v>99</v>
      </c>
      <c r="W209" s="85">
        <v>45901</v>
      </c>
      <c r="X209" s="4" t="s">
        <v>3689</v>
      </c>
      <c r="Y209" s="4">
        <v>502918367</v>
      </c>
      <c r="Z209" s="4" t="s">
        <v>2623</v>
      </c>
      <c r="AA209" s="4" t="s">
        <v>95</v>
      </c>
      <c r="AB209" s="4" t="s">
        <v>4290</v>
      </c>
    </row>
    <row r="210" spans="1:28">
      <c r="A210" s="4">
        <v>209</v>
      </c>
      <c r="B210" s="5">
        <v>13705744</v>
      </c>
      <c r="C210" s="5">
        <v>206296205</v>
      </c>
      <c r="D210" s="115" t="s">
        <v>3128</v>
      </c>
      <c r="E210" s="4" t="s">
        <v>3836</v>
      </c>
      <c r="F210" s="7" t="s">
        <v>82</v>
      </c>
      <c r="G210" s="7" t="s">
        <v>89</v>
      </c>
      <c r="H210" s="7" t="s">
        <v>90</v>
      </c>
      <c r="I210" s="7" t="s">
        <v>1789</v>
      </c>
      <c r="J210" s="7" t="s">
        <v>2</v>
      </c>
      <c r="K210" s="4" t="s">
        <v>10</v>
      </c>
      <c r="L210" s="4" t="s">
        <v>23</v>
      </c>
      <c r="M210" s="4" t="s">
        <v>4309</v>
      </c>
      <c r="N210" s="4"/>
      <c r="O210" s="89"/>
      <c r="P210" s="25">
        <v>45950</v>
      </c>
      <c r="Q210" s="4" t="s">
        <v>78</v>
      </c>
      <c r="R210" s="90" t="s">
        <v>3253</v>
      </c>
      <c r="S210" s="6" t="s">
        <v>1795</v>
      </c>
      <c r="T210" s="4" t="s">
        <v>81</v>
      </c>
      <c r="U210" s="4" t="s">
        <v>349</v>
      </c>
      <c r="V210" s="4">
        <v>99</v>
      </c>
      <c r="W210" s="85"/>
      <c r="X210" s="4"/>
      <c r="Y210" s="4"/>
      <c r="Z210" s="4"/>
      <c r="AA210" s="4" t="s">
        <v>3701</v>
      </c>
      <c r="AB210" s="4" t="s">
        <v>4289</v>
      </c>
    </row>
    <row r="211" spans="1:28">
      <c r="A211" s="4">
        <v>210</v>
      </c>
      <c r="B211" s="5">
        <v>12123114</v>
      </c>
      <c r="C211" s="5">
        <v>203555406</v>
      </c>
      <c r="D211" s="115" t="s">
        <v>228</v>
      </c>
      <c r="E211" s="4" t="s">
        <v>3837</v>
      </c>
      <c r="F211" s="7" t="s">
        <v>74</v>
      </c>
      <c r="G211" s="7" t="s">
        <v>94</v>
      </c>
      <c r="H211" s="7" t="s">
        <v>89</v>
      </c>
      <c r="I211" s="6" t="s">
        <v>1788</v>
      </c>
      <c r="J211" s="7" t="s">
        <v>2</v>
      </c>
      <c r="K211" s="4" t="s">
        <v>10</v>
      </c>
      <c r="L211" s="4" t="s">
        <v>24</v>
      </c>
      <c r="M211" s="4" t="s">
        <v>4309</v>
      </c>
      <c r="N211" s="4" t="s">
        <v>2583</v>
      </c>
      <c r="O211" s="89"/>
      <c r="P211" s="25">
        <v>45470</v>
      </c>
      <c r="Q211" s="4" t="s">
        <v>78</v>
      </c>
      <c r="R211" s="90" t="s">
        <v>3258</v>
      </c>
      <c r="S211" s="6" t="s">
        <v>1795</v>
      </c>
      <c r="T211" s="4" t="s">
        <v>92</v>
      </c>
      <c r="U211" s="4" t="s">
        <v>132</v>
      </c>
      <c r="V211" s="4">
        <v>99</v>
      </c>
      <c r="W211" s="85">
        <v>45835</v>
      </c>
      <c r="X211" s="4" t="s">
        <v>3690</v>
      </c>
      <c r="Y211" s="4">
        <v>509548719</v>
      </c>
      <c r="Z211" s="4" t="s">
        <v>1876</v>
      </c>
      <c r="AA211" s="4" t="s">
        <v>1196</v>
      </c>
      <c r="AB211" s="4" t="s">
        <v>4289</v>
      </c>
    </row>
    <row r="212" spans="1:28">
      <c r="A212" s="4">
        <v>211</v>
      </c>
      <c r="B212" s="5">
        <v>15054588</v>
      </c>
      <c r="C212" s="5">
        <v>203817154</v>
      </c>
      <c r="D212" s="115" t="s">
        <v>712</v>
      </c>
      <c r="E212" s="4" t="s">
        <v>3838</v>
      </c>
      <c r="F212" s="7" t="s">
        <v>82</v>
      </c>
      <c r="G212" s="7" t="s">
        <v>89</v>
      </c>
      <c r="H212" s="7" t="s">
        <v>90</v>
      </c>
      <c r="I212" s="6" t="s">
        <v>1788</v>
      </c>
      <c r="J212" s="7" t="s">
        <v>2</v>
      </c>
      <c r="K212" s="4" t="s">
        <v>10</v>
      </c>
      <c r="L212" s="4" t="s">
        <v>24</v>
      </c>
      <c r="M212" s="4" t="s">
        <v>4309</v>
      </c>
      <c r="N212" s="4" t="s">
        <v>2584</v>
      </c>
      <c r="O212" s="89"/>
      <c r="P212" s="25">
        <v>45517</v>
      </c>
      <c r="Q212" s="4" t="s">
        <v>78</v>
      </c>
      <c r="R212" s="90" t="s">
        <v>3262</v>
      </c>
      <c r="S212" s="6" t="s">
        <v>1795</v>
      </c>
      <c r="T212" s="4" t="s">
        <v>92</v>
      </c>
      <c r="U212" s="4" t="s">
        <v>3263</v>
      </c>
      <c r="V212" s="4">
        <v>99</v>
      </c>
      <c r="W212" s="85">
        <v>45882</v>
      </c>
      <c r="X212" s="4" t="s">
        <v>3698</v>
      </c>
      <c r="Y212" s="4">
        <v>544589774</v>
      </c>
      <c r="Z212" s="4" t="s">
        <v>1877</v>
      </c>
      <c r="AA212" s="4" t="s">
        <v>85</v>
      </c>
      <c r="AB212" s="4" t="s">
        <v>4289</v>
      </c>
    </row>
    <row r="213" spans="1:28">
      <c r="A213" s="4">
        <v>212</v>
      </c>
      <c r="B213" s="5">
        <v>15081201</v>
      </c>
      <c r="C213" s="5">
        <v>206192235</v>
      </c>
      <c r="D213" s="115" t="s">
        <v>2997</v>
      </c>
      <c r="E213" s="4" t="s">
        <v>3840</v>
      </c>
      <c r="F213" s="7" t="s">
        <v>74</v>
      </c>
      <c r="G213" s="7" t="s">
        <v>88</v>
      </c>
      <c r="H213" s="7" t="s">
        <v>94</v>
      </c>
      <c r="I213" s="7" t="s">
        <v>1788</v>
      </c>
      <c r="J213" s="7" t="s">
        <v>2</v>
      </c>
      <c r="K213" s="4" t="s">
        <v>10</v>
      </c>
      <c r="L213" s="4" t="s">
        <v>23</v>
      </c>
      <c r="M213" s="4" t="s">
        <v>4309</v>
      </c>
      <c r="N213" s="4" t="s">
        <v>2584</v>
      </c>
      <c r="O213" s="89"/>
      <c r="P213" s="25">
        <v>45936</v>
      </c>
      <c r="Q213" s="4" t="s">
        <v>78</v>
      </c>
      <c r="R213" s="4" t="s">
        <v>3255</v>
      </c>
      <c r="S213" s="6" t="s">
        <v>1795</v>
      </c>
      <c r="T213" s="4" t="s">
        <v>92</v>
      </c>
      <c r="U213" s="4" t="s">
        <v>349</v>
      </c>
      <c r="V213" s="4">
        <v>99</v>
      </c>
      <c r="W213" s="85">
        <v>45996</v>
      </c>
      <c r="X213" s="4" t="s">
        <v>3744</v>
      </c>
      <c r="Y213" s="4">
        <v>254717859542</v>
      </c>
      <c r="Z213" s="4" t="s">
        <v>3040</v>
      </c>
      <c r="AA213" s="4" t="s">
        <v>1204</v>
      </c>
      <c r="AB213" s="4" t="s">
        <v>4289</v>
      </c>
    </row>
    <row r="214" spans="1:28">
      <c r="A214" s="4">
        <v>213</v>
      </c>
      <c r="B214" s="5">
        <v>14110567</v>
      </c>
      <c r="C214" s="5">
        <v>203813132</v>
      </c>
      <c r="D214" s="115" t="s">
        <v>714</v>
      </c>
      <c r="E214" s="4" t="s">
        <v>3841</v>
      </c>
      <c r="F214" s="7" t="s">
        <v>82</v>
      </c>
      <c r="G214" s="7" t="s">
        <v>76</v>
      </c>
      <c r="H214" s="7" t="s">
        <v>88</v>
      </c>
      <c r="I214" s="6" t="s">
        <v>1790</v>
      </c>
      <c r="J214" s="7" t="s">
        <v>2</v>
      </c>
      <c r="K214" s="4" t="s">
        <v>10</v>
      </c>
      <c r="L214" s="4" t="s">
        <v>20</v>
      </c>
      <c r="M214" s="4" t="s">
        <v>4309</v>
      </c>
      <c r="N214" s="4" t="s">
        <v>2584</v>
      </c>
      <c r="O214" s="89"/>
      <c r="P214" s="25">
        <v>45517</v>
      </c>
      <c r="Q214" s="4" t="s">
        <v>78</v>
      </c>
      <c r="R214" s="90" t="s">
        <v>3262</v>
      </c>
      <c r="S214" s="6" t="s">
        <v>1795</v>
      </c>
      <c r="T214" s="4" t="s">
        <v>81</v>
      </c>
      <c r="U214" s="4" t="s">
        <v>107</v>
      </c>
      <c r="V214" s="4">
        <v>99</v>
      </c>
      <c r="W214" s="85">
        <v>46247</v>
      </c>
      <c r="X214" s="4" t="s">
        <v>3474</v>
      </c>
      <c r="Y214" s="4">
        <v>545329032</v>
      </c>
      <c r="Z214" s="4" t="s">
        <v>1878</v>
      </c>
      <c r="AA214" s="4" t="s">
        <v>1194</v>
      </c>
      <c r="AB214" s="4" t="s">
        <v>4289</v>
      </c>
    </row>
    <row r="215" spans="1:28">
      <c r="A215" s="4">
        <v>214</v>
      </c>
      <c r="B215" s="5">
        <v>12653489</v>
      </c>
      <c r="C215" s="5">
        <v>203735945</v>
      </c>
      <c r="D215" s="115" t="s">
        <v>345</v>
      </c>
      <c r="E215" s="4" t="s">
        <v>3842</v>
      </c>
      <c r="F215" s="7" t="s">
        <v>82</v>
      </c>
      <c r="G215" s="7" t="s">
        <v>87</v>
      </c>
      <c r="H215" s="7" t="s">
        <v>75</v>
      </c>
      <c r="I215" s="7" t="s">
        <v>1789</v>
      </c>
      <c r="J215" s="7" t="s">
        <v>2</v>
      </c>
      <c r="K215" s="4" t="s">
        <v>10</v>
      </c>
      <c r="L215" s="4" t="s">
        <v>22</v>
      </c>
      <c r="M215" s="4" t="s">
        <v>4309</v>
      </c>
      <c r="N215" s="4" t="s">
        <v>2584</v>
      </c>
      <c r="O215" s="89"/>
      <c r="P215" s="25">
        <v>45502</v>
      </c>
      <c r="Q215" s="4" t="s">
        <v>78</v>
      </c>
      <c r="R215" s="90" t="s">
        <v>3260</v>
      </c>
      <c r="S215" s="6" t="s">
        <v>1795</v>
      </c>
      <c r="T215" s="4" t="s">
        <v>81</v>
      </c>
      <c r="U215" s="4" t="s">
        <v>103</v>
      </c>
      <c r="V215" s="4">
        <v>99</v>
      </c>
      <c r="W215" s="85">
        <v>45558</v>
      </c>
      <c r="X215" s="4" t="s">
        <v>3689</v>
      </c>
      <c r="Y215" s="4">
        <v>558678793</v>
      </c>
      <c r="Z215" s="4" t="s">
        <v>1879</v>
      </c>
      <c r="AA215" s="4" t="s">
        <v>1218</v>
      </c>
      <c r="AB215" s="4" t="s">
        <v>4289</v>
      </c>
    </row>
    <row r="216" spans="1:28">
      <c r="A216" s="4">
        <v>215</v>
      </c>
      <c r="B216" s="5">
        <v>13179441</v>
      </c>
      <c r="C216" s="5">
        <v>203816755</v>
      </c>
      <c r="D216" s="115" t="s">
        <v>726</v>
      </c>
      <c r="E216" s="4" t="s">
        <v>3843</v>
      </c>
      <c r="F216" s="7" t="s">
        <v>82</v>
      </c>
      <c r="G216" s="7" t="s">
        <v>94</v>
      </c>
      <c r="H216" s="7" t="s">
        <v>89</v>
      </c>
      <c r="I216" s="7" t="s">
        <v>1789</v>
      </c>
      <c r="J216" s="7" t="s">
        <v>2</v>
      </c>
      <c r="K216" s="4" t="s">
        <v>10</v>
      </c>
      <c r="L216" s="4" t="s">
        <v>22</v>
      </c>
      <c r="M216" s="4" t="s">
        <v>4309</v>
      </c>
      <c r="N216" s="4" t="s">
        <v>2584</v>
      </c>
      <c r="O216" s="89"/>
      <c r="P216" s="25">
        <v>45518</v>
      </c>
      <c r="Q216" s="4" t="s">
        <v>78</v>
      </c>
      <c r="R216" s="90" t="s">
        <v>3264</v>
      </c>
      <c r="S216" s="6" t="s">
        <v>1795</v>
      </c>
      <c r="T216" s="4" t="s">
        <v>81</v>
      </c>
      <c r="U216" s="4" t="s">
        <v>3263</v>
      </c>
      <c r="V216" s="4">
        <v>99</v>
      </c>
      <c r="W216" s="85">
        <v>45574</v>
      </c>
      <c r="X216" s="4" t="s">
        <v>3689</v>
      </c>
      <c r="Y216" s="4">
        <v>588097934</v>
      </c>
      <c r="Z216" s="4" t="s">
        <v>1880</v>
      </c>
      <c r="AA216" s="4" t="s">
        <v>95</v>
      </c>
      <c r="AB216" s="4" t="s">
        <v>4290</v>
      </c>
    </row>
    <row r="217" spans="1:28">
      <c r="A217" s="4">
        <v>216</v>
      </c>
      <c r="B217" s="5">
        <v>12917100</v>
      </c>
      <c r="C217" s="5">
        <v>205275635</v>
      </c>
      <c r="D217" s="115" t="s">
        <v>3129</v>
      </c>
      <c r="E217" s="4" t="s">
        <v>3844</v>
      </c>
      <c r="F217" s="7" t="s">
        <v>74</v>
      </c>
      <c r="G217" s="7" t="s">
        <v>88</v>
      </c>
      <c r="H217" s="7" t="s">
        <v>94</v>
      </c>
      <c r="I217" s="7" t="s">
        <v>1789</v>
      </c>
      <c r="J217" s="7" t="s">
        <v>2</v>
      </c>
      <c r="K217" s="4" t="s">
        <v>10</v>
      </c>
      <c r="L217" s="4" t="s">
        <v>23</v>
      </c>
      <c r="M217" s="4" t="s">
        <v>4309</v>
      </c>
      <c r="N217" s="4"/>
      <c r="O217" s="89"/>
      <c r="P217" s="25">
        <v>45950</v>
      </c>
      <c r="Q217" s="4" t="s">
        <v>78</v>
      </c>
      <c r="R217" s="7" t="s">
        <v>3257</v>
      </c>
      <c r="S217" s="6" t="s">
        <v>1795</v>
      </c>
      <c r="T217" s="4" t="s">
        <v>81</v>
      </c>
      <c r="U217" s="4" t="s">
        <v>349</v>
      </c>
      <c r="V217" s="4">
        <v>99</v>
      </c>
      <c r="W217" s="85"/>
      <c r="X217" s="4"/>
      <c r="Y217" s="4"/>
      <c r="Z217" s="4"/>
      <c r="AA217" s="4" t="s">
        <v>1204</v>
      </c>
      <c r="AB217" s="4" t="s">
        <v>4289</v>
      </c>
    </row>
    <row r="218" spans="1:28">
      <c r="A218" s="4">
        <v>217</v>
      </c>
      <c r="B218" s="5">
        <v>13772361</v>
      </c>
      <c r="C218" s="5">
        <v>203468510</v>
      </c>
      <c r="D218" s="115" t="s">
        <v>182</v>
      </c>
      <c r="E218" s="4" t="s">
        <v>183</v>
      </c>
      <c r="F218" s="7" t="s">
        <v>82</v>
      </c>
      <c r="G218" s="7" t="s">
        <v>76</v>
      </c>
      <c r="H218" s="7" t="s">
        <v>88</v>
      </c>
      <c r="I218" s="6" t="s">
        <v>1788</v>
      </c>
      <c r="J218" s="7" t="s">
        <v>4</v>
      </c>
      <c r="K218" s="4" t="s">
        <v>10</v>
      </c>
      <c r="L218" s="4" t="s">
        <v>24</v>
      </c>
      <c r="M218" s="4" t="s">
        <v>4311</v>
      </c>
      <c r="N218" s="4" t="s">
        <v>2583</v>
      </c>
      <c r="O218" s="89"/>
      <c r="P218" s="25">
        <v>45456</v>
      </c>
      <c r="Q218" s="7" t="s">
        <v>106</v>
      </c>
      <c r="R218" s="90" t="s">
        <v>3255</v>
      </c>
      <c r="S218" s="6" t="s">
        <v>1795</v>
      </c>
      <c r="T218" s="4" t="s">
        <v>81</v>
      </c>
      <c r="U218" s="4" t="s">
        <v>107</v>
      </c>
      <c r="V218" s="4">
        <v>99</v>
      </c>
      <c r="W218" s="85">
        <v>45821</v>
      </c>
      <c r="X218" s="4" t="s">
        <v>1213</v>
      </c>
      <c r="Y218" s="4">
        <v>501034625</v>
      </c>
      <c r="Z218" s="4" t="s">
        <v>1881</v>
      </c>
      <c r="AA218" s="4" t="s">
        <v>85</v>
      </c>
      <c r="AB218" s="4" t="s">
        <v>4290</v>
      </c>
    </row>
    <row r="219" spans="1:28">
      <c r="A219" s="4">
        <v>218</v>
      </c>
      <c r="B219" s="5">
        <v>12233461</v>
      </c>
      <c r="C219" s="5">
        <v>202308467</v>
      </c>
      <c r="D219" s="115" t="s">
        <v>352</v>
      </c>
      <c r="E219" s="4" t="s">
        <v>2803</v>
      </c>
      <c r="F219" s="7" t="s">
        <v>74</v>
      </c>
      <c r="G219" s="7" t="s">
        <v>89</v>
      </c>
      <c r="H219" s="7" t="s">
        <v>90</v>
      </c>
      <c r="I219" s="6" t="s">
        <v>1788</v>
      </c>
      <c r="J219" s="7" t="s">
        <v>4</v>
      </c>
      <c r="K219" s="4" t="s">
        <v>10</v>
      </c>
      <c r="L219" s="4" t="s">
        <v>24</v>
      </c>
      <c r="M219" s="4" t="s">
        <v>4311</v>
      </c>
      <c r="N219" s="4"/>
      <c r="O219" s="89"/>
      <c r="P219" s="25">
        <v>45915</v>
      </c>
      <c r="Q219" s="7" t="s">
        <v>106</v>
      </c>
      <c r="R219" s="90" t="s">
        <v>3262</v>
      </c>
      <c r="S219" s="6" t="s">
        <v>1795</v>
      </c>
      <c r="T219" s="4" t="s">
        <v>81</v>
      </c>
      <c r="U219" s="4" t="s">
        <v>103</v>
      </c>
      <c r="V219" s="4">
        <v>99</v>
      </c>
      <c r="W219" s="85"/>
      <c r="X219" s="4"/>
      <c r="Y219" s="4"/>
      <c r="Z219" s="4"/>
      <c r="AA219" s="4" t="s">
        <v>85</v>
      </c>
      <c r="AB219" s="4" t="s">
        <v>4290</v>
      </c>
    </row>
    <row r="220" spans="1:28">
      <c r="A220" s="4">
        <v>219</v>
      </c>
      <c r="B220" s="5">
        <v>13290080</v>
      </c>
      <c r="C220" s="5">
        <v>204246160</v>
      </c>
      <c r="D220" s="115" t="s">
        <v>1720</v>
      </c>
      <c r="E220" s="4" t="s">
        <v>1626</v>
      </c>
      <c r="F220" s="7" t="s">
        <v>74</v>
      </c>
      <c r="G220" s="7" t="s">
        <v>90</v>
      </c>
      <c r="H220" s="7" t="s">
        <v>87</v>
      </c>
      <c r="I220" s="6" t="s">
        <v>1790</v>
      </c>
      <c r="J220" s="7" t="s">
        <v>4</v>
      </c>
      <c r="K220" s="4" t="s">
        <v>10</v>
      </c>
      <c r="L220" s="4" t="s">
        <v>27</v>
      </c>
      <c r="M220" s="4" t="s">
        <v>4311</v>
      </c>
      <c r="N220" s="4" t="s">
        <v>2584</v>
      </c>
      <c r="O220" s="89"/>
      <c r="P220" s="25">
        <v>45579</v>
      </c>
      <c r="Q220" s="7" t="s">
        <v>106</v>
      </c>
      <c r="R220" s="90" t="s">
        <v>3258</v>
      </c>
      <c r="S220" s="6" t="s">
        <v>1795</v>
      </c>
      <c r="T220" s="4" t="s">
        <v>81</v>
      </c>
      <c r="U220" s="4" t="s">
        <v>103</v>
      </c>
      <c r="V220" s="4">
        <v>99</v>
      </c>
      <c r="W220" s="85">
        <v>46309</v>
      </c>
      <c r="X220" s="4" t="s">
        <v>3690</v>
      </c>
      <c r="Y220" s="4">
        <v>582503667</v>
      </c>
      <c r="Z220" s="4" t="s">
        <v>1650</v>
      </c>
      <c r="AA220" s="4" t="s">
        <v>85</v>
      </c>
      <c r="AB220" s="4" t="s">
        <v>4290</v>
      </c>
    </row>
    <row r="221" spans="1:28">
      <c r="A221" s="4">
        <v>220</v>
      </c>
      <c r="B221" s="106">
        <v>11235326</v>
      </c>
      <c r="C221" s="5">
        <v>207220266</v>
      </c>
      <c r="D221" s="115" t="s">
        <v>4306</v>
      </c>
      <c r="E221" s="4" t="s">
        <v>4307</v>
      </c>
      <c r="F221" s="7" t="s">
        <v>74</v>
      </c>
      <c r="G221" s="7" t="s">
        <v>88</v>
      </c>
      <c r="H221" s="7" t="s">
        <v>94</v>
      </c>
      <c r="I221" s="6" t="s">
        <v>244</v>
      </c>
      <c r="J221" s="7" t="s">
        <v>4</v>
      </c>
      <c r="K221" s="4" t="s">
        <v>10</v>
      </c>
      <c r="L221" s="4" t="s">
        <v>21</v>
      </c>
      <c r="M221" s="4" t="s">
        <v>4311</v>
      </c>
      <c r="N221" s="4"/>
      <c r="O221" s="89"/>
      <c r="P221" s="25">
        <v>46147</v>
      </c>
      <c r="Q221" s="7" t="s">
        <v>106</v>
      </c>
      <c r="R221" s="90"/>
      <c r="S221" s="6" t="s">
        <v>1795</v>
      </c>
      <c r="T221" s="4" t="s">
        <v>81</v>
      </c>
      <c r="U221" s="4"/>
      <c r="V221" s="4">
        <v>3</v>
      </c>
      <c r="W221" s="85"/>
      <c r="X221" s="4"/>
      <c r="Y221" s="4"/>
      <c r="Z221" s="4"/>
      <c r="AA221" s="4"/>
      <c r="AB221" s="4" t="s">
        <v>4290</v>
      </c>
    </row>
    <row r="222" spans="1:28">
      <c r="A222" s="4">
        <v>221</v>
      </c>
      <c r="B222" s="5">
        <v>14001676</v>
      </c>
      <c r="C222" s="5">
        <v>203850930</v>
      </c>
      <c r="D222" s="115" t="s">
        <v>819</v>
      </c>
      <c r="E222" s="4" t="s">
        <v>820</v>
      </c>
      <c r="F222" s="7" t="s">
        <v>74</v>
      </c>
      <c r="G222" s="7" t="s">
        <v>90</v>
      </c>
      <c r="H222" s="7" t="s">
        <v>87</v>
      </c>
      <c r="I222" s="6" t="s">
        <v>1788</v>
      </c>
      <c r="J222" s="7" t="s">
        <v>4</v>
      </c>
      <c r="K222" s="4" t="s">
        <v>10</v>
      </c>
      <c r="L222" s="4" t="s">
        <v>24</v>
      </c>
      <c r="M222" s="4" t="s">
        <v>4311</v>
      </c>
      <c r="N222" s="4" t="s">
        <v>2583</v>
      </c>
      <c r="O222" s="89"/>
      <c r="P222" s="25">
        <v>45524</v>
      </c>
      <c r="Q222" s="7" t="s">
        <v>106</v>
      </c>
      <c r="R222" s="90" t="s">
        <v>3255</v>
      </c>
      <c r="S222" s="6" t="s">
        <v>1795</v>
      </c>
      <c r="T222" s="4" t="s">
        <v>92</v>
      </c>
      <c r="U222" s="4" t="s">
        <v>3263</v>
      </c>
      <c r="V222" s="4">
        <v>99</v>
      </c>
      <c r="W222" s="85">
        <v>45889</v>
      </c>
      <c r="X222" s="4" t="s">
        <v>3688</v>
      </c>
      <c r="Y222" s="4">
        <v>581662537</v>
      </c>
      <c r="Z222" s="4" t="s">
        <v>1882</v>
      </c>
      <c r="AA222" s="4" t="s">
        <v>85</v>
      </c>
      <c r="AB222" s="4" t="s">
        <v>4290</v>
      </c>
    </row>
    <row r="223" spans="1:28">
      <c r="A223" s="4">
        <v>222</v>
      </c>
      <c r="B223" s="5">
        <v>13135825</v>
      </c>
      <c r="C223" s="5">
        <v>206953795</v>
      </c>
      <c r="D223" s="115" t="s">
        <v>4128</v>
      </c>
      <c r="E223" s="4" t="s">
        <v>3965</v>
      </c>
      <c r="F223" s="7" t="s">
        <v>74</v>
      </c>
      <c r="G223" s="7" t="s">
        <v>89</v>
      </c>
      <c r="H223" s="7" t="s">
        <v>90</v>
      </c>
      <c r="I223" s="7" t="s">
        <v>1790</v>
      </c>
      <c r="J223" s="7" t="s">
        <v>4</v>
      </c>
      <c r="K223" s="4" t="s">
        <v>10</v>
      </c>
      <c r="L223" s="4" t="s">
        <v>23</v>
      </c>
      <c r="M223" s="4" t="s">
        <v>4311</v>
      </c>
      <c r="N223" s="4" t="s">
        <v>2584</v>
      </c>
      <c r="O223" s="89"/>
      <c r="P223" s="25">
        <v>46048</v>
      </c>
      <c r="Q223" s="7" t="s">
        <v>106</v>
      </c>
      <c r="R223" s="4" t="s">
        <v>3255</v>
      </c>
      <c r="S223" s="6" t="s">
        <v>1795</v>
      </c>
      <c r="T223" s="4" t="s">
        <v>92</v>
      </c>
      <c r="U223" s="4"/>
      <c r="V223" s="4">
        <v>99</v>
      </c>
      <c r="W223" s="85">
        <v>46104</v>
      </c>
      <c r="X223" s="4" t="s">
        <v>3979</v>
      </c>
      <c r="Y223" s="4" t="s">
        <v>3988</v>
      </c>
      <c r="Z223" s="4" t="s">
        <v>4007</v>
      </c>
      <c r="AA223" s="4" t="s">
        <v>1204</v>
      </c>
      <c r="AB223" s="4" t="e">
        <v>#N/A</v>
      </c>
    </row>
    <row r="224" spans="1:28">
      <c r="A224" s="4">
        <v>223</v>
      </c>
      <c r="B224" s="5">
        <v>14994288</v>
      </c>
      <c r="C224" s="5">
        <v>206348033</v>
      </c>
      <c r="D224" s="115" t="s">
        <v>3170</v>
      </c>
      <c r="E224" s="4" t="s">
        <v>3131</v>
      </c>
      <c r="F224" s="7" t="s">
        <v>74</v>
      </c>
      <c r="G224" s="7" t="s">
        <v>88</v>
      </c>
      <c r="H224" s="7" t="s">
        <v>94</v>
      </c>
      <c r="I224" s="6" t="s">
        <v>1788</v>
      </c>
      <c r="J224" s="7" t="s">
        <v>4</v>
      </c>
      <c r="K224" s="4" t="s">
        <v>10</v>
      </c>
      <c r="L224" s="4" t="s">
        <v>24</v>
      </c>
      <c r="M224" s="4" t="s">
        <v>4311</v>
      </c>
      <c r="N224" s="4" t="s">
        <v>2584</v>
      </c>
      <c r="O224" s="89"/>
      <c r="P224" s="25">
        <v>45957</v>
      </c>
      <c r="Q224" s="7" t="s">
        <v>106</v>
      </c>
      <c r="R224" s="4" t="s">
        <v>3252</v>
      </c>
      <c r="S224" s="6" t="s">
        <v>1795</v>
      </c>
      <c r="T224" s="4" t="s">
        <v>92</v>
      </c>
      <c r="U224" s="4" t="s">
        <v>349</v>
      </c>
      <c r="V224" s="4">
        <v>99</v>
      </c>
      <c r="W224" s="85">
        <v>46013</v>
      </c>
      <c r="X224" s="4" t="s">
        <v>3690</v>
      </c>
      <c r="Y224" s="4">
        <v>554811741</v>
      </c>
      <c r="Z224" s="4" t="s">
        <v>3155</v>
      </c>
      <c r="AA224" s="4" t="s">
        <v>3167</v>
      </c>
      <c r="AB224" s="4" t="s">
        <v>4289</v>
      </c>
    </row>
    <row r="225" spans="1:28">
      <c r="A225" s="4">
        <v>224</v>
      </c>
      <c r="B225" s="5">
        <v>14428039</v>
      </c>
      <c r="C225" s="5">
        <v>205977130</v>
      </c>
      <c r="D225" s="115" t="s">
        <v>2804</v>
      </c>
      <c r="E225" s="4" t="s">
        <v>2805</v>
      </c>
      <c r="F225" s="7" t="s">
        <v>74</v>
      </c>
      <c r="G225" s="7" t="s">
        <v>89</v>
      </c>
      <c r="H225" s="7" t="s">
        <v>90</v>
      </c>
      <c r="I225" s="6" t="s">
        <v>1790</v>
      </c>
      <c r="J225" s="7" t="s">
        <v>4</v>
      </c>
      <c r="K225" s="4" t="s">
        <v>10</v>
      </c>
      <c r="L225" s="4" t="s">
        <v>22</v>
      </c>
      <c r="M225" s="4" t="s">
        <v>4311</v>
      </c>
      <c r="N225" s="4"/>
      <c r="O225" s="89"/>
      <c r="P225" s="25">
        <v>45915</v>
      </c>
      <c r="Q225" s="7" t="s">
        <v>106</v>
      </c>
      <c r="R225" s="90" t="s">
        <v>3260</v>
      </c>
      <c r="S225" s="6" t="s">
        <v>1795</v>
      </c>
      <c r="T225" s="4" t="s">
        <v>81</v>
      </c>
      <c r="U225" s="4" t="s">
        <v>103</v>
      </c>
      <c r="V225" s="4">
        <v>99</v>
      </c>
      <c r="W225" s="85"/>
      <c r="X225" s="4"/>
      <c r="Y225" s="4"/>
      <c r="Z225" s="4"/>
      <c r="AA225" s="4" t="s">
        <v>95</v>
      </c>
      <c r="AB225" s="4" t="s">
        <v>4289</v>
      </c>
    </row>
    <row r="226" spans="1:28">
      <c r="A226" s="4">
        <v>225</v>
      </c>
      <c r="B226" s="5">
        <v>12797290</v>
      </c>
      <c r="C226" s="5">
        <v>203555224</v>
      </c>
      <c r="D226" s="115" t="s">
        <v>557</v>
      </c>
      <c r="E226" s="4" t="s">
        <v>558</v>
      </c>
      <c r="F226" s="7" t="s">
        <v>74</v>
      </c>
      <c r="G226" s="7" t="s">
        <v>88</v>
      </c>
      <c r="H226" s="7" t="s">
        <v>94</v>
      </c>
      <c r="I226" s="6" t="s">
        <v>1788</v>
      </c>
      <c r="J226" s="7" t="s">
        <v>4</v>
      </c>
      <c r="K226" s="4" t="s">
        <v>10</v>
      </c>
      <c r="L226" s="4" t="s">
        <v>24</v>
      </c>
      <c r="M226" s="4" t="s">
        <v>4311</v>
      </c>
      <c r="N226" s="4" t="s">
        <v>2584</v>
      </c>
      <c r="O226" s="89"/>
      <c r="P226" s="25">
        <v>45470</v>
      </c>
      <c r="Q226" s="7" t="s">
        <v>7</v>
      </c>
      <c r="R226" s="90" t="s">
        <v>3254</v>
      </c>
      <c r="S226" s="6" t="s">
        <v>1795</v>
      </c>
      <c r="T226" s="4" t="s">
        <v>92</v>
      </c>
      <c r="U226" s="4" t="s">
        <v>103</v>
      </c>
      <c r="V226" s="4">
        <v>99</v>
      </c>
      <c r="W226" s="85">
        <v>45835</v>
      </c>
      <c r="X226" s="4" t="s">
        <v>3703</v>
      </c>
      <c r="Y226" s="4">
        <v>554800645</v>
      </c>
      <c r="Z226" s="4" t="s">
        <v>2226</v>
      </c>
      <c r="AA226" s="4" t="s">
        <v>85</v>
      </c>
      <c r="AB226" s="4" t="s">
        <v>4289</v>
      </c>
    </row>
    <row r="227" spans="1:28">
      <c r="A227" s="4">
        <v>226</v>
      </c>
      <c r="B227" s="5">
        <v>15170321</v>
      </c>
      <c r="C227" s="5">
        <v>206953381</v>
      </c>
      <c r="D227" s="115" t="s">
        <v>4129</v>
      </c>
      <c r="E227" s="4" t="s">
        <v>3966</v>
      </c>
      <c r="F227" s="7" t="s">
        <v>74</v>
      </c>
      <c r="G227" s="7" t="s">
        <v>89</v>
      </c>
      <c r="H227" s="7" t="s">
        <v>90</v>
      </c>
      <c r="I227" s="7" t="s">
        <v>1790</v>
      </c>
      <c r="J227" s="7" t="s">
        <v>4</v>
      </c>
      <c r="K227" s="4" t="s">
        <v>10</v>
      </c>
      <c r="L227" s="4" t="s">
        <v>23</v>
      </c>
      <c r="M227" s="4" t="s">
        <v>4311</v>
      </c>
      <c r="N227" s="4" t="s">
        <v>2584</v>
      </c>
      <c r="O227" s="89"/>
      <c r="P227" s="25">
        <v>46048</v>
      </c>
      <c r="Q227" s="7" t="s">
        <v>106</v>
      </c>
      <c r="R227" s="90" t="s">
        <v>2586</v>
      </c>
      <c r="S227" s="6" t="s">
        <v>1795</v>
      </c>
      <c r="T227" s="4" t="s">
        <v>92</v>
      </c>
      <c r="U227" s="4"/>
      <c r="V227" s="4">
        <v>99</v>
      </c>
      <c r="W227" s="85">
        <v>46104</v>
      </c>
      <c r="X227" s="4" t="s">
        <v>3979</v>
      </c>
      <c r="Y227" s="4" t="s">
        <v>3989</v>
      </c>
      <c r="Z227" s="4" t="s">
        <v>4008</v>
      </c>
      <c r="AA227" s="4" t="s">
        <v>1204</v>
      </c>
      <c r="AB227" s="4" t="e">
        <v>#N/A</v>
      </c>
    </row>
    <row r="228" spans="1:28">
      <c r="A228" s="4">
        <v>227</v>
      </c>
      <c r="B228" s="5">
        <v>13809839</v>
      </c>
      <c r="C228" s="5">
        <v>205996683</v>
      </c>
      <c r="D228" s="115" t="s">
        <v>2806</v>
      </c>
      <c r="E228" s="4" t="s">
        <v>2807</v>
      </c>
      <c r="F228" s="7" t="s">
        <v>74</v>
      </c>
      <c r="G228" s="7" t="s">
        <v>90</v>
      </c>
      <c r="H228" s="7" t="s">
        <v>87</v>
      </c>
      <c r="I228" s="6" t="s">
        <v>1788</v>
      </c>
      <c r="J228" s="7" t="s">
        <v>4</v>
      </c>
      <c r="K228" s="4" t="s">
        <v>10</v>
      </c>
      <c r="L228" s="4" t="s">
        <v>24</v>
      </c>
      <c r="M228" s="4" t="s">
        <v>4311</v>
      </c>
      <c r="N228" s="4"/>
      <c r="O228" s="89"/>
      <c r="P228" s="25">
        <v>45915</v>
      </c>
      <c r="Q228" s="7" t="s">
        <v>106</v>
      </c>
      <c r="R228" s="4" t="s">
        <v>3264</v>
      </c>
      <c r="S228" s="6" t="s">
        <v>1795</v>
      </c>
      <c r="T228" s="4" t="s">
        <v>92</v>
      </c>
      <c r="U228" s="4" t="s">
        <v>349</v>
      </c>
      <c r="V228" s="4">
        <v>99</v>
      </c>
      <c r="W228" s="85"/>
      <c r="X228" s="4"/>
      <c r="Y228" s="4"/>
      <c r="Z228" s="4"/>
      <c r="AA228" s="4" t="s">
        <v>85</v>
      </c>
      <c r="AB228" s="4" t="s">
        <v>4289</v>
      </c>
    </row>
    <row r="229" spans="1:28">
      <c r="A229" s="4">
        <v>228</v>
      </c>
      <c r="B229" s="5">
        <v>13029175</v>
      </c>
      <c r="C229" s="5">
        <v>206192647</v>
      </c>
      <c r="D229" s="115" t="s">
        <v>3105</v>
      </c>
      <c r="E229" s="4" t="s">
        <v>3068</v>
      </c>
      <c r="F229" s="7" t="s">
        <v>74</v>
      </c>
      <c r="G229" s="7" t="s">
        <v>94</v>
      </c>
      <c r="H229" s="7" t="s">
        <v>89</v>
      </c>
      <c r="I229" s="6" t="s">
        <v>1788</v>
      </c>
      <c r="J229" s="7" t="s">
        <v>4</v>
      </c>
      <c r="K229" s="4" t="s">
        <v>10</v>
      </c>
      <c r="L229" s="4" t="s">
        <v>23</v>
      </c>
      <c r="M229" s="4" t="s">
        <v>4311</v>
      </c>
      <c r="N229" s="4" t="s">
        <v>2584</v>
      </c>
      <c r="O229" s="89"/>
      <c r="P229" s="25">
        <v>45943</v>
      </c>
      <c r="Q229" s="7" t="s">
        <v>106</v>
      </c>
      <c r="R229" s="4" t="s">
        <v>3252</v>
      </c>
      <c r="S229" s="6" t="s">
        <v>3012</v>
      </c>
      <c r="T229" s="4" t="s">
        <v>92</v>
      </c>
      <c r="U229" s="4" t="s">
        <v>349</v>
      </c>
      <c r="V229" s="4">
        <v>99</v>
      </c>
      <c r="W229" s="85" t="s">
        <v>3072</v>
      </c>
      <c r="X229" s="4" t="s">
        <v>2357</v>
      </c>
      <c r="Y229" s="4" t="s">
        <v>3073</v>
      </c>
      <c r="Z229" s="4" t="s">
        <v>3082</v>
      </c>
      <c r="AA229" s="4" t="s">
        <v>85</v>
      </c>
      <c r="AB229" s="4" t="s">
        <v>4289</v>
      </c>
    </row>
    <row r="230" spans="1:28">
      <c r="A230" s="4">
        <v>229</v>
      </c>
      <c r="B230" s="5">
        <v>12613253</v>
      </c>
      <c r="C230" s="5">
        <v>206953797</v>
      </c>
      <c r="D230" s="115" t="s">
        <v>4130</v>
      </c>
      <c r="E230" s="4" t="s">
        <v>3967</v>
      </c>
      <c r="F230" s="7" t="s">
        <v>74</v>
      </c>
      <c r="G230" s="7" t="s">
        <v>89</v>
      </c>
      <c r="H230" s="7" t="s">
        <v>90</v>
      </c>
      <c r="I230" s="7" t="s">
        <v>1790</v>
      </c>
      <c r="J230" s="7" t="s">
        <v>4</v>
      </c>
      <c r="K230" s="4" t="s">
        <v>10</v>
      </c>
      <c r="L230" s="4" t="s">
        <v>23</v>
      </c>
      <c r="M230" s="4" t="s">
        <v>4311</v>
      </c>
      <c r="N230" s="4" t="s">
        <v>2584</v>
      </c>
      <c r="O230" s="89"/>
      <c r="P230" s="25">
        <v>46048</v>
      </c>
      <c r="Q230" s="7" t="s">
        <v>106</v>
      </c>
      <c r="R230" s="4" t="s">
        <v>3261</v>
      </c>
      <c r="S230" s="6" t="s">
        <v>1795</v>
      </c>
      <c r="T230" s="4" t="s">
        <v>92</v>
      </c>
      <c r="U230" s="4"/>
      <c r="V230" s="4">
        <v>99</v>
      </c>
      <c r="W230" s="85">
        <v>46104</v>
      </c>
      <c r="X230" s="4" t="s">
        <v>3979</v>
      </c>
      <c r="Y230" s="4" t="s">
        <v>3990</v>
      </c>
      <c r="Z230" s="4" t="s">
        <v>4009</v>
      </c>
      <c r="AA230" s="4" t="s">
        <v>1204</v>
      </c>
      <c r="AB230" s="4" t="e">
        <v>#N/A</v>
      </c>
    </row>
    <row r="231" spans="1:28">
      <c r="A231" s="4">
        <v>230</v>
      </c>
      <c r="B231" s="5">
        <v>11940277</v>
      </c>
      <c r="C231" s="5">
        <v>203850932</v>
      </c>
      <c r="D231" s="115" t="s">
        <v>817</v>
      </c>
      <c r="E231" s="4" t="s">
        <v>818</v>
      </c>
      <c r="F231" s="7" t="s">
        <v>74</v>
      </c>
      <c r="G231" s="7" t="s">
        <v>90</v>
      </c>
      <c r="H231" s="7" t="s">
        <v>87</v>
      </c>
      <c r="I231" s="6" t="s">
        <v>1788</v>
      </c>
      <c r="J231" s="7" t="s">
        <v>4</v>
      </c>
      <c r="K231" s="4" t="s">
        <v>10</v>
      </c>
      <c r="L231" s="4" t="s">
        <v>24</v>
      </c>
      <c r="M231" s="4" t="s">
        <v>4311</v>
      </c>
      <c r="N231" s="4" t="s">
        <v>2583</v>
      </c>
      <c r="O231" s="89"/>
      <c r="P231" s="25">
        <v>45524</v>
      </c>
      <c r="Q231" s="7" t="s">
        <v>106</v>
      </c>
      <c r="R231" s="90" t="s">
        <v>3254</v>
      </c>
      <c r="S231" s="6" t="s">
        <v>1795</v>
      </c>
      <c r="T231" s="4" t="s">
        <v>92</v>
      </c>
      <c r="U231" s="4" t="s">
        <v>112</v>
      </c>
      <c r="V231" s="4">
        <v>99</v>
      </c>
      <c r="W231" s="85">
        <v>45889</v>
      </c>
      <c r="X231" s="4" t="s">
        <v>3703</v>
      </c>
      <c r="Y231" s="4">
        <v>566630950</v>
      </c>
      <c r="Z231" s="4" t="s">
        <v>1883</v>
      </c>
      <c r="AA231" s="4" t="s">
        <v>85</v>
      </c>
      <c r="AB231" s="4" t="s">
        <v>4289</v>
      </c>
    </row>
    <row r="232" spans="1:28" ht="14.5" customHeight="1">
      <c r="A232" s="4">
        <v>231</v>
      </c>
      <c r="B232" s="5">
        <v>12377466</v>
      </c>
      <c r="C232" s="5">
        <v>203709877</v>
      </c>
      <c r="D232" s="115" t="s">
        <v>255</v>
      </c>
      <c r="E232" s="4" t="s">
        <v>256</v>
      </c>
      <c r="F232" s="7" t="s">
        <v>74</v>
      </c>
      <c r="G232" s="7" t="s">
        <v>88</v>
      </c>
      <c r="H232" s="7" t="s">
        <v>94</v>
      </c>
      <c r="I232" s="6" t="s">
        <v>1790</v>
      </c>
      <c r="J232" s="7" t="s">
        <v>4</v>
      </c>
      <c r="K232" s="4" t="s">
        <v>10</v>
      </c>
      <c r="L232" s="4" t="s">
        <v>20</v>
      </c>
      <c r="M232" s="4" t="s">
        <v>4311</v>
      </c>
      <c r="N232" s="4" t="s">
        <v>2583</v>
      </c>
      <c r="O232" s="89"/>
      <c r="P232" s="25">
        <v>45495</v>
      </c>
      <c r="Q232" s="7" t="s">
        <v>106</v>
      </c>
      <c r="R232" s="90" t="s">
        <v>3262</v>
      </c>
      <c r="S232" s="6" t="s">
        <v>1795</v>
      </c>
      <c r="T232" s="4" t="s">
        <v>92</v>
      </c>
      <c r="U232" s="4" t="s">
        <v>132</v>
      </c>
      <c r="V232" s="4">
        <v>99</v>
      </c>
      <c r="W232" s="85">
        <v>46225</v>
      </c>
      <c r="X232" s="4" t="s">
        <v>3703</v>
      </c>
      <c r="Y232" s="4">
        <v>522703452</v>
      </c>
      <c r="Z232" s="4" t="s">
        <v>1884</v>
      </c>
      <c r="AA232" s="4" t="s">
        <v>1211</v>
      </c>
      <c r="AB232" s="4" t="s">
        <v>4289</v>
      </c>
    </row>
    <row r="233" spans="1:28">
      <c r="A233" s="4">
        <v>232</v>
      </c>
      <c r="B233" s="5">
        <v>11949846</v>
      </c>
      <c r="C233" s="5">
        <v>206953796</v>
      </c>
      <c r="D233" s="115" t="s">
        <v>4131</v>
      </c>
      <c r="E233" s="4" t="s">
        <v>3968</v>
      </c>
      <c r="F233" s="7" t="s">
        <v>74</v>
      </c>
      <c r="G233" s="7" t="s">
        <v>89</v>
      </c>
      <c r="H233" s="7" t="s">
        <v>90</v>
      </c>
      <c r="I233" s="7" t="s">
        <v>1790</v>
      </c>
      <c r="J233" s="7" t="s">
        <v>4</v>
      </c>
      <c r="K233" s="4" t="s">
        <v>10</v>
      </c>
      <c r="L233" s="4" t="s">
        <v>23</v>
      </c>
      <c r="M233" s="4" t="s">
        <v>4311</v>
      </c>
      <c r="N233" s="4" t="s">
        <v>2584</v>
      </c>
      <c r="O233" s="89"/>
      <c r="P233" s="25">
        <v>46048</v>
      </c>
      <c r="Q233" s="7" t="s">
        <v>106</v>
      </c>
      <c r="R233" s="90" t="s">
        <v>3256</v>
      </c>
      <c r="S233" s="6" t="s">
        <v>1795</v>
      </c>
      <c r="T233" s="4" t="s">
        <v>92</v>
      </c>
      <c r="U233" s="4"/>
      <c r="V233" s="4">
        <v>99</v>
      </c>
      <c r="W233" s="85">
        <v>46104</v>
      </c>
      <c r="X233" s="4" t="s">
        <v>3979</v>
      </c>
      <c r="Y233" s="4" t="s">
        <v>3991</v>
      </c>
      <c r="Z233" s="4" t="s">
        <v>4010</v>
      </c>
      <c r="AA233" s="4" t="s">
        <v>1204</v>
      </c>
      <c r="AB233" s="4" t="e">
        <v>#N/A</v>
      </c>
    </row>
    <row r="234" spans="1:28">
      <c r="A234" s="4">
        <v>233</v>
      </c>
      <c r="B234" s="5">
        <v>13058218</v>
      </c>
      <c r="C234" s="5">
        <v>203850933</v>
      </c>
      <c r="D234" s="115" t="s">
        <v>823</v>
      </c>
      <c r="E234" s="4" t="s">
        <v>824</v>
      </c>
      <c r="F234" s="7" t="s">
        <v>74</v>
      </c>
      <c r="G234" s="7" t="s">
        <v>76</v>
      </c>
      <c r="H234" s="7" t="s">
        <v>88</v>
      </c>
      <c r="I234" s="6" t="s">
        <v>1788</v>
      </c>
      <c r="J234" s="7" t="s">
        <v>4</v>
      </c>
      <c r="K234" s="4" t="s">
        <v>10</v>
      </c>
      <c r="L234" s="4" t="s">
        <v>24</v>
      </c>
      <c r="M234" s="4" t="s">
        <v>4311</v>
      </c>
      <c r="N234" s="4" t="s">
        <v>2583</v>
      </c>
      <c r="O234" s="89"/>
      <c r="P234" s="25">
        <v>45524</v>
      </c>
      <c r="Q234" s="7" t="s">
        <v>106</v>
      </c>
      <c r="R234" s="90" t="s">
        <v>3256</v>
      </c>
      <c r="S234" s="6" t="s">
        <v>1795</v>
      </c>
      <c r="T234" s="4" t="s">
        <v>81</v>
      </c>
      <c r="U234" s="4" t="s">
        <v>107</v>
      </c>
      <c r="V234" s="4">
        <v>99</v>
      </c>
      <c r="W234" s="85">
        <v>45889</v>
      </c>
      <c r="X234" s="4" t="s">
        <v>3688</v>
      </c>
      <c r="Y234" s="4">
        <v>576184844</v>
      </c>
      <c r="Z234" s="4" t="s">
        <v>1885</v>
      </c>
      <c r="AA234" s="4" t="s">
        <v>85</v>
      </c>
      <c r="AB234" s="4" t="s">
        <v>4289</v>
      </c>
    </row>
    <row r="235" spans="1:28">
      <c r="A235" s="4">
        <v>234</v>
      </c>
      <c r="B235" s="5">
        <v>15316784</v>
      </c>
      <c r="C235" s="5">
        <v>203468509</v>
      </c>
      <c r="D235" s="115" t="s">
        <v>184</v>
      </c>
      <c r="E235" s="4" t="s">
        <v>185</v>
      </c>
      <c r="F235" s="7" t="s">
        <v>74</v>
      </c>
      <c r="G235" s="7" t="s">
        <v>76</v>
      </c>
      <c r="H235" s="7" t="s">
        <v>88</v>
      </c>
      <c r="I235" s="6" t="s">
        <v>1788</v>
      </c>
      <c r="J235" s="7" t="s">
        <v>4</v>
      </c>
      <c r="K235" s="4" t="s">
        <v>10</v>
      </c>
      <c r="L235" s="4" t="s">
        <v>24</v>
      </c>
      <c r="M235" s="4" t="s">
        <v>4311</v>
      </c>
      <c r="N235" s="4" t="s">
        <v>2583</v>
      </c>
      <c r="O235" s="89"/>
      <c r="P235" s="25">
        <v>45456</v>
      </c>
      <c r="Q235" s="7" t="s">
        <v>106</v>
      </c>
      <c r="R235" s="90" t="s">
        <v>2586</v>
      </c>
      <c r="S235" s="6" t="s">
        <v>1795</v>
      </c>
      <c r="T235" s="4" t="s">
        <v>81</v>
      </c>
      <c r="U235" s="4" t="s">
        <v>103</v>
      </c>
      <c r="V235" s="4">
        <v>99</v>
      </c>
      <c r="W235" s="85">
        <v>45821</v>
      </c>
      <c r="X235" s="4" t="s">
        <v>3688</v>
      </c>
      <c r="Y235" s="4">
        <v>555425181</v>
      </c>
      <c r="Z235" s="4" t="s">
        <v>1886</v>
      </c>
      <c r="AA235" s="4" t="s">
        <v>85</v>
      </c>
      <c r="AB235" s="4" t="s">
        <v>4289</v>
      </c>
    </row>
    <row r="236" spans="1:28">
      <c r="A236" s="4">
        <v>235</v>
      </c>
      <c r="B236" s="5">
        <v>13581622</v>
      </c>
      <c r="C236" s="5">
        <v>206361763</v>
      </c>
      <c r="D236" s="115" t="s">
        <v>3171</v>
      </c>
      <c r="E236" s="4" t="s">
        <v>3132</v>
      </c>
      <c r="F236" s="7" t="s">
        <v>74</v>
      </c>
      <c r="G236" s="7" t="s">
        <v>89</v>
      </c>
      <c r="H236" s="7" t="s">
        <v>90</v>
      </c>
      <c r="I236" s="7" t="s">
        <v>1789</v>
      </c>
      <c r="J236" s="7" t="s">
        <v>4</v>
      </c>
      <c r="K236" s="4" t="s">
        <v>10</v>
      </c>
      <c r="L236" s="4" t="s">
        <v>24</v>
      </c>
      <c r="M236" s="4" t="s">
        <v>4311</v>
      </c>
      <c r="N236" s="4" t="s">
        <v>2584</v>
      </c>
      <c r="O236" s="89"/>
      <c r="P236" s="25">
        <v>45957</v>
      </c>
      <c r="Q236" s="7" t="s">
        <v>106</v>
      </c>
      <c r="R236" s="90" t="s">
        <v>3264</v>
      </c>
      <c r="S236" s="6" t="s">
        <v>1795</v>
      </c>
      <c r="T236" s="4" t="s">
        <v>81</v>
      </c>
      <c r="U236" s="4" t="s">
        <v>103</v>
      </c>
      <c r="V236" s="4">
        <v>99</v>
      </c>
      <c r="W236" s="85">
        <v>46013</v>
      </c>
      <c r="X236" s="4" t="s">
        <v>3739</v>
      </c>
      <c r="Y236" s="4">
        <v>553095039</v>
      </c>
      <c r="Z236" s="4" t="s">
        <v>3156</v>
      </c>
      <c r="AA236" s="4" t="s">
        <v>3016</v>
      </c>
      <c r="AB236" s="4" t="s">
        <v>4289</v>
      </c>
    </row>
    <row r="237" spans="1:28">
      <c r="A237" s="4">
        <v>236</v>
      </c>
      <c r="B237" s="5">
        <v>11589372</v>
      </c>
      <c r="C237" s="5">
        <v>203850934</v>
      </c>
      <c r="D237" s="115" t="s">
        <v>825</v>
      </c>
      <c r="E237" s="4" t="s">
        <v>826</v>
      </c>
      <c r="F237" s="7" t="s">
        <v>74</v>
      </c>
      <c r="G237" s="7" t="s">
        <v>87</v>
      </c>
      <c r="H237" s="7" t="s">
        <v>75</v>
      </c>
      <c r="I237" s="6" t="s">
        <v>1788</v>
      </c>
      <c r="J237" s="7" t="s">
        <v>4</v>
      </c>
      <c r="K237" s="4" t="s">
        <v>10</v>
      </c>
      <c r="L237" s="4" t="s">
        <v>24</v>
      </c>
      <c r="M237" s="4" t="s">
        <v>4311</v>
      </c>
      <c r="N237" s="4" t="s">
        <v>2583</v>
      </c>
      <c r="O237" s="89"/>
      <c r="P237" s="25">
        <v>45524</v>
      </c>
      <c r="Q237" s="7" t="s">
        <v>106</v>
      </c>
      <c r="R237" s="90" t="s">
        <v>3261</v>
      </c>
      <c r="S237" s="6" t="s">
        <v>1795</v>
      </c>
      <c r="T237" s="4" t="s">
        <v>81</v>
      </c>
      <c r="U237" s="4" t="s">
        <v>349</v>
      </c>
      <c r="V237" s="4">
        <v>99</v>
      </c>
      <c r="W237" s="85">
        <v>45889</v>
      </c>
      <c r="X237" s="4" t="s">
        <v>3694</v>
      </c>
      <c r="Y237" s="4">
        <v>559784119</v>
      </c>
      <c r="Z237" s="4" t="s">
        <v>1887</v>
      </c>
      <c r="AA237" s="4" t="s">
        <v>85</v>
      </c>
      <c r="AB237" s="4" t="s">
        <v>4289</v>
      </c>
    </row>
    <row r="238" spans="1:28">
      <c r="A238" s="4">
        <v>237</v>
      </c>
      <c r="B238" s="5">
        <v>14146774</v>
      </c>
      <c r="C238" s="5">
        <v>205996686</v>
      </c>
      <c r="D238" s="115" t="s">
        <v>2808</v>
      </c>
      <c r="E238" s="4" t="s">
        <v>2809</v>
      </c>
      <c r="F238" s="7" t="s">
        <v>74</v>
      </c>
      <c r="G238" s="7" t="s">
        <v>75</v>
      </c>
      <c r="H238" s="7" t="s">
        <v>76</v>
      </c>
      <c r="I238" s="7" t="s">
        <v>1789</v>
      </c>
      <c r="J238" s="7" t="s">
        <v>4</v>
      </c>
      <c r="K238" s="4" t="s">
        <v>10</v>
      </c>
      <c r="L238" s="4" t="s">
        <v>24</v>
      </c>
      <c r="M238" s="4" t="s">
        <v>4311</v>
      </c>
      <c r="N238" s="4"/>
      <c r="O238" s="89"/>
      <c r="P238" s="25">
        <v>45915</v>
      </c>
      <c r="Q238" s="7" t="s">
        <v>106</v>
      </c>
      <c r="R238" s="4" t="s">
        <v>3262</v>
      </c>
      <c r="S238" s="6" t="s">
        <v>1795</v>
      </c>
      <c r="T238" s="4" t="s">
        <v>92</v>
      </c>
      <c r="U238" s="4" t="s">
        <v>349</v>
      </c>
      <c r="V238" s="4">
        <v>99</v>
      </c>
      <c r="W238" s="85"/>
      <c r="X238" s="4"/>
      <c r="Y238" s="4"/>
      <c r="Z238" s="4"/>
      <c r="AA238" s="4" t="s">
        <v>85</v>
      </c>
      <c r="AB238" s="4" t="s">
        <v>4289</v>
      </c>
    </row>
    <row r="239" spans="1:28">
      <c r="A239" s="4">
        <v>238</v>
      </c>
      <c r="B239" s="5">
        <v>12577276</v>
      </c>
      <c r="C239" s="5">
        <v>203468508</v>
      </c>
      <c r="D239" s="115" t="s">
        <v>178</v>
      </c>
      <c r="E239" s="4" t="s">
        <v>179</v>
      </c>
      <c r="F239" s="7" t="s">
        <v>74</v>
      </c>
      <c r="G239" s="7" t="s">
        <v>90</v>
      </c>
      <c r="H239" s="7" t="s">
        <v>87</v>
      </c>
      <c r="I239" s="6" t="s">
        <v>1788</v>
      </c>
      <c r="J239" s="7" t="s">
        <v>4</v>
      </c>
      <c r="K239" s="4" t="s">
        <v>10</v>
      </c>
      <c r="L239" s="4" t="s">
        <v>24</v>
      </c>
      <c r="M239" s="4" t="s">
        <v>4311</v>
      </c>
      <c r="N239" s="4" t="s">
        <v>2583</v>
      </c>
      <c r="O239" s="89"/>
      <c r="P239" s="25">
        <v>45456</v>
      </c>
      <c r="Q239" s="7" t="s">
        <v>106</v>
      </c>
      <c r="R239" s="90" t="s">
        <v>3252</v>
      </c>
      <c r="S239" s="6" t="s">
        <v>1795</v>
      </c>
      <c r="T239" s="4" t="s">
        <v>81</v>
      </c>
      <c r="U239" s="4" t="s">
        <v>3263</v>
      </c>
      <c r="V239" s="4">
        <v>99</v>
      </c>
      <c r="W239" s="85">
        <v>45821</v>
      </c>
      <c r="X239" s="4" t="s">
        <v>3703</v>
      </c>
      <c r="Y239" s="4">
        <v>554800238</v>
      </c>
      <c r="Z239" s="4" t="s">
        <v>1888</v>
      </c>
      <c r="AA239" s="4" t="s">
        <v>85</v>
      </c>
      <c r="AB239" s="4" t="s">
        <v>4289</v>
      </c>
    </row>
    <row r="240" spans="1:28" ht="14.5" customHeight="1">
      <c r="A240" s="4">
        <v>239</v>
      </c>
      <c r="B240" s="5">
        <v>12693083</v>
      </c>
      <c r="C240" s="5">
        <v>204941770</v>
      </c>
      <c r="D240" s="115" t="s">
        <v>2480</v>
      </c>
      <c r="E240" s="4" t="s">
        <v>2481</v>
      </c>
      <c r="F240" s="7" t="s">
        <v>74</v>
      </c>
      <c r="G240" s="7" t="s">
        <v>94</v>
      </c>
      <c r="H240" s="7" t="s">
        <v>89</v>
      </c>
      <c r="I240" s="6" t="s">
        <v>244</v>
      </c>
      <c r="J240" s="7" t="s">
        <v>4</v>
      </c>
      <c r="K240" s="4" t="s">
        <v>10</v>
      </c>
      <c r="L240" s="4" t="s">
        <v>21</v>
      </c>
      <c r="M240" s="4" t="s">
        <v>4311</v>
      </c>
      <c r="N240" s="4"/>
      <c r="O240" s="89"/>
      <c r="P240" s="25">
        <v>45733</v>
      </c>
      <c r="Q240" s="7" t="s">
        <v>106</v>
      </c>
      <c r="R240" s="90" t="s">
        <v>3261</v>
      </c>
      <c r="S240" s="6" t="s">
        <v>1795</v>
      </c>
      <c r="T240" s="4" t="s">
        <v>81</v>
      </c>
      <c r="U240" s="4" t="s">
        <v>103</v>
      </c>
      <c r="V240" s="4">
        <v>3</v>
      </c>
      <c r="W240" s="85"/>
      <c r="X240" s="4"/>
      <c r="Y240" s="4"/>
      <c r="Z240" s="4"/>
      <c r="AA240" s="4" t="s">
        <v>1205</v>
      </c>
      <c r="AB240" s="4" t="s">
        <v>4290</v>
      </c>
    </row>
    <row r="241" spans="1:28" ht="14.5" customHeight="1">
      <c r="A241" s="4">
        <v>240</v>
      </c>
      <c r="B241" s="5">
        <v>11479755</v>
      </c>
      <c r="C241" s="5">
        <v>203468507</v>
      </c>
      <c r="D241" s="115" t="s">
        <v>180</v>
      </c>
      <c r="E241" s="4" t="s">
        <v>181</v>
      </c>
      <c r="F241" s="7" t="s">
        <v>82</v>
      </c>
      <c r="G241" s="7" t="s">
        <v>87</v>
      </c>
      <c r="H241" s="7" t="s">
        <v>75</v>
      </c>
      <c r="I241" s="6" t="s">
        <v>1788</v>
      </c>
      <c r="J241" s="7" t="s">
        <v>4</v>
      </c>
      <c r="K241" s="4" t="s">
        <v>10</v>
      </c>
      <c r="L241" s="4" t="s">
        <v>24</v>
      </c>
      <c r="M241" s="4" t="s">
        <v>4311</v>
      </c>
      <c r="N241" s="4" t="s">
        <v>2583</v>
      </c>
      <c r="O241" s="89"/>
      <c r="P241" s="25">
        <v>45456</v>
      </c>
      <c r="Q241" s="7" t="s">
        <v>106</v>
      </c>
      <c r="R241" s="90" t="s">
        <v>3258</v>
      </c>
      <c r="S241" s="6" t="s">
        <v>1795</v>
      </c>
      <c r="T241" s="4" t="s">
        <v>81</v>
      </c>
      <c r="U241" s="4" t="s">
        <v>107</v>
      </c>
      <c r="V241" s="4">
        <v>99</v>
      </c>
      <c r="W241" s="85">
        <v>45821</v>
      </c>
      <c r="X241" s="4" t="s">
        <v>1213</v>
      </c>
      <c r="Y241" s="4">
        <v>586874630</v>
      </c>
      <c r="Z241" s="4" t="s">
        <v>1889</v>
      </c>
      <c r="AA241" s="4" t="s">
        <v>85</v>
      </c>
      <c r="AB241" s="4" t="s">
        <v>4289</v>
      </c>
    </row>
    <row r="242" spans="1:28">
      <c r="A242" s="4">
        <v>241</v>
      </c>
      <c r="B242" s="5">
        <v>13395743</v>
      </c>
      <c r="C242" s="5">
        <v>106268319</v>
      </c>
      <c r="D242" s="115" t="s">
        <v>135</v>
      </c>
      <c r="E242" s="4" t="s">
        <v>136</v>
      </c>
      <c r="F242" s="7" t="s">
        <v>74</v>
      </c>
      <c r="G242" s="7" t="s">
        <v>76</v>
      </c>
      <c r="H242" s="7" t="s">
        <v>88</v>
      </c>
      <c r="I242" s="6" t="s">
        <v>119</v>
      </c>
      <c r="J242" s="7" t="s">
        <v>4</v>
      </c>
      <c r="K242" s="4" t="s">
        <v>10</v>
      </c>
      <c r="L242" s="4" t="s">
        <v>21</v>
      </c>
      <c r="M242" s="4" t="s">
        <v>4311</v>
      </c>
      <c r="N242" s="4"/>
      <c r="O242" s="89"/>
      <c r="P242" s="25">
        <v>44757</v>
      </c>
      <c r="Q242" s="7" t="s">
        <v>106</v>
      </c>
      <c r="R242" s="90" t="s">
        <v>3262</v>
      </c>
      <c r="S242" s="6" t="s">
        <v>1795</v>
      </c>
      <c r="T242" s="4" t="s">
        <v>92</v>
      </c>
      <c r="U242" s="4" t="s">
        <v>103</v>
      </c>
      <c r="V242" s="4">
        <v>1</v>
      </c>
      <c r="W242" s="85"/>
      <c r="X242" s="4" t="s">
        <v>3739</v>
      </c>
      <c r="Y242" s="4">
        <v>0</v>
      </c>
      <c r="Z242" s="4" t="e">
        <v>#N/A</v>
      </c>
      <c r="AA242" s="4" t="s">
        <v>2269</v>
      </c>
      <c r="AB242" s="4" t="s">
        <v>4289</v>
      </c>
    </row>
    <row r="243" spans="1:28">
      <c r="A243" s="4">
        <v>242</v>
      </c>
      <c r="B243" s="5">
        <v>13278558</v>
      </c>
      <c r="C243" s="5">
        <v>206149617</v>
      </c>
      <c r="D243" s="115" t="s">
        <v>2917</v>
      </c>
      <c r="E243" s="4" t="s">
        <v>2918</v>
      </c>
      <c r="F243" s="7" t="s">
        <v>74</v>
      </c>
      <c r="G243" s="7" t="s">
        <v>94</v>
      </c>
      <c r="H243" s="7" t="s">
        <v>89</v>
      </c>
      <c r="I243" s="6" t="s">
        <v>1788</v>
      </c>
      <c r="J243" s="7" t="s">
        <v>4</v>
      </c>
      <c r="K243" s="4" t="s">
        <v>10</v>
      </c>
      <c r="L243" s="4" t="s">
        <v>24</v>
      </c>
      <c r="M243" s="4" t="s">
        <v>4311</v>
      </c>
      <c r="N243" s="4"/>
      <c r="O243" s="89"/>
      <c r="P243" s="25">
        <v>45929</v>
      </c>
      <c r="Q243" s="7" t="s">
        <v>106</v>
      </c>
      <c r="R243" s="90" t="s">
        <v>3256</v>
      </c>
      <c r="S243" s="6" t="s">
        <v>1795</v>
      </c>
      <c r="T243" s="4" t="s">
        <v>92</v>
      </c>
      <c r="U243" s="4" t="s">
        <v>349</v>
      </c>
      <c r="V243" s="4">
        <v>99</v>
      </c>
      <c r="W243" s="85"/>
      <c r="X243" s="4"/>
      <c r="Y243" s="4"/>
      <c r="Z243" s="4"/>
      <c r="AA243" s="4" t="s">
        <v>95</v>
      </c>
      <c r="AB243" s="4" t="s">
        <v>4289</v>
      </c>
    </row>
    <row r="244" spans="1:28">
      <c r="A244" s="4">
        <v>243</v>
      </c>
      <c r="B244" s="5">
        <v>11376728</v>
      </c>
      <c r="C244" s="5">
        <v>102577243</v>
      </c>
      <c r="D244" s="115" t="s">
        <v>251</v>
      </c>
      <c r="E244" s="4" t="s">
        <v>252</v>
      </c>
      <c r="F244" s="7" t="s">
        <v>74</v>
      </c>
      <c r="G244" s="7" t="s">
        <v>76</v>
      </c>
      <c r="H244" s="7" t="s">
        <v>88</v>
      </c>
      <c r="I244" s="6" t="s">
        <v>244</v>
      </c>
      <c r="J244" s="7" t="s">
        <v>4</v>
      </c>
      <c r="K244" s="4" t="s">
        <v>10</v>
      </c>
      <c r="L244" s="4" t="s">
        <v>21</v>
      </c>
      <c r="M244" s="4" t="s">
        <v>4311</v>
      </c>
      <c r="N244" s="4"/>
      <c r="O244" s="89"/>
      <c r="P244" s="25">
        <v>42913</v>
      </c>
      <c r="Q244" s="7" t="s">
        <v>106</v>
      </c>
      <c r="R244" s="90" t="s">
        <v>3253</v>
      </c>
      <c r="S244" s="6" t="s">
        <v>1795</v>
      </c>
      <c r="T244" s="4" t="s">
        <v>81</v>
      </c>
      <c r="U244" s="4" t="s">
        <v>103</v>
      </c>
      <c r="V244" s="4">
        <v>3</v>
      </c>
      <c r="W244" s="85"/>
      <c r="X244" s="4" t="s">
        <v>1197</v>
      </c>
      <c r="Y244" s="4">
        <v>0</v>
      </c>
      <c r="Z244" s="4" t="e">
        <v>#N/A</v>
      </c>
      <c r="AA244" s="4" t="s">
        <v>1194</v>
      </c>
      <c r="AB244" s="4" t="s">
        <v>4290</v>
      </c>
    </row>
    <row r="245" spans="1:28">
      <c r="A245" s="4">
        <v>244</v>
      </c>
      <c r="B245" s="5">
        <v>12166629</v>
      </c>
      <c r="C245" s="5">
        <v>204095446</v>
      </c>
      <c r="D245" s="115" t="s">
        <v>1530</v>
      </c>
      <c r="E245" s="4" t="s">
        <v>1496</v>
      </c>
      <c r="F245" s="7" t="s">
        <v>74</v>
      </c>
      <c r="G245" s="7" t="s">
        <v>87</v>
      </c>
      <c r="H245" s="7" t="s">
        <v>75</v>
      </c>
      <c r="I245" s="6" t="s">
        <v>1790</v>
      </c>
      <c r="J245" s="7" t="s">
        <v>4</v>
      </c>
      <c r="K245" s="4" t="s">
        <v>10</v>
      </c>
      <c r="L245" s="4" t="s">
        <v>27</v>
      </c>
      <c r="M245" s="4" t="s">
        <v>4311</v>
      </c>
      <c r="N245" s="4" t="s">
        <v>2584</v>
      </c>
      <c r="O245" s="89"/>
      <c r="P245" s="25">
        <v>45561</v>
      </c>
      <c r="Q245" s="7" t="s">
        <v>106</v>
      </c>
      <c r="R245" s="90" t="s">
        <v>3257</v>
      </c>
      <c r="S245" s="6" t="s">
        <v>1795</v>
      </c>
      <c r="T245" s="4" t="s">
        <v>81</v>
      </c>
      <c r="U245" s="4" t="s">
        <v>349</v>
      </c>
      <c r="V245" s="4">
        <v>99</v>
      </c>
      <c r="W245" s="85">
        <v>46291</v>
      </c>
      <c r="X245" s="4" t="s">
        <v>3739</v>
      </c>
      <c r="Y245" s="4">
        <v>569112403</v>
      </c>
      <c r="Z245" s="4" t="s">
        <v>2241</v>
      </c>
      <c r="AA245" s="4" t="s">
        <v>1196</v>
      </c>
      <c r="AB245" s="4" t="s">
        <v>4289</v>
      </c>
    </row>
    <row r="246" spans="1:28">
      <c r="A246" s="4">
        <v>245</v>
      </c>
      <c r="B246" s="5">
        <v>11381304</v>
      </c>
      <c r="C246" s="5">
        <v>206239528</v>
      </c>
      <c r="D246" s="115" t="s">
        <v>3106</v>
      </c>
      <c r="E246" s="4" t="s">
        <v>3067</v>
      </c>
      <c r="F246" s="7" t="s">
        <v>74</v>
      </c>
      <c r="G246" s="7" t="s">
        <v>76</v>
      </c>
      <c r="H246" s="7" t="s">
        <v>88</v>
      </c>
      <c r="I246" s="6" t="s">
        <v>1788</v>
      </c>
      <c r="J246" s="7" t="s">
        <v>4</v>
      </c>
      <c r="K246" s="4" t="s">
        <v>10</v>
      </c>
      <c r="L246" s="4" t="s">
        <v>24</v>
      </c>
      <c r="M246" s="4" t="s">
        <v>4311</v>
      </c>
      <c r="N246" s="4" t="s">
        <v>2584</v>
      </c>
      <c r="O246" s="89"/>
      <c r="P246" s="25">
        <v>45943</v>
      </c>
      <c r="Q246" s="7" t="s">
        <v>106</v>
      </c>
      <c r="R246" s="4" t="s">
        <v>3262</v>
      </c>
      <c r="S246" s="6" t="s">
        <v>3012</v>
      </c>
      <c r="T246" s="4" t="s">
        <v>92</v>
      </c>
      <c r="U246" s="4" t="s">
        <v>349</v>
      </c>
      <c r="V246" s="4">
        <v>99</v>
      </c>
      <c r="W246" s="85" t="s">
        <v>3072</v>
      </c>
      <c r="X246" s="4" t="s">
        <v>2357</v>
      </c>
      <c r="Y246" s="4">
        <v>588836061</v>
      </c>
      <c r="Z246" s="4" t="s">
        <v>3081</v>
      </c>
      <c r="AA246" s="4" t="s">
        <v>85</v>
      </c>
      <c r="AB246" s="4" t="s">
        <v>4289</v>
      </c>
    </row>
    <row r="247" spans="1:28">
      <c r="A247" s="4">
        <v>246</v>
      </c>
      <c r="B247" s="5">
        <v>115243</v>
      </c>
      <c r="C247" s="5">
        <v>203709876</v>
      </c>
      <c r="D247" s="115" t="s">
        <v>259</v>
      </c>
      <c r="E247" s="4" t="s">
        <v>260</v>
      </c>
      <c r="F247" s="7" t="s">
        <v>74</v>
      </c>
      <c r="G247" s="7" t="s">
        <v>76</v>
      </c>
      <c r="H247" s="7" t="s">
        <v>88</v>
      </c>
      <c r="I247" s="6" t="s">
        <v>1790</v>
      </c>
      <c r="J247" s="7" t="s">
        <v>4</v>
      </c>
      <c r="K247" s="4" t="s">
        <v>10</v>
      </c>
      <c r="L247" s="4" t="s">
        <v>20</v>
      </c>
      <c r="M247" s="4" t="s">
        <v>4311</v>
      </c>
      <c r="N247" s="4" t="s">
        <v>2583</v>
      </c>
      <c r="O247" s="89"/>
      <c r="P247" s="25">
        <v>45495</v>
      </c>
      <c r="Q247" s="7" t="s">
        <v>106</v>
      </c>
      <c r="R247" s="90" t="s">
        <v>3264</v>
      </c>
      <c r="S247" s="6" t="s">
        <v>1795</v>
      </c>
      <c r="T247" s="4" t="s">
        <v>92</v>
      </c>
      <c r="U247" s="4" t="s">
        <v>132</v>
      </c>
      <c r="V247" s="4">
        <v>99</v>
      </c>
      <c r="W247" s="85">
        <v>46225</v>
      </c>
      <c r="X247" s="4" t="s">
        <v>3703</v>
      </c>
      <c r="Y247" s="4">
        <v>586701235</v>
      </c>
      <c r="Z247" s="4" t="s">
        <v>1890</v>
      </c>
      <c r="AA247" s="4" t="s">
        <v>1211</v>
      </c>
      <c r="AB247" s="4" t="s">
        <v>4289</v>
      </c>
    </row>
    <row r="248" spans="1:28">
      <c r="A248" s="4">
        <v>247</v>
      </c>
      <c r="B248" s="5">
        <v>12433619</v>
      </c>
      <c r="C248" s="5">
        <v>201228114</v>
      </c>
      <c r="D248" s="115" t="s">
        <v>1771</v>
      </c>
      <c r="E248" s="4" t="s">
        <v>1772</v>
      </c>
      <c r="F248" s="7" t="s">
        <v>82</v>
      </c>
      <c r="G248" s="7" t="s">
        <v>94</v>
      </c>
      <c r="H248" s="7" t="s">
        <v>89</v>
      </c>
      <c r="I248" s="6" t="s">
        <v>1790</v>
      </c>
      <c r="J248" s="7" t="s">
        <v>4</v>
      </c>
      <c r="K248" s="4" t="s">
        <v>10</v>
      </c>
      <c r="L248" s="4" t="s">
        <v>27</v>
      </c>
      <c r="M248" s="4" t="s">
        <v>4311</v>
      </c>
      <c r="N248" s="4" t="s">
        <v>2583</v>
      </c>
      <c r="O248" s="89"/>
      <c r="P248" s="25">
        <v>45596</v>
      </c>
      <c r="Q248" s="7" t="s">
        <v>106</v>
      </c>
      <c r="R248" s="90" t="s">
        <v>3253</v>
      </c>
      <c r="S248" s="6" t="s">
        <v>1795</v>
      </c>
      <c r="T248" s="4" t="s">
        <v>81</v>
      </c>
      <c r="U248" s="4" t="s">
        <v>112</v>
      </c>
      <c r="V248" s="4">
        <v>99</v>
      </c>
      <c r="W248" s="85">
        <v>46326</v>
      </c>
      <c r="X248" s="4" t="s">
        <v>3474</v>
      </c>
      <c r="Y248" s="4">
        <v>547052798</v>
      </c>
      <c r="Z248" s="4" t="s">
        <v>1957</v>
      </c>
      <c r="AA248" s="4" t="s">
        <v>85</v>
      </c>
      <c r="AB248" s="4" t="s">
        <v>4289</v>
      </c>
    </row>
    <row r="249" spans="1:28">
      <c r="A249" s="4">
        <v>248</v>
      </c>
      <c r="B249" s="5">
        <v>12100020</v>
      </c>
      <c r="C249" s="5">
        <v>206348034</v>
      </c>
      <c r="D249" s="115" t="s">
        <v>3196</v>
      </c>
      <c r="E249" s="4" t="s">
        <v>3186</v>
      </c>
      <c r="F249" s="7" t="s">
        <v>74</v>
      </c>
      <c r="G249" s="7" t="s">
        <v>90</v>
      </c>
      <c r="H249" s="7" t="s">
        <v>87</v>
      </c>
      <c r="I249" s="7" t="s">
        <v>1789</v>
      </c>
      <c r="J249" s="7" t="s">
        <v>4</v>
      </c>
      <c r="K249" s="4" t="s">
        <v>10</v>
      </c>
      <c r="L249" s="4" t="s">
        <v>24</v>
      </c>
      <c r="M249" s="4" t="s">
        <v>4311</v>
      </c>
      <c r="N249" s="4" t="s">
        <v>2584</v>
      </c>
      <c r="O249" s="89"/>
      <c r="P249" s="25">
        <v>45957</v>
      </c>
      <c r="Q249" s="7" t="s">
        <v>106</v>
      </c>
      <c r="R249" s="90" t="s">
        <v>3256</v>
      </c>
      <c r="S249" s="6" t="s">
        <v>1795</v>
      </c>
      <c r="T249" s="4" t="s">
        <v>81</v>
      </c>
      <c r="U249" s="4" t="s">
        <v>103</v>
      </c>
      <c r="V249" s="4">
        <v>99</v>
      </c>
      <c r="W249" s="85">
        <v>46013</v>
      </c>
      <c r="X249" s="4" t="s">
        <v>3688</v>
      </c>
      <c r="Y249" s="4">
        <v>526209479</v>
      </c>
      <c r="Z249" s="4" t="s">
        <v>3208</v>
      </c>
      <c r="AA249" s="4" t="s">
        <v>3016</v>
      </c>
      <c r="AB249" s="4" t="s">
        <v>4289</v>
      </c>
    </row>
    <row r="250" spans="1:28">
      <c r="A250" s="4">
        <v>249</v>
      </c>
      <c r="B250" s="5">
        <v>11370885</v>
      </c>
      <c r="C250" s="5">
        <v>203850938</v>
      </c>
      <c r="D250" s="115" t="s">
        <v>821</v>
      </c>
      <c r="E250" s="4" t="s">
        <v>822</v>
      </c>
      <c r="F250" s="7" t="s">
        <v>74</v>
      </c>
      <c r="G250" s="7" t="s">
        <v>90</v>
      </c>
      <c r="H250" s="7" t="s">
        <v>87</v>
      </c>
      <c r="I250" s="6" t="s">
        <v>1788</v>
      </c>
      <c r="J250" s="7" t="s">
        <v>4</v>
      </c>
      <c r="K250" s="4" t="s">
        <v>10</v>
      </c>
      <c r="L250" s="4" t="s">
        <v>24</v>
      </c>
      <c r="M250" s="4" t="s">
        <v>4311</v>
      </c>
      <c r="N250" s="4" t="s">
        <v>2583</v>
      </c>
      <c r="O250" s="89"/>
      <c r="P250" s="25">
        <v>45524</v>
      </c>
      <c r="Q250" s="7" t="s">
        <v>106</v>
      </c>
      <c r="R250" s="90" t="s">
        <v>3260</v>
      </c>
      <c r="S250" s="6" t="s">
        <v>1795</v>
      </c>
      <c r="T250" s="4" t="s">
        <v>92</v>
      </c>
      <c r="U250" s="4" t="s">
        <v>112</v>
      </c>
      <c r="V250" s="4">
        <v>99</v>
      </c>
      <c r="W250" s="85">
        <v>45889</v>
      </c>
      <c r="X250" s="4" t="s">
        <v>3703</v>
      </c>
      <c r="Y250" s="4">
        <v>588941262</v>
      </c>
      <c r="Z250" s="4" t="s">
        <v>1891</v>
      </c>
      <c r="AA250" s="4" t="s">
        <v>85</v>
      </c>
      <c r="AB250" s="4" t="s">
        <v>4289</v>
      </c>
    </row>
    <row r="251" spans="1:28">
      <c r="A251" s="4">
        <v>250</v>
      </c>
      <c r="B251" s="5">
        <v>142432</v>
      </c>
      <c r="C251" s="5">
        <v>203709886</v>
      </c>
      <c r="D251" s="115" t="s">
        <v>305</v>
      </c>
      <c r="E251" s="4" t="s">
        <v>306</v>
      </c>
      <c r="F251" s="7" t="s">
        <v>82</v>
      </c>
      <c r="G251" s="7" t="s">
        <v>76</v>
      </c>
      <c r="H251" s="7" t="s">
        <v>88</v>
      </c>
      <c r="I251" s="6" t="s">
        <v>1790</v>
      </c>
      <c r="J251" s="7" t="s">
        <v>4</v>
      </c>
      <c r="K251" s="4" t="s">
        <v>10</v>
      </c>
      <c r="L251" s="4" t="s">
        <v>20</v>
      </c>
      <c r="M251" s="4" t="s">
        <v>4311</v>
      </c>
      <c r="N251" s="4" t="s">
        <v>2583</v>
      </c>
      <c r="O251" s="89"/>
      <c r="P251" s="25">
        <v>45495</v>
      </c>
      <c r="Q251" s="7" t="s">
        <v>106</v>
      </c>
      <c r="R251" s="90" t="s">
        <v>3253</v>
      </c>
      <c r="S251" s="6" t="s">
        <v>1795</v>
      </c>
      <c r="T251" s="4" t="s">
        <v>81</v>
      </c>
      <c r="U251" s="4" t="s">
        <v>107</v>
      </c>
      <c r="V251" s="4">
        <v>99</v>
      </c>
      <c r="W251" s="85">
        <v>46225</v>
      </c>
      <c r="X251" s="4" t="s">
        <v>3703</v>
      </c>
      <c r="Y251" s="4">
        <v>559724811</v>
      </c>
      <c r="Z251" s="4" t="s">
        <v>1892</v>
      </c>
      <c r="AA251" s="4" t="s">
        <v>1211</v>
      </c>
      <c r="AB251" s="4" t="s">
        <v>4289</v>
      </c>
    </row>
    <row r="252" spans="1:28">
      <c r="A252" s="4">
        <v>251</v>
      </c>
      <c r="B252" s="5">
        <v>11244789</v>
      </c>
      <c r="C252" s="5">
        <v>103875256</v>
      </c>
      <c r="D252" s="115" t="s">
        <v>133</v>
      </c>
      <c r="E252" s="4" t="s">
        <v>134</v>
      </c>
      <c r="F252" s="7" t="s">
        <v>74</v>
      </c>
      <c r="G252" s="7" t="s">
        <v>75</v>
      </c>
      <c r="H252" s="7" t="s">
        <v>76</v>
      </c>
      <c r="I252" s="6" t="s">
        <v>119</v>
      </c>
      <c r="J252" s="7" t="s">
        <v>4</v>
      </c>
      <c r="K252" s="4" t="s">
        <v>10</v>
      </c>
      <c r="L252" s="4" t="s">
        <v>21</v>
      </c>
      <c r="M252" s="4" t="s">
        <v>4311</v>
      </c>
      <c r="N252" s="4"/>
      <c r="O252" s="89"/>
      <c r="P252" s="25">
        <v>44782</v>
      </c>
      <c r="Q252" s="7" t="s">
        <v>106</v>
      </c>
      <c r="R252" s="90" t="s">
        <v>3262</v>
      </c>
      <c r="S252" s="6" t="s">
        <v>1795</v>
      </c>
      <c r="T252" s="4" t="s">
        <v>81</v>
      </c>
      <c r="U252" s="4" t="s">
        <v>103</v>
      </c>
      <c r="V252" s="4">
        <v>1</v>
      </c>
      <c r="W252" s="85"/>
      <c r="X252" s="4" t="s">
        <v>3657</v>
      </c>
      <c r="Y252" s="4">
        <v>0</v>
      </c>
      <c r="Z252" s="4" t="e">
        <v>#N/A</v>
      </c>
      <c r="AA252" s="4" t="s">
        <v>127</v>
      </c>
      <c r="AB252" s="4" t="s">
        <v>4290</v>
      </c>
    </row>
    <row r="253" spans="1:28">
      <c r="A253" s="4">
        <v>252</v>
      </c>
      <c r="B253" s="5">
        <v>11682721</v>
      </c>
      <c r="C253" s="5">
        <v>204883087</v>
      </c>
      <c r="D253" s="115" t="s">
        <v>2327</v>
      </c>
      <c r="E253" s="4" t="s">
        <v>2328</v>
      </c>
      <c r="F253" s="7" t="s">
        <v>74</v>
      </c>
      <c r="G253" s="7" t="s">
        <v>76</v>
      </c>
      <c r="H253" s="7" t="s">
        <v>88</v>
      </c>
      <c r="I253" s="6" t="s">
        <v>1790</v>
      </c>
      <c r="J253" s="7" t="s">
        <v>4</v>
      </c>
      <c r="K253" s="4" t="s">
        <v>10</v>
      </c>
      <c r="L253" s="4" t="s">
        <v>27</v>
      </c>
      <c r="M253" s="4" t="s">
        <v>4311</v>
      </c>
      <c r="N253" s="4" t="s">
        <v>2584</v>
      </c>
      <c r="O253" s="89"/>
      <c r="P253" s="25">
        <v>45691</v>
      </c>
      <c r="Q253" s="7" t="s">
        <v>106</v>
      </c>
      <c r="R253" s="90" t="s">
        <v>3255</v>
      </c>
      <c r="S253" s="6" t="s">
        <v>1795</v>
      </c>
      <c r="T253" s="4" t="s">
        <v>92</v>
      </c>
      <c r="U253" s="4" t="s">
        <v>112</v>
      </c>
      <c r="V253" s="4">
        <v>99</v>
      </c>
      <c r="W253" s="85">
        <v>45747</v>
      </c>
      <c r="X253" s="4" t="s">
        <v>3703</v>
      </c>
      <c r="Y253" s="4" t="s">
        <v>2373</v>
      </c>
      <c r="Z253" s="4" t="s">
        <v>2398</v>
      </c>
      <c r="AA253" s="4" t="s">
        <v>1198</v>
      </c>
      <c r="AB253" s="4" t="s">
        <v>4289</v>
      </c>
    </row>
    <row r="254" spans="1:28">
      <c r="A254" s="4">
        <v>253</v>
      </c>
      <c r="B254" s="5">
        <v>12309808</v>
      </c>
      <c r="C254" s="5">
        <v>204967040</v>
      </c>
      <c r="D254" s="115" t="s">
        <v>2423</v>
      </c>
      <c r="E254" s="4" t="s">
        <v>2424</v>
      </c>
      <c r="F254" s="7" t="s">
        <v>82</v>
      </c>
      <c r="G254" s="7" t="s">
        <v>94</v>
      </c>
      <c r="H254" s="7" t="s">
        <v>89</v>
      </c>
      <c r="I254" s="6" t="s">
        <v>1790</v>
      </c>
      <c r="J254" s="7" t="s">
        <v>4</v>
      </c>
      <c r="K254" s="4" t="s">
        <v>10</v>
      </c>
      <c r="L254" s="4" t="s">
        <v>22</v>
      </c>
      <c r="M254" s="4" t="s">
        <v>4311</v>
      </c>
      <c r="N254" s="4" t="s">
        <v>2583</v>
      </c>
      <c r="O254" s="89"/>
      <c r="P254" s="25">
        <v>45719</v>
      </c>
      <c r="Q254" s="7" t="s">
        <v>106</v>
      </c>
      <c r="R254" s="90" t="s">
        <v>3252</v>
      </c>
      <c r="S254" s="6" t="s">
        <v>1795</v>
      </c>
      <c r="T254" s="4" t="s">
        <v>81</v>
      </c>
      <c r="U254" s="4" t="s">
        <v>112</v>
      </c>
      <c r="V254" s="4">
        <v>99</v>
      </c>
      <c r="W254" s="85">
        <v>45775</v>
      </c>
      <c r="X254" s="4" t="s">
        <v>1216</v>
      </c>
      <c r="Y254" s="4">
        <v>526692252</v>
      </c>
      <c r="Z254" s="4" t="s">
        <v>2443</v>
      </c>
      <c r="AA254" s="4" t="s">
        <v>85</v>
      </c>
      <c r="AB254" s="4" t="s">
        <v>4289</v>
      </c>
    </row>
    <row r="255" spans="1:28">
      <c r="A255" s="4">
        <v>254</v>
      </c>
      <c r="B255" s="5">
        <v>15116517</v>
      </c>
      <c r="C255" s="5">
        <v>203470082</v>
      </c>
      <c r="D255" s="115" t="s">
        <v>110</v>
      </c>
      <c r="E255" s="4" t="s">
        <v>111</v>
      </c>
      <c r="F255" s="7" t="s">
        <v>82</v>
      </c>
      <c r="G255" s="7" t="s">
        <v>90</v>
      </c>
      <c r="H255" s="7" t="s">
        <v>87</v>
      </c>
      <c r="I255" s="6" t="s">
        <v>1790</v>
      </c>
      <c r="J255" s="7" t="s">
        <v>4</v>
      </c>
      <c r="K255" s="4" t="s">
        <v>10</v>
      </c>
      <c r="L255" s="4" t="s">
        <v>20</v>
      </c>
      <c r="M255" s="4" t="s">
        <v>4311</v>
      </c>
      <c r="N255" s="4" t="s">
        <v>2583</v>
      </c>
      <c r="O255" s="89"/>
      <c r="P255" s="25">
        <v>45456</v>
      </c>
      <c r="Q255" s="7" t="s">
        <v>106</v>
      </c>
      <c r="R255" s="90" t="s">
        <v>3261</v>
      </c>
      <c r="S255" s="6" t="s">
        <v>1795</v>
      </c>
      <c r="T255" s="4" t="s">
        <v>81</v>
      </c>
      <c r="U255" s="4" t="s">
        <v>103</v>
      </c>
      <c r="V255" s="4">
        <v>99</v>
      </c>
      <c r="W255" s="85">
        <v>46186</v>
      </c>
      <c r="X255" s="4" t="s">
        <v>3703</v>
      </c>
      <c r="Y255" s="4">
        <v>552922103</v>
      </c>
      <c r="Z255" s="4" t="s">
        <v>1893</v>
      </c>
      <c r="AA255" s="4" t="s">
        <v>1211</v>
      </c>
      <c r="AB255" s="4" t="s">
        <v>4289</v>
      </c>
    </row>
    <row r="256" spans="1:28">
      <c r="A256" s="4">
        <v>255</v>
      </c>
      <c r="B256" s="5">
        <v>14236273</v>
      </c>
      <c r="C256" s="5">
        <v>206015654</v>
      </c>
      <c r="D256" s="115" t="s">
        <v>2810</v>
      </c>
      <c r="E256" s="4" t="s">
        <v>2811</v>
      </c>
      <c r="F256" s="7" t="s">
        <v>74</v>
      </c>
      <c r="G256" s="7" t="s">
        <v>89</v>
      </c>
      <c r="H256" s="7" t="s">
        <v>90</v>
      </c>
      <c r="I256" s="6" t="s">
        <v>1788</v>
      </c>
      <c r="J256" s="7" t="s">
        <v>4</v>
      </c>
      <c r="K256" s="4" t="s">
        <v>10</v>
      </c>
      <c r="L256" s="4" t="s">
        <v>24</v>
      </c>
      <c r="M256" s="4" t="s">
        <v>4311</v>
      </c>
      <c r="N256" s="4"/>
      <c r="O256" s="89"/>
      <c r="P256" s="25">
        <v>45915</v>
      </c>
      <c r="Q256" s="7" t="s">
        <v>106</v>
      </c>
      <c r="R256" s="4" t="s">
        <v>3262</v>
      </c>
      <c r="S256" s="6" t="s">
        <v>1795</v>
      </c>
      <c r="T256" s="4" t="s">
        <v>81</v>
      </c>
      <c r="U256" s="4" t="s">
        <v>349</v>
      </c>
      <c r="V256" s="4">
        <v>99</v>
      </c>
      <c r="W256" s="85"/>
      <c r="X256" s="4"/>
      <c r="Y256" s="4"/>
      <c r="Z256" s="4"/>
      <c r="AA256" s="4" t="s">
        <v>1196</v>
      </c>
      <c r="AB256" s="4" t="s">
        <v>4289</v>
      </c>
    </row>
    <row r="257" spans="1:28">
      <c r="A257" s="4">
        <v>256</v>
      </c>
      <c r="B257" s="5">
        <v>11181803</v>
      </c>
      <c r="C257" s="5">
        <v>203635600</v>
      </c>
      <c r="D257" s="115" t="s">
        <v>565</v>
      </c>
      <c r="E257" s="4" t="s">
        <v>566</v>
      </c>
      <c r="F257" s="7" t="s">
        <v>74</v>
      </c>
      <c r="G257" s="7" t="s">
        <v>75</v>
      </c>
      <c r="H257" s="7" t="s">
        <v>76</v>
      </c>
      <c r="I257" s="6" t="s">
        <v>1788</v>
      </c>
      <c r="J257" s="7" t="s">
        <v>4</v>
      </c>
      <c r="K257" s="4" t="s">
        <v>10</v>
      </c>
      <c r="L257" s="4" t="s">
        <v>24</v>
      </c>
      <c r="M257" s="4" t="s">
        <v>4311</v>
      </c>
      <c r="N257" s="4" t="s">
        <v>2583</v>
      </c>
      <c r="O257" s="89"/>
      <c r="P257" s="25">
        <v>45481</v>
      </c>
      <c r="Q257" s="7" t="s">
        <v>106</v>
      </c>
      <c r="R257" s="90" t="s">
        <v>2586</v>
      </c>
      <c r="S257" s="6" t="s">
        <v>1795</v>
      </c>
      <c r="T257" s="4" t="s">
        <v>81</v>
      </c>
      <c r="U257" s="4" t="s">
        <v>3259</v>
      </c>
      <c r="V257" s="4">
        <v>99</v>
      </c>
      <c r="W257" s="85">
        <v>45846</v>
      </c>
      <c r="X257" s="4" t="s">
        <v>3688</v>
      </c>
      <c r="Y257" s="4">
        <v>544537362</v>
      </c>
      <c r="Z257" s="4" t="s">
        <v>2250</v>
      </c>
      <c r="AA257" s="4" t="s">
        <v>85</v>
      </c>
      <c r="AB257" s="4" t="s">
        <v>4289</v>
      </c>
    </row>
    <row r="258" spans="1:28">
      <c r="A258" s="4">
        <v>257</v>
      </c>
      <c r="B258" s="5">
        <v>11945122</v>
      </c>
      <c r="C258" s="5">
        <v>204013736</v>
      </c>
      <c r="D258" s="115" t="s">
        <v>1380</v>
      </c>
      <c r="E258" s="4" t="s">
        <v>1381</v>
      </c>
      <c r="F258" s="7" t="s">
        <v>82</v>
      </c>
      <c r="G258" s="7" t="s">
        <v>88</v>
      </c>
      <c r="H258" s="7" t="s">
        <v>94</v>
      </c>
      <c r="I258" s="6" t="s">
        <v>1788</v>
      </c>
      <c r="J258" s="7" t="s">
        <v>4</v>
      </c>
      <c r="K258" s="4" t="s">
        <v>10</v>
      </c>
      <c r="L258" s="4" t="s">
        <v>24</v>
      </c>
      <c r="M258" s="4" t="s">
        <v>4311</v>
      </c>
      <c r="N258" s="4" t="s">
        <v>2583</v>
      </c>
      <c r="O258" s="89"/>
      <c r="P258" s="25">
        <v>45551</v>
      </c>
      <c r="Q258" s="7" t="s">
        <v>106</v>
      </c>
      <c r="R258" s="90" t="s">
        <v>3252</v>
      </c>
      <c r="S258" s="6" t="s">
        <v>1795</v>
      </c>
      <c r="T258" s="4" t="s">
        <v>81</v>
      </c>
      <c r="U258" s="4" t="s">
        <v>107</v>
      </c>
      <c r="V258" s="4">
        <v>99</v>
      </c>
      <c r="W258" s="85">
        <v>45916</v>
      </c>
      <c r="X258" s="4" t="s">
        <v>3690</v>
      </c>
      <c r="Y258" s="4">
        <v>524862846</v>
      </c>
      <c r="Z258" s="4" t="s">
        <v>1425</v>
      </c>
      <c r="AA258" s="4" t="s">
        <v>1196</v>
      </c>
      <c r="AB258" s="4" t="s">
        <v>4289</v>
      </c>
    </row>
    <row r="259" spans="1:28">
      <c r="A259" s="4">
        <v>258</v>
      </c>
      <c r="B259" s="5">
        <v>13564769</v>
      </c>
      <c r="C259" s="5">
        <v>206953819</v>
      </c>
      <c r="D259" s="115" t="s">
        <v>4125</v>
      </c>
      <c r="E259" s="4" t="s">
        <v>3962</v>
      </c>
      <c r="F259" s="7" t="s">
        <v>74</v>
      </c>
      <c r="G259" s="7" t="s">
        <v>75</v>
      </c>
      <c r="H259" s="7" t="s">
        <v>76</v>
      </c>
      <c r="I259" s="7" t="s">
        <v>1789</v>
      </c>
      <c r="J259" s="7" t="s">
        <v>4</v>
      </c>
      <c r="K259" s="4" t="s">
        <v>10</v>
      </c>
      <c r="L259" s="4" t="s">
        <v>23</v>
      </c>
      <c r="M259" s="4" t="s">
        <v>4311</v>
      </c>
      <c r="N259" s="4" t="s">
        <v>2584</v>
      </c>
      <c r="O259" s="89"/>
      <c r="P259" s="25">
        <v>46048</v>
      </c>
      <c r="Q259" s="7" t="s">
        <v>106</v>
      </c>
      <c r="R259" s="7" t="s">
        <v>3257</v>
      </c>
      <c r="S259" s="6" t="s">
        <v>1795</v>
      </c>
      <c r="T259" s="4" t="s">
        <v>92</v>
      </c>
      <c r="U259" s="4"/>
      <c r="V259" s="4">
        <v>99</v>
      </c>
      <c r="W259" s="85">
        <v>46104</v>
      </c>
      <c r="X259" s="4" t="s">
        <v>3979</v>
      </c>
      <c r="Y259" s="4" t="s">
        <v>3985</v>
      </c>
      <c r="Z259" s="4" t="s">
        <v>4004</v>
      </c>
      <c r="AA259" s="4" t="s">
        <v>1204</v>
      </c>
      <c r="AB259" s="4" t="s">
        <v>4289</v>
      </c>
    </row>
    <row r="260" spans="1:28">
      <c r="A260" s="4">
        <v>259</v>
      </c>
      <c r="B260" s="5">
        <v>11095445</v>
      </c>
      <c r="C260" s="5">
        <v>206348214</v>
      </c>
      <c r="D260" s="115" t="s">
        <v>3169</v>
      </c>
      <c r="E260" s="4" t="s">
        <v>3130</v>
      </c>
      <c r="F260" s="7" t="s">
        <v>74</v>
      </c>
      <c r="G260" s="7" t="s">
        <v>88</v>
      </c>
      <c r="H260" s="7" t="s">
        <v>94</v>
      </c>
      <c r="I260" s="7" t="s">
        <v>1789</v>
      </c>
      <c r="J260" s="7" t="s">
        <v>4</v>
      </c>
      <c r="K260" s="4" t="s">
        <v>10</v>
      </c>
      <c r="L260" s="4" t="s">
        <v>24</v>
      </c>
      <c r="M260" s="4" t="s">
        <v>4311</v>
      </c>
      <c r="N260" s="4" t="s">
        <v>2584</v>
      </c>
      <c r="O260" s="89"/>
      <c r="P260" s="25">
        <v>45957</v>
      </c>
      <c r="Q260" s="7" t="s">
        <v>106</v>
      </c>
      <c r="R260" s="4" t="s">
        <v>3262</v>
      </c>
      <c r="S260" s="6" t="s">
        <v>1795</v>
      </c>
      <c r="T260" s="4" t="s">
        <v>81</v>
      </c>
      <c r="U260" s="4" t="s">
        <v>349</v>
      </c>
      <c r="V260" s="4">
        <v>99</v>
      </c>
      <c r="W260" s="85">
        <v>46013</v>
      </c>
      <c r="X260" s="4" t="s">
        <v>1197</v>
      </c>
      <c r="Y260" s="4">
        <v>542947539</v>
      </c>
      <c r="Z260" s="4" t="s">
        <v>3154</v>
      </c>
      <c r="AA260" s="4" t="s">
        <v>1198</v>
      </c>
      <c r="AB260" s="4" t="s">
        <v>4289</v>
      </c>
    </row>
    <row r="261" spans="1:28">
      <c r="A261" s="4">
        <v>260</v>
      </c>
      <c r="B261" s="5">
        <v>13368728</v>
      </c>
      <c r="C261" s="5">
        <v>206148779</v>
      </c>
      <c r="D261" s="115" t="s">
        <v>2919</v>
      </c>
      <c r="E261" s="4" t="s">
        <v>2920</v>
      </c>
      <c r="F261" s="7" t="s">
        <v>74</v>
      </c>
      <c r="G261" s="7" t="s">
        <v>76</v>
      </c>
      <c r="H261" s="7" t="s">
        <v>88</v>
      </c>
      <c r="I261" s="6" t="s">
        <v>1788</v>
      </c>
      <c r="J261" s="7" t="s">
        <v>4</v>
      </c>
      <c r="K261" s="4" t="s">
        <v>10</v>
      </c>
      <c r="L261" s="4" t="s">
        <v>24</v>
      </c>
      <c r="M261" s="4" t="s">
        <v>4311</v>
      </c>
      <c r="N261" s="4"/>
      <c r="O261" s="89"/>
      <c r="P261" s="25">
        <v>45929</v>
      </c>
      <c r="Q261" s="7" t="s">
        <v>106</v>
      </c>
      <c r="R261" s="90" t="s">
        <v>3252</v>
      </c>
      <c r="S261" s="6" t="s">
        <v>1795</v>
      </c>
      <c r="T261" s="4" t="s">
        <v>92</v>
      </c>
      <c r="U261" s="4" t="s">
        <v>107</v>
      </c>
      <c r="V261" s="4">
        <v>99</v>
      </c>
      <c r="W261" s="85"/>
      <c r="X261" s="4"/>
      <c r="Y261" s="4"/>
      <c r="Z261" s="4"/>
      <c r="AA261" s="4" t="s">
        <v>85</v>
      </c>
      <c r="AB261" s="4" t="s">
        <v>4289</v>
      </c>
    </row>
    <row r="262" spans="1:28">
      <c r="A262" s="4">
        <v>261</v>
      </c>
      <c r="B262" s="5">
        <v>12052645</v>
      </c>
      <c r="C262" s="5">
        <v>206192491</v>
      </c>
      <c r="D262" s="115" t="s">
        <v>3107</v>
      </c>
      <c r="E262" s="4" t="s">
        <v>3069</v>
      </c>
      <c r="F262" s="7" t="s">
        <v>74</v>
      </c>
      <c r="G262" s="7" t="s">
        <v>87</v>
      </c>
      <c r="H262" s="7" t="s">
        <v>75</v>
      </c>
      <c r="I262" s="6" t="s">
        <v>1788</v>
      </c>
      <c r="J262" s="7" t="s">
        <v>4</v>
      </c>
      <c r="K262" s="4" t="s">
        <v>10</v>
      </c>
      <c r="L262" s="4" t="s">
        <v>23</v>
      </c>
      <c r="M262" s="4" t="s">
        <v>4311</v>
      </c>
      <c r="N262" s="4" t="s">
        <v>2584</v>
      </c>
      <c r="O262" s="89"/>
      <c r="P262" s="25">
        <v>45943</v>
      </c>
      <c r="Q262" s="7" t="s">
        <v>106</v>
      </c>
      <c r="R262" s="4" t="s">
        <v>3255</v>
      </c>
      <c r="S262" s="6" t="s">
        <v>3012</v>
      </c>
      <c r="T262" s="4" t="s">
        <v>92</v>
      </c>
      <c r="U262" s="4" t="s">
        <v>349</v>
      </c>
      <c r="V262" s="4">
        <v>99</v>
      </c>
      <c r="W262" s="85" t="s">
        <v>3072</v>
      </c>
      <c r="X262" s="4" t="s">
        <v>2357</v>
      </c>
      <c r="Y262" s="4" t="s">
        <v>3074</v>
      </c>
      <c r="Z262" s="4" t="s">
        <v>3083</v>
      </c>
      <c r="AA262" s="4" t="s">
        <v>85</v>
      </c>
      <c r="AB262" s="4" t="s">
        <v>4289</v>
      </c>
    </row>
    <row r="263" spans="1:28">
      <c r="A263" s="4">
        <v>262</v>
      </c>
      <c r="B263" s="5">
        <v>14649310</v>
      </c>
      <c r="C263" s="5">
        <v>206953568</v>
      </c>
      <c r="D263" s="115" t="s">
        <v>4126</v>
      </c>
      <c r="E263" s="4" t="s">
        <v>3963</v>
      </c>
      <c r="F263" s="7" t="s">
        <v>74</v>
      </c>
      <c r="G263" s="7" t="s">
        <v>88</v>
      </c>
      <c r="H263" s="7" t="s">
        <v>94</v>
      </c>
      <c r="I263" s="7" t="s">
        <v>1789</v>
      </c>
      <c r="J263" s="7" t="s">
        <v>4</v>
      </c>
      <c r="K263" s="4" t="s">
        <v>10</v>
      </c>
      <c r="L263" s="4" t="s">
        <v>23</v>
      </c>
      <c r="M263" s="4" t="s">
        <v>4311</v>
      </c>
      <c r="N263" s="4" t="s">
        <v>2584</v>
      </c>
      <c r="O263" s="89"/>
      <c r="P263" s="25">
        <v>46048</v>
      </c>
      <c r="Q263" s="7" t="s">
        <v>106</v>
      </c>
      <c r="R263" s="4" t="s">
        <v>3255</v>
      </c>
      <c r="S263" s="6" t="s">
        <v>1795</v>
      </c>
      <c r="T263" s="4" t="s">
        <v>92</v>
      </c>
      <c r="U263" s="4"/>
      <c r="V263" s="4">
        <v>99</v>
      </c>
      <c r="W263" s="85">
        <v>46104</v>
      </c>
      <c r="X263" s="4" t="s">
        <v>3979</v>
      </c>
      <c r="Y263" s="4" t="s">
        <v>3986</v>
      </c>
      <c r="Z263" s="4" t="s">
        <v>4005</v>
      </c>
      <c r="AA263" s="4" t="s">
        <v>1204</v>
      </c>
      <c r="AB263" s="4" t="s">
        <v>4289</v>
      </c>
    </row>
    <row r="264" spans="1:28">
      <c r="A264" s="4">
        <v>263</v>
      </c>
      <c r="B264" s="5">
        <v>13613803</v>
      </c>
      <c r="C264" s="5">
        <v>206953818</v>
      </c>
      <c r="D264" s="115" t="s">
        <v>4127</v>
      </c>
      <c r="E264" s="4" t="s">
        <v>3964</v>
      </c>
      <c r="F264" s="7" t="s">
        <v>74</v>
      </c>
      <c r="G264" s="7" t="s">
        <v>89</v>
      </c>
      <c r="H264" s="7" t="s">
        <v>90</v>
      </c>
      <c r="I264" s="7" t="s">
        <v>1789</v>
      </c>
      <c r="J264" s="7" t="s">
        <v>4</v>
      </c>
      <c r="K264" s="4" t="s">
        <v>10</v>
      </c>
      <c r="L264" s="4" t="s">
        <v>23</v>
      </c>
      <c r="M264" s="4" t="s">
        <v>4311</v>
      </c>
      <c r="N264" s="4" t="s">
        <v>2584</v>
      </c>
      <c r="O264" s="89"/>
      <c r="P264" s="25">
        <v>46048</v>
      </c>
      <c r="Q264" s="7" t="s">
        <v>106</v>
      </c>
      <c r="R264" s="4" t="s">
        <v>3261</v>
      </c>
      <c r="S264" s="6" t="s">
        <v>1795</v>
      </c>
      <c r="T264" s="4" t="s">
        <v>92</v>
      </c>
      <c r="U264" s="4"/>
      <c r="V264" s="4">
        <v>99</v>
      </c>
      <c r="W264" s="85">
        <v>46104</v>
      </c>
      <c r="X264" s="4" t="s">
        <v>3979</v>
      </c>
      <c r="Y264" s="4" t="s">
        <v>3987</v>
      </c>
      <c r="Z264" s="4" t="s">
        <v>4006</v>
      </c>
      <c r="AA264" s="4" t="s">
        <v>1204</v>
      </c>
      <c r="AB264" s="4" t="e">
        <v>#N/A</v>
      </c>
    </row>
    <row r="265" spans="1:28">
      <c r="A265" s="4">
        <v>264</v>
      </c>
      <c r="B265" s="5">
        <v>14851329</v>
      </c>
      <c r="C265" s="5">
        <v>203709884</v>
      </c>
      <c r="D265" s="115" t="s">
        <v>257</v>
      </c>
      <c r="E265" s="4" t="s">
        <v>258</v>
      </c>
      <c r="F265" s="7" t="s">
        <v>74</v>
      </c>
      <c r="G265" s="7" t="s">
        <v>88</v>
      </c>
      <c r="H265" s="7" t="s">
        <v>94</v>
      </c>
      <c r="I265" s="6" t="s">
        <v>1790</v>
      </c>
      <c r="J265" s="7" t="s">
        <v>4</v>
      </c>
      <c r="K265" s="4" t="s">
        <v>10</v>
      </c>
      <c r="L265" s="4" t="s">
        <v>20</v>
      </c>
      <c r="M265" s="4" t="s">
        <v>4311</v>
      </c>
      <c r="N265" s="4" t="s">
        <v>2583</v>
      </c>
      <c r="O265" s="89"/>
      <c r="P265" s="25">
        <v>45495</v>
      </c>
      <c r="Q265" s="7" t="s">
        <v>106</v>
      </c>
      <c r="R265" s="90" t="s">
        <v>3257</v>
      </c>
      <c r="S265" s="6" t="s">
        <v>1795</v>
      </c>
      <c r="T265" s="4" t="s">
        <v>92</v>
      </c>
      <c r="U265" s="4" t="s">
        <v>103</v>
      </c>
      <c r="V265" s="4">
        <v>99</v>
      </c>
      <c r="W265" s="85">
        <v>46225</v>
      </c>
      <c r="X265" s="4" t="s">
        <v>3703</v>
      </c>
      <c r="Y265" s="4">
        <v>503568657</v>
      </c>
      <c r="Z265" s="4" t="s">
        <v>1894</v>
      </c>
      <c r="AA265" s="4" t="s">
        <v>1211</v>
      </c>
      <c r="AB265" s="4" t="s">
        <v>4289</v>
      </c>
    </row>
    <row r="266" spans="1:28">
      <c r="A266" s="4">
        <v>265</v>
      </c>
      <c r="B266" s="5">
        <v>11302299</v>
      </c>
      <c r="C266" s="5">
        <v>203709883</v>
      </c>
      <c r="D266" s="115" t="s">
        <v>253</v>
      </c>
      <c r="E266" s="4" t="s">
        <v>254</v>
      </c>
      <c r="F266" s="7" t="s">
        <v>74</v>
      </c>
      <c r="G266" s="7" t="s">
        <v>87</v>
      </c>
      <c r="H266" s="7" t="s">
        <v>75</v>
      </c>
      <c r="I266" s="6" t="s">
        <v>1790</v>
      </c>
      <c r="J266" s="7" t="s">
        <v>4</v>
      </c>
      <c r="K266" s="4" t="s">
        <v>10</v>
      </c>
      <c r="L266" s="4" t="s">
        <v>20</v>
      </c>
      <c r="M266" s="4" t="s">
        <v>4311</v>
      </c>
      <c r="N266" s="4" t="s">
        <v>2583</v>
      </c>
      <c r="O266" s="89"/>
      <c r="P266" s="25">
        <v>45495</v>
      </c>
      <c r="Q266" s="7" t="s">
        <v>106</v>
      </c>
      <c r="R266" s="90" t="s">
        <v>3254</v>
      </c>
      <c r="S266" s="6" t="s">
        <v>1795</v>
      </c>
      <c r="T266" s="4" t="s">
        <v>81</v>
      </c>
      <c r="U266" s="4" t="s">
        <v>103</v>
      </c>
      <c r="V266" s="4">
        <v>99</v>
      </c>
      <c r="W266" s="85">
        <v>46225</v>
      </c>
      <c r="X266" s="4" t="s">
        <v>3703</v>
      </c>
      <c r="Y266" s="4">
        <v>566226576</v>
      </c>
      <c r="Z266" s="4" t="s">
        <v>1895</v>
      </c>
      <c r="AA266" s="4" t="s">
        <v>1211</v>
      </c>
      <c r="AB266" s="4" t="s">
        <v>4289</v>
      </c>
    </row>
    <row r="267" spans="1:28">
      <c r="A267" s="4">
        <v>266</v>
      </c>
      <c r="B267" s="5">
        <v>14732903</v>
      </c>
      <c r="C267" s="5">
        <v>203470579</v>
      </c>
      <c r="D267" s="115" t="s">
        <v>108</v>
      </c>
      <c r="E267" s="4" t="s">
        <v>109</v>
      </c>
      <c r="F267" s="7" t="s">
        <v>74</v>
      </c>
      <c r="G267" s="7" t="s">
        <v>88</v>
      </c>
      <c r="H267" s="7" t="s">
        <v>94</v>
      </c>
      <c r="I267" s="6" t="s">
        <v>1790</v>
      </c>
      <c r="J267" s="7" t="s">
        <v>4</v>
      </c>
      <c r="K267" s="4" t="s">
        <v>10</v>
      </c>
      <c r="L267" s="4" t="s">
        <v>20</v>
      </c>
      <c r="M267" s="4" t="s">
        <v>4311</v>
      </c>
      <c r="N267" s="4" t="s">
        <v>2583</v>
      </c>
      <c r="O267" s="89"/>
      <c r="P267" s="25">
        <v>45456</v>
      </c>
      <c r="Q267" s="7" t="s">
        <v>106</v>
      </c>
      <c r="R267" s="90" t="s">
        <v>3262</v>
      </c>
      <c r="S267" s="6" t="s">
        <v>1795</v>
      </c>
      <c r="T267" s="4" t="s">
        <v>81</v>
      </c>
      <c r="U267" s="4" t="s">
        <v>103</v>
      </c>
      <c r="V267" s="4">
        <v>99</v>
      </c>
      <c r="W267" s="85">
        <v>46186</v>
      </c>
      <c r="X267" s="4" t="s">
        <v>3688</v>
      </c>
      <c r="Y267" s="4">
        <v>557233482</v>
      </c>
      <c r="Z267" s="4" t="s">
        <v>1896</v>
      </c>
      <c r="AA267" s="4" t="s">
        <v>95</v>
      </c>
      <c r="AB267" s="4" t="s">
        <v>4290</v>
      </c>
    </row>
    <row r="268" spans="1:28">
      <c r="A268" s="4">
        <v>267</v>
      </c>
      <c r="B268" s="5">
        <v>172556</v>
      </c>
      <c r="C268" s="5">
        <v>206791751</v>
      </c>
      <c r="D268" s="115" t="s">
        <v>3265</v>
      </c>
      <c r="E268" s="4" t="s">
        <v>3266</v>
      </c>
      <c r="F268" s="7" t="s">
        <v>74</v>
      </c>
      <c r="G268" s="7" t="s">
        <v>76</v>
      </c>
      <c r="H268" s="7" t="s">
        <v>88</v>
      </c>
      <c r="I268" s="7" t="s">
        <v>1789</v>
      </c>
      <c r="J268" s="7" t="s">
        <v>3</v>
      </c>
      <c r="K268" s="4" t="s">
        <v>10</v>
      </c>
      <c r="L268" s="4" t="s">
        <v>22</v>
      </c>
      <c r="M268" s="4" t="s">
        <v>4312</v>
      </c>
      <c r="N268" s="4"/>
      <c r="O268" s="89"/>
      <c r="P268" s="25">
        <v>45999</v>
      </c>
      <c r="Q268" s="7" t="s">
        <v>1106</v>
      </c>
      <c r="R268" s="90" t="s">
        <v>3254</v>
      </c>
      <c r="S268" s="6" t="s">
        <v>1795</v>
      </c>
      <c r="T268" s="4" t="s">
        <v>81</v>
      </c>
      <c r="U268" s="4" t="s">
        <v>349</v>
      </c>
      <c r="V268" s="4">
        <v>99</v>
      </c>
      <c r="W268" s="85"/>
      <c r="X268" s="4"/>
      <c r="Y268" s="4"/>
      <c r="Z268" s="4"/>
      <c r="AA268" s="4" t="s">
        <v>95</v>
      </c>
      <c r="AB268" s="4" t="s">
        <v>4289</v>
      </c>
    </row>
    <row r="269" spans="1:28">
      <c r="A269" s="4">
        <v>268</v>
      </c>
      <c r="B269" s="5">
        <v>12659872</v>
      </c>
      <c r="C269" s="5">
        <v>111231851</v>
      </c>
      <c r="D269" s="115" t="s">
        <v>152</v>
      </c>
      <c r="E269" s="4" t="s">
        <v>153</v>
      </c>
      <c r="F269" s="7" t="s">
        <v>74</v>
      </c>
      <c r="G269" s="7" t="s">
        <v>75</v>
      </c>
      <c r="H269" s="7" t="s">
        <v>76</v>
      </c>
      <c r="I269" s="6" t="s">
        <v>119</v>
      </c>
      <c r="J269" s="7" t="s">
        <v>3</v>
      </c>
      <c r="K269" s="4" t="s">
        <v>10</v>
      </c>
      <c r="L269" s="4" t="s">
        <v>21</v>
      </c>
      <c r="M269" s="4" t="s">
        <v>4312</v>
      </c>
      <c r="N269" s="4" t="s">
        <v>2583</v>
      </c>
      <c r="O269" s="89"/>
      <c r="P269" s="25">
        <v>44782</v>
      </c>
      <c r="Q269" s="7" t="s">
        <v>1433</v>
      </c>
      <c r="R269" s="90" t="s">
        <v>3256</v>
      </c>
      <c r="S269" s="6" t="s">
        <v>1795</v>
      </c>
      <c r="T269" s="4" t="s">
        <v>81</v>
      </c>
      <c r="U269" s="4" t="s">
        <v>103</v>
      </c>
      <c r="V269" s="4">
        <v>1</v>
      </c>
      <c r="W269" s="85"/>
      <c r="X269" s="4" t="s">
        <v>3474</v>
      </c>
      <c r="Y269" s="4">
        <v>0</v>
      </c>
      <c r="Z269" s="4" t="e">
        <v>#N/A</v>
      </c>
      <c r="AA269" s="4" t="s">
        <v>127</v>
      </c>
      <c r="AB269" s="4" t="s">
        <v>4290</v>
      </c>
    </row>
    <row r="270" spans="1:28">
      <c r="A270" s="4">
        <v>269</v>
      </c>
      <c r="B270" s="5">
        <v>12618196</v>
      </c>
      <c r="C270" s="5">
        <v>206791753</v>
      </c>
      <c r="D270" s="115" t="s">
        <v>3267</v>
      </c>
      <c r="E270" s="4" t="s">
        <v>3268</v>
      </c>
      <c r="F270" s="7" t="s">
        <v>74</v>
      </c>
      <c r="G270" s="7" t="s">
        <v>75</v>
      </c>
      <c r="H270" s="7" t="s">
        <v>76</v>
      </c>
      <c r="I270" s="7" t="s">
        <v>1789</v>
      </c>
      <c r="J270" s="7" t="s">
        <v>3</v>
      </c>
      <c r="K270" s="4" t="s">
        <v>10</v>
      </c>
      <c r="L270" s="4" t="s">
        <v>22</v>
      </c>
      <c r="M270" s="4" t="s">
        <v>634</v>
      </c>
      <c r="N270" s="4"/>
      <c r="O270" s="89"/>
      <c r="P270" s="25">
        <v>45999</v>
      </c>
      <c r="Q270" s="7" t="s">
        <v>161</v>
      </c>
      <c r="R270" s="4" t="s">
        <v>3260</v>
      </c>
      <c r="S270" s="6" t="s">
        <v>1795</v>
      </c>
      <c r="T270" s="4" t="s">
        <v>81</v>
      </c>
      <c r="U270" s="4" t="s">
        <v>349</v>
      </c>
      <c r="V270" s="4">
        <v>99</v>
      </c>
      <c r="W270" s="85"/>
      <c r="X270" s="4"/>
      <c r="Y270" s="4"/>
      <c r="Z270" s="4"/>
      <c r="AA270" s="4" t="s">
        <v>95</v>
      </c>
      <c r="AB270" s="4" t="s">
        <v>4290</v>
      </c>
    </row>
    <row r="271" spans="1:28">
      <c r="A271" s="4">
        <v>270</v>
      </c>
      <c r="B271" s="5">
        <v>14071822</v>
      </c>
      <c r="C271" s="5">
        <v>203850647</v>
      </c>
      <c r="D271" s="115" t="s">
        <v>742</v>
      </c>
      <c r="E271" s="4" t="s">
        <v>743</v>
      </c>
      <c r="F271" s="7" t="s">
        <v>74</v>
      </c>
      <c r="G271" s="7" t="s">
        <v>76</v>
      </c>
      <c r="H271" s="7" t="s">
        <v>88</v>
      </c>
      <c r="I271" s="6" t="s">
        <v>1790</v>
      </c>
      <c r="J271" s="7" t="s">
        <v>3</v>
      </c>
      <c r="K271" s="4" t="s">
        <v>10</v>
      </c>
      <c r="L271" s="4" t="s">
        <v>22</v>
      </c>
      <c r="M271" s="4" t="s">
        <v>634</v>
      </c>
      <c r="N271" s="4" t="s">
        <v>2584</v>
      </c>
      <c r="O271" s="89"/>
      <c r="P271" s="25">
        <v>45524</v>
      </c>
      <c r="Q271" s="7" t="s">
        <v>1434</v>
      </c>
      <c r="R271" s="90" t="s">
        <v>3252</v>
      </c>
      <c r="S271" s="6" t="s">
        <v>1795</v>
      </c>
      <c r="T271" s="4" t="s">
        <v>81</v>
      </c>
      <c r="U271" s="4" t="s">
        <v>107</v>
      </c>
      <c r="V271" s="4">
        <v>99</v>
      </c>
      <c r="W271" s="85">
        <v>45580</v>
      </c>
      <c r="X271" s="4" t="s">
        <v>1216</v>
      </c>
      <c r="Y271" s="4">
        <v>523907724</v>
      </c>
      <c r="Z271" s="4" t="s">
        <v>1897</v>
      </c>
      <c r="AA271" s="4" t="s">
        <v>95</v>
      </c>
      <c r="AB271" s="4" t="s">
        <v>4290</v>
      </c>
    </row>
    <row r="272" spans="1:28">
      <c r="A272" s="4">
        <v>271</v>
      </c>
      <c r="B272" s="5">
        <v>11061481</v>
      </c>
      <c r="C272" s="5">
        <v>203816837</v>
      </c>
      <c r="D272" s="115" t="s">
        <v>682</v>
      </c>
      <c r="E272" s="4" t="s">
        <v>683</v>
      </c>
      <c r="F272" s="7" t="s">
        <v>74</v>
      </c>
      <c r="G272" s="7" t="s">
        <v>75</v>
      </c>
      <c r="H272" s="7" t="s">
        <v>76</v>
      </c>
      <c r="I272" s="6" t="s">
        <v>1790</v>
      </c>
      <c r="J272" s="7" t="s">
        <v>3</v>
      </c>
      <c r="K272" s="4" t="s">
        <v>10</v>
      </c>
      <c r="L272" s="4" t="s">
        <v>20</v>
      </c>
      <c r="M272" s="4" t="s">
        <v>634</v>
      </c>
      <c r="N272" s="4" t="s">
        <v>2584</v>
      </c>
      <c r="O272" s="89"/>
      <c r="P272" s="25">
        <v>45517</v>
      </c>
      <c r="Q272" s="7" t="s">
        <v>1106</v>
      </c>
      <c r="R272" s="90" t="s">
        <v>3256</v>
      </c>
      <c r="S272" s="6" t="s">
        <v>1795</v>
      </c>
      <c r="T272" s="4" t="s">
        <v>1199</v>
      </c>
      <c r="U272" s="4" t="s">
        <v>112</v>
      </c>
      <c r="V272" s="4">
        <v>99</v>
      </c>
      <c r="W272" s="85">
        <v>46247</v>
      </c>
      <c r="X272" s="4" t="s">
        <v>3474</v>
      </c>
      <c r="Y272" s="4">
        <v>525151304</v>
      </c>
      <c r="Z272" s="4" t="s">
        <v>1898</v>
      </c>
      <c r="AA272" s="4" t="s">
        <v>1194</v>
      </c>
      <c r="AB272" s="4" t="s">
        <v>4289</v>
      </c>
    </row>
    <row r="273" spans="1:28">
      <c r="A273" s="4">
        <v>272</v>
      </c>
      <c r="B273" s="5">
        <v>70987</v>
      </c>
      <c r="C273" s="5">
        <v>206006416</v>
      </c>
      <c r="D273" s="115" t="s">
        <v>2853</v>
      </c>
      <c r="E273" s="4" t="s">
        <v>2854</v>
      </c>
      <c r="F273" s="7" t="s">
        <v>74</v>
      </c>
      <c r="G273" s="7" t="s">
        <v>76</v>
      </c>
      <c r="H273" s="7" t="s">
        <v>88</v>
      </c>
      <c r="I273" s="6" t="s">
        <v>1788</v>
      </c>
      <c r="J273" s="7" t="s">
        <v>3</v>
      </c>
      <c r="K273" s="4" t="s">
        <v>10</v>
      </c>
      <c r="L273" s="4" t="s">
        <v>24</v>
      </c>
      <c r="M273" s="4" t="s">
        <v>3320</v>
      </c>
      <c r="N273" s="4"/>
      <c r="O273" s="89"/>
      <c r="P273" s="25">
        <v>45915</v>
      </c>
      <c r="Q273" s="7" t="s">
        <v>1106</v>
      </c>
      <c r="R273" s="90" t="s">
        <v>3253</v>
      </c>
      <c r="S273" s="6" t="s">
        <v>1795</v>
      </c>
      <c r="T273" s="4" t="s">
        <v>92</v>
      </c>
      <c r="U273" s="4" t="s">
        <v>103</v>
      </c>
      <c r="V273" s="4">
        <v>99</v>
      </c>
      <c r="W273" s="85"/>
      <c r="X273" s="4"/>
      <c r="Y273" s="4"/>
      <c r="Z273" s="4"/>
      <c r="AA273" s="4" t="s">
        <v>1196</v>
      </c>
      <c r="AB273" s="4" t="s">
        <v>4289</v>
      </c>
    </row>
    <row r="274" spans="1:28">
      <c r="A274" s="4">
        <v>273</v>
      </c>
      <c r="B274" s="5">
        <v>15146525</v>
      </c>
      <c r="C274" s="5">
        <v>203850646</v>
      </c>
      <c r="D274" s="115" t="s">
        <v>744</v>
      </c>
      <c r="E274" s="4" t="s">
        <v>745</v>
      </c>
      <c r="F274" s="7" t="s">
        <v>74</v>
      </c>
      <c r="G274" s="7" t="s">
        <v>75</v>
      </c>
      <c r="H274" s="7" t="s">
        <v>76</v>
      </c>
      <c r="I274" s="6" t="s">
        <v>1790</v>
      </c>
      <c r="J274" s="7" t="s">
        <v>3</v>
      </c>
      <c r="K274" s="4" t="s">
        <v>10</v>
      </c>
      <c r="L274" s="4" t="s">
        <v>22</v>
      </c>
      <c r="M274" s="4" t="s">
        <v>634</v>
      </c>
      <c r="N274" s="4" t="s">
        <v>2584</v>
      </c>
      <c r="O274" s="89"/>
      <c r="P274" s="25">
        <v>45524</v>
      </c>
      <c r="Q274" s="7" t="s">
        <v>1434</v>
      </c>
      <c r="R274" s="90" t="s">
        <v>3253</v>
      </c>
      <c r="S274" s="6" t="s">
        <v>1795</v>
      </c>
      <c r="T274" s="4" t="s">
        <v>81</v>
      </c>
      <c r="U274" s="4" t="s">
        <v>349</v>
      </c>
      <c r="V274" s="4">
        <v>99</v>
      </c>
      <c r="W274" s="85">
        <v>45580</v>
      </c>
      <c r="X274" s="4" t="s">
        <v>1216</v>
      </c>
      <c r="Y274" s="4">
        <v>502697759</v>
      </c>
      <c r="Z274" s="4" t="s">
        <v>1899</v>
      </c>
      <c r="AA274" s="4" t="s">
        <v>95</v>
      </c>
      <c r="AB274" s="4" t="s">
        <v>4289</v>
      </c>
    </row>
    <row r="275" spans="1:28">
      <c r="A275" s="4">
        <v>274</v>
      </c>
      <c r="B275" s="5">
        <v>14042858</v>
      </c>
      <c r="C275" s="5">
        <v>203741314</v>
      </c>
      <c r="D275" s="115" t="s">
        <v>311</v>
      </c>
      <c r="E275" s="4" t="s">
        <v>312</v>
      </c>
      <c r="F275" s="7" t="s">
        <v>74</v>
      </c>
      <c r="G275" s="7" t="s">
        <v>75</v>
      </c>
      <c r="H275" s="7" t="s">
        <v>76</v>
      </c>
      <c r="I275" s="6" t="s">
        <v>1788</v>
      </c>
      <c r="J275" s="7" t="s">
        <v>3</v>
      </c>
      <c r="K275" s="4" t="s">
        <v>10</v>
      </c>
      <c r="L275" s="4" t="s">
        <v>24</v>
      </c>
      <c r="M275" s="4" t="s">
        <v>4312</v>
      </c>
      <c r="N275" s="4" t="s">
        <v>2584</v>
      </c>
      <c r="O275" s="89"/>
      <c r="P275" s="25">
        <v>45502</v>
      </c>
      <c r="Q275" s="7" t="s">
        <v>1106</v>
      </c>
      <c r="R275" s="90" t="s">
        <v>3253</v>
      </c>
      <c r="S275" s="6" t="s">
        <v>1795</v>
      </c>
      <c r="T275" s="4" t="s">
        <v>92</v>
      </c>
      <c r="U275" s="4" t="s">
        <v>107</v>
      </c>
      <c r="V275" s="4">
        <v>99</v>
      </c>
      <c r="W275" s="85">
        <v>45867</v>
      </c>
      <c r="X275" s="4" t="s">
        <v>3690</v>
      </c>
      <c r="Y275" s="4">
        <v>556098115</v>
      </c>
      <c r="Z275" s="4" t="s">
        <v>1900</v>
      </c>
      <c r="AA275" s="4" t="s">
        <v>85</v>
      </c>
      <c r="AB275" s="4" t="s">
        <v>4289</v>
      </c>
    </row>
    <row r="276" spans="1:28">
      <c r="A276" s="4">
        <v>275</v>
      </c>
      <c r="B276" s="5">
        <v>11237629</v>
      </c>
      <c r="C276" s="5">
        <v>203813034</v>
      </c>
      <c r="D276" s="115" t="s">
        <v>686</v>
      </c>
      <c r="E276" s="4" t="s">
        <v>687</v>
      </c>
      <c r="F276" s="7" t="s">
        <v>82</v>
      </c>
      <c r="G276" s="7" t="s">
        <v>94</v>
      </c>
      <c r="H276" s="7" t="s">
        <v>89</v>
      </c>
      <c r="I276" s="6" t="s">
        <v>1790</v>
      </c>
      <c r="J276" s="7" t="s">
        <v>3</v>
      </c>
      <c r="K276" s="4" t="s">
        <v>10</v>
      </c>
      <c r="L276" s="4" t="s">
        <v>20</v>
      </c>
      <c r="M276" s="4" t="s">
        <v>634</v>
      </c>
      <c r="N276" s="4" t="s">
        <v>2584</v>
      </c>
      <c r="O276" s="89"/>
      <c r="P276" s="25">
        <v>45517</v>
      </c>
      <c r="Q276" s="7" t="s">
        <v>1106</v>
      </c>
      <c r="R276" s="90" t="s">
        <v>3252</v>
      </c>
      <c r="S276" s="6" t="s">
        <v>1795</v>
      </c>
      <c r="T276" s="4" t="s">
        <v>1199</v>
      </c>
      <c r="U276" s="4" t="s">
        <v>349</v>
      </c>
      <c r="V276" s="4">
        <v>99</v>
      </c>
      <c r="W276" s="85">
        <v>46247</v>
      </c>
      <c r="X276" s="4" t="s">
        <v>3474</v>
      </c>
      <c r="Y276" s="4">
        <v>544826645</v>
      </c>
      <c r="Z276" s="4" t="s">
        <v>1901</v>
      </c>
      <c r="AA276" s="4" t="s">
        <v>1194</v>
      </c>
      <c r="AB276" s="4" t="s">
        <v>4289</v>
      </c>
    </row>
    <row r="277" spans="1:28">
      <c r="A277" s="4">
        <v>276</v>
      </c>
      <c r="B277" s="5">
        <v>12204596</v>
      </c>
      <c r="C277" s="5">
        <v>203813038</v>
      </c>
      <c r="D277" s="115" t="s">
        <v>688</v>
      </c>
      <c r="E277" s="4" t="s">
        <v>689</v>
      </c>
      <c r="F277" s="7" t="s">
        <v>74</v>
      </c>
      <c r="G277" s="7" t="s">
        <v>94</v>
      </c>
      <c r="H277" s="7" t="s">
        <v>89</v>
      </c>
      <c r="I277" s="6" t="s">
        <v>1790</v>
      </c>
      <c r="J277" s="7" t="s">
        <v>3</v>
      </c>
      <c r="K277" s="4" t="s">
        <v>10</v>
      </c>
      <c r="L277" s="4" t="s">
        <v>20</v>
      </c>
      <c r="M277" s="4" t="s">
        <v>634</v>
      </c>
      <c r="N277" s="4" t="s">
        <v>2584</v>
      </c>
      <c r="O277" s="89"/>
      <c r="P277" s="25">
        <v>45517</v>
      </c>
      <c r="Q277" s="7" t="s">
        <v>1106</v>
      </c>
      <c r="R277" s="90" t="s">
        <v>3260</v>
      </c>
      <c r="S277" s="6" t="s">
        <v>1795</v>
      </c>
      <c r="T277" s="4" t="s">
        <v>1199</v>
      </c>
      <c r="U277" s="4" t="s">
        <v>103</v>
      </c>
      <c r="V277" s="4">
        <v>99</v>
      </c>
      <c r="W277" s="85">
        <v>46247</v>
      </c>
      <c r="X277" s="4" t="s">
        <v>1215</v>
      </c>
      <c r="Y277" s="4">
        <v>525151304</v>
      </c>
      <c r="Z277" s="4" t="s">
        <v>1898</v>
      </c>
      <c r="AA277" s="4" t="s">
        <v>1194</v>
      </c>
      <c r="AB277" s="4" t="s">
        <v>4289</v>
      </c>
    </row>
    <row r="278" spans="1:28">
      <c r="A278" s="4">
        <v>277</v>
      </c>
      <c r="B278" s="5">
        <v>14718898</v>
      </c>
      <c r="C278" s="5">
        <v>203813033</v>
      </c>
      <c r="D278" s="115" t="s">
        <v>690</v>
      </c>
      <c r="E278" s="4" t="s">
        <v>691</v>
      </c>
      <c r="F278" s="7" t="s">
        <v>82</v>
      </c>
      <c r="G278" s="7" t="s">
        <v>90</v>
      </c>
      <c r="H278" s="7" t="s">
        <v>87</v>
      </c>
      <c r="I278" s="6" t="s">
        <v>1790</v>
      </c>
      <c r="J278" s="7" t="s">
        <v>3</v>
      </c>
      <c r="K278" s="4" t="s">
        <v>10</v>
      </c>
      <c r="L278" s="4" t="s">
        <v>20</v>
      </c>
      <c r="M278" s="4" t="s">
        <v>634</v>
      </c>
      <c r="N278" s="4" t="s">
        <v>2584</v>
      </c>
      <c r="O278" s="89"/>
      <c r="P278" s="25">
        <v>45517</v>
      </c>
      <c r="Q278" s="7" t="s">
        <v>1106</v>
      </c>
      <c r="R278" s="90" t="s">
        <v>3257</v>
      </c>
      <c r="S278" s="6" t="s">
        <v>1795</v>
      </c>
      <c r="T278" s="4" t="s">
        <v>1199</v>
      </c>
      <c r="U278" s="4" t="s">
        <v>107</v>
      </c>
      <c r="V278" s="4">
        <v>99</v>
      </c>
      <c r="W278" s="85">
        <v>46247</v>
      </c>
      <c r="X278" s="4" t="s">
        <v>3474</v>
      </c>
      <c r="Y278" s="4">
        <v>561175619</v>
      </c>
      <c r="Z278" s="4" t="s">
        <v>1902</v>
      </c>
      <c r="AA278" s="4" t="s">
        <v>1194</v>
      </c>
      <c r="AB278" s="4" t="s">
        <v>4289</v>
      </c>
    </row>
    <row r="279" spans="1:28" ht="14.5" customHeight="1">
      <c r="A279" s="4">
        <v>278</v>
      </c>
      <c r="B279" s="5">
        <v>15374025</v>
      </c>
      <c r="C279" s="5">
        <v>205977111</v>
      </c>
      <c r="D279" s="115" t="s">
        <v>2812</v>
      </c>
      <c r="E279" s="4" t="s">
        <v>2813</v>
      </c>
      <c r="F279" s="7" t="s">
        <v>74</v>
      </c>
      <c r="G279" s="7" t="s">
        <v>87</v>
      </c>
      <c r="H279" s="7" t="s">
        <v>75</v>
      </c>
      <c r="I279" s="6" t="s">
        <v>1790</v>
      </c>
      <c r="J279" s="7" t="s">
        <v>3</v>
      </c>
      <c r="K279" s="4" t="s">
        <v>10</v>
      </c>
      <c r="L279" s="4" t="s">
        <v>22</v>
      </c>
      <c r="M279" s="4" t="s">
        <v>3320</v>
      </c>
      <c r="N279" s="4"/>
      <c r="O279" s="89"/>
      <c r="P279" s="25">
        <v>45915</v>
      </c>
      <c r="Q279" s="7" t="s">
        <v>1436</v>
      </c>
      <c r="R279" s="4" t="s">
        <v>3262</v>
      </c>
      <c r="S279" s="6" t="s">
        <v>1795</v>
      </c>
      <c r="T279" s="4" t="s">
        <v>81</v>
      </c>
      <c r="U279" s="4" t="s">
        <v>349</v>
      </c>
      <c r="V279" s="4">
        <v>99</v>
      </c>
      <c r="W279" s="85"/>
      <c r="X279" s="4"/>
      <c r="Y279" s="4"/>
      <c r="Z279" s="4"/>
      <c r="AA279" s="4" t="s">
        <v>95</v>
      </c>
      <c r="AB279" s="4" t="s">
        <v>4289</v>
      </c>
    </row>
    <row r="280" spans="1:28">
      <c r="A280" s="4">
        <v>279</v>
      </c>
      <c r="B280" s="5">
        <v>12145501</v>
      </c>
      <c r="C280" s="5">
        <v>204319797</v>
      </c>
      <c r="D280" s="115" t="s">
        <v>1747</v>
      </c>
      <c r="E280" s="4" t="s">
        <v>1706</v>
      </c>
      <c r="F280" s="7" t="s">
        <v>74</v>
      </c>
      <c r="G280" s="7" t="s">
        <v>94</v>
      </c>
      <c r="H280" s="7" t="s">
        <v>89</v>
      </c>
      <c r="I280" s="6" t="s">
        <v>1790</v>
      </c>
      <c r="J280" s="7" t="s">
        <v>7</v>
      </c>
      <c r="K280" s="4" t="s">
        <v>10</v>
      </c>
      <c r="L280" s="4" t="s">
        <v>27</v>
      </c>
      <c r="M280" s="4" t="s">
        <v>4315</v>
      </c>
      <c r="N280" s="4" t="s">
        <v>2584</v>
      </c>
      <c r="O280" s="89"/>
      <c r="P280" s="25">
        <v>45589</v>
      </c>
      <c r="Q280" s="7" t="s">
        <v>7</v>
      </c>
      <c r="R280" s="90" t="s">
        <v>3258</v>
      </c>
      <c r="S280" s="6" t="s">
        <v>1795</v>
      </c>
      <c r="T280" s="4" t="s">
        <v>81</v>
      </c>
      <c r="U280" s="4" t="s">
        <v>107</v>
      </c>
      <c r="V280" s="4">
        <v>99</v>
      </c>
      <c r="W280" s="85">
        <v>45645</v>
      </c>
      <c r="X280" s="4" t="s">
        <v>3690</v>
      </c>
      <c r="Y280" s="4"/>
      <c r="Z280" s="4"/>
      <c r="AA280" s="4" t="s">
        <v>85</v>
      </c>
      <c r="AB280" s="4" t="s">
        <v>4289</v>
      </c>
    </row>
    <row r="281" spans="1:28">
      <c r="A281" s="4">
        <v>280</v>
      </c>
      <c r="B281" s="95">
        <v>13129444</v>
      </c>
      <c r="C281" s="4">
        <v>206871907</v>
      </c>
      <c r="D281" s="115" t="s">
        <v>3509</v>
      </c>
      <c r="E281" s="4" t="s">
        <v>3479</v>
      </c>
      <c r="F281" s="7" t="s">
        <v>82</v>
      </c>
      <c r="G281" s="7" t="s">
        <v>90</v>
      </c>
      <c r="H281" s="7" t="s">
        <v>87</v>
      </c>
      <c r="I281" s="7" t="s">
        <v>1789</v>
      </c>
      <c r="J281" s="6" t="s">
        <v>3</v>
      </c>
      <c r="K281" s="6" t="s">
        <v>10</v>
      </c>
      <c r="L281" s="4" t="s">
        <v>24</v>
      </c>
      <c r="M281" s="4" t="s">
        <v>634</v>
      </c>
      <c r="N281" s="4" t="s">
        <v>2584</v>
      </c>
      <c r="O281" s="89"/>
      <c r="P281" s="25">
        <v>46020</v>
      </c>
      <c r="Q281" s="7" t="s">
        <v>1434</v>
      </c>
      <c r="R281" s="90" t="s">
        <v>3253</v>
      </c>
      <c r="S281" s="4" t="s">
        <v>3478</v>
      </c>
      <c r="T281" s="4" t="s">
        <v>81</v>
      </c>
      <c r="U281" s="4"/>
      <c r="V281" s="4">
        <v>99</v>
      </c>
      <c r="W281" s="4"/>
      <c r="X281" s="4" t="s">
        <v>3690</v>
      </c>
      <c r="Y281" s="4">
        <v>567648379</v>
      </c>
      <c r="Z281" s="4" t="s">
        <v>3495</v>
      </c>
      <c r="AA281" s="4" t="s">
        <v>3167</v>
      </c>
      <c r="AB281" s="4">
        <v>0</v>
      </c>
    </row>
    <row r="282" spans="1:28" ht="14.5" customHeight="1">
      <c r="A282" s="4">
        <v>281</v>
      </c>
      <c r="B282" s="5">
        <v>12647221</v>
      </c>
      <c r="C282" s="5">
        <v>110330601</v>
      </c>
      <c r="D282" s="115" t="s">
        <v>154</v>
      </c>
      <c r="E282" s="4" t="s">
        <v>155</v>
      </c>
      <c r="F282" s="7" t="s">
        <v>82</v>
      </c>
      <c r="G282" s="7" t="s">
        <v>76</v>
      </c>
      <c r="H282" s="7" t="s">
        <v>88</v>
      </c>
      <c r="I282" s="6" t="s">
        <v>119</v>
      </c>
      <c r="J282" s="7" t="s">
        <v>3</v>
      </c>
      <c r="K282" s="4" t="s">
        <v>10</v>
      </c>
      <c r="L282" s="4" t="s">
        <v>21</v>
      </c>
      <c r="M282" s="4" t="s">
        <v>4312</v>
      </c>
      <c r="N282" s="4" t="s">
        <v>2583</v>
      </c>
      <c r="O282" s="89"/>
      <c r="P282" s="25">
        <v>44757</v>
      </c>
      <c r="Q282" s="7" t="s">
        <v>1433</v>
      </c>
      <c r="R282" s="90" t="s">
        <v>3260</v>
      </c>
      <c r="S282" s="6" t="s">
        <v>1795</v>
      </c>
      <c r="T282" s="4" t="s">
        <v>81</v>
      </c>
      <c r="U282" s="4" t="s">
        <v>132</v>
      </c>
      <c r="V282" s="4">
        <v>1</v>
      </c>
      <c r="W282" s="85"/>
      <c r="X282" s="4" t="s">
        <v>2356</v>
      </c>
      <c r="Y282" s="4">
        <v>0</v>
      </c>
      <c r="Z282" s="4" t="e">
        <v>#N/A</v>
      </c>
      <c r="AA282" s="4" t="s">
        <v>1203</v>
      </c>
      <c r="AB282" s="4" t="s">
        <v>4290</v>
      </c>
    </row>
    <row r="283" spans="1:28">
      <c r="A283" s="4">
        <v>282</v>
      </c>
      <c r="B283" s="5">
        <v>14647317</v>
      </c>
      <c r="C283" s="5">
        <v>203796734</v>
      </c>
      <c r="D283" s="115" t="s">
        <v>716</v>
      </c>
      <c r="E283" s="4" t="s">
        <v>717</v>
      </c>
      <c r="F283" s="7" t="s">
        <v>82</v>
      </c>
      <c r="G283" s="7" t="s">
        <v>94</v>
      </c>
      <c r="H283" s="7" t="s">
        <v>89</v>
      </c>
      <c r="I283" s="6" t="s">
        <v>1788</v>
      </c>
      <c r="J283" s="7" t="s">
        <v>3</v>
      </c>
      <c r="K283" s="4" t="s">
        <v>10</v>
      </c>
      <c r="L283" s="4" t="s">
        <v>24</v>
      </c>
      <c r="M283" s="4" t="s">
        <v>634</v>
      </c>
      <c r="N283" s="4" t="s">
        <v>2584</v>
      </c>
      <c r="O283" s="89"/>
      <c r="P283" s="25">
        <v>45517</v>
      </c>
      <c r="Q283" s="7" t="s">
        <v>1106</v>
      </c>
      <c r="R283" s="90" t="s">
        <v>3258</v>
      </c>
      <c r="S283" s="6" t="s">
        <v>1795</v>
      </c>
      <c r="T283" s="4" t="s">
        <v>81</v>
      </c>
      <c r="U283" s="4" t="s">
        <v>349</v>
      </c>
      <c r="V283" s="4">
        <v>99</v>
      </c>
      <c r="W283" s="85">
        <v>45882</v>
      </c>
      <c r="X283" s="4" t="s">
        <v>3698</v>
      </c>
      <c r="Y283" s="4">
        <v>504924363</v>
      </c>
      <c r="Z283" s="4" t="s">
        <v>1903</v>
      </c>
      <c r="AA283" s="4" t="s">
        <v>85</v>
      </c>
      <c r="AB283" s="4" t="s">
        <v>4290</v>
      </c>
    </row>
    <row r="284" spans="1:28" ht="14.5" customHeight="1">
      <c r="A284" s="4">
        <v>283</v>
      </c>
      <c r="B284" s="95">
        <v>15390062</v>
      </c>
      <c r="C284" s="5">
        <v>206883746</v>
      </c>
      <c r="D284" s="115" t="s">
        <v>3593</v>
      </c>
      <c r="E284" s="4" t="s">
        <v>3528</v>
      </c>
      <c r="F284" s="7" t="s">
        <v>74</v>
      </c>
      <c r="G284" s="7" t="s">
        <v>76</v>
      </c>
      <c r="H284" s="7" t="s">
        <v>88</v>
      </c>
      <c r="I284" s="7" t="s">
        <v>1789</v>
      </c>
      <c r="J284" s="4" t="s">
        <v>3</v>
      </c>
      <c r="K284" s="4" t="s">
        <v>10</v>
      </c>
      <c r="L284" s="4" t="s">
        <v>23</v>
      </c>
      <c r="M284" s="4" t="s">
        <v>3320</v>
      </c>
      <c r="N284" s="4" t="s">
        <v>2584</v>
      </c>
      <c r="O284" s="89"/>
      <c r="P284" s="25">
        <v>46027</v>
      </c>
      <c r="Q284" s="4" t="s">
        <v>1106</v>
      </c>
      <c r="R284" s="4" t="s">
        <v>3255</v>
      </c>
      <c r="S284" s="4" t="s">
        <v>1795</v>
      </c>
      <c r="T284" s="4" t="s">
        <v>92</v>
      </c>
      <c r="U284" s="4"/>
      <c r="V284" s="4">
        <v>99</v>
      </c>
      <c r="W284" s="85">
        <v>46024</v>
      </c>
      <c r="X284" s="95" t="s">
        <v>3553</v>
      </c>
      <c r="Y284" s="4" t="s">
        <v>3555</v>
      </c>
      <c r="Z284" s="4" t="s">
        <v>3572</v>
      </c>
      <c r="AA284" s="4" t="s">
        <v>1204</v>
      </c>
      <c r="AB284" s="4" t="s">
        <v>4289</v>
      </c>
    </row>
    <row r="285" spans="1:28">
      <c r="A285" s="4">
        <v>284</v>
      </c>
      <c r="B285" s="5">
        <v>13867546</v>
      </c>
      <c r="C285" s="5">
        <v>205477618</v>
      </c>
      <c r="D285" s="115" t="s">
        <v>2546</v>
      </c>
      <c r="E285" s="4" t="s">
        <v>2547</v>
      </c>
      <c r="F285" s="7" t="s">
        <v>74</v>
      </c>
      <c r="G285" s="7" t="s">
        <v>75</v>
      </c>
      <c r="H285" s="7" t="s">
        <v>76</v>
      </c>
      <c r="I285" s="6" t="s">
        <v>1790</v>
      </c>
      <c r="J285" s="7" t="s">
        <v>3</v>
      </c>
      <c r="K285" s="4" t="s">
        <v>10</v>
      </c>
      <c r="L285" s="4" t="s">
        <v>22</v>
      </c>
      <c r="M285" s="4" t="s">
        <v>634</v>
      </c>
      <c r="N285" s="4" t="s">
        <v>2583</v>
      </c>
      <c r="O285" s="89"/>
      <c r="P285" s="25">
        <v>45831</v>
      </c>
      <c r="Q285" s="7" t="s">
        <v>161</v>
      </c>
      <c r="R285" s="90" t="s">
        <v>3258</v>
      </c>
      <c r="S285" s="6" t="s">
        <v>1795</v>
      </c>
      <c r="T285" s="4" t="s">
        <v>81</v>
      </c>
      <c r="U285" s="4" t="s">
        <v>107</v>
      </c>
      <c r="V285" s="4">
        <v>99</v>
      </c>
      <c r="W285" s="85">
        <v>45887</v>
      </c>
      <c r="X285" s="4"/>
      <c r="Y285" s="4"/>
      <c r="Z285" s="4"/>
      <c r="AA285" s="4" t="s">
        <v>1203</v>
      </c>
      <c r="AB285" s="4" t="s">
        <v>4289</v>
      </c>
    </row>
    <row r="286" spans="1:28">
      <c r="A286" s="4">
        <v>285</v>
      </c>
      <c r="B286" s="5">
        <v>14194802</v>
      </c>
      <c r="C286" s="5">
        <v>206015600</v>
      </c>
      <c r="D286" s="115" t="s">
        <v>2855</v>
      </c>
      <c r="E286" s="4" t="s">
        <v>2856</v>
      </c>
      <c r="F286" s="7" t="s">
        <v>74</v>
      </c>
      <c r="G286" s="7" t="s">
        <v>75</v>
      </c>
      <c r="H286" s="7" t="s">
        <v>76</v>
      </c>
      <c r="I286" s="6" t="s">
        <v>1788</v>
      </c>
      <c r="J286" s="7" t="s">
        <v>3</v>
      </c>
      <c r="K286" s="4" t="s">
        <v>10</v>
      </c>
      <c r="L286" s="4" t="s">
        <v>24</v>
      </c>
      <c r="M286" s="4" t="s">
        <v>3320</v>
      </c>
      <c r="N286" s="4"/>
      <c r="O286" s="89"/>
      <c r="P286" s="25">
        <v>45915</v>
      </c>
      <c r="Q286" s="7" t="s">
        <v>1106</v>
      </c>
      <c r="R286" s="90" t="s">
        <v>3252</v>
      </c>
      <c r="S286" s="6" t="s">
        <v>1795</v>
      </c>
      <c r="T286" s="4" t="s">
        <v>92</v>
      </c>
      <c r="U286" s="4" t="s">
        <v>112</v>
      </c>
      <c r="V286" s="4">
        <v>99</v>
      </c>
      <c r="W286" s="85"/>
      <c r="X286" s="4"/>
      <c r="Y286" s="4"/>
      <c r="Z286" s="4"/>
      <c r="AA286" s="4" t="s">
        <v>1203</v>
      </c>
      <c r="AB286" s="4" t="s">
        <v>4290</v>
      </c>
    </row>
    <row r="287" spans="1:28">
      <c r="A287" s="4">
        <v>286</v>
      </c>
      <c r="B287" s="5">
        <v>14279003</v>
      </c>
      <c r="C287" s="5">
        <v>203880236</v>
      </c>
      <c r="D287" s="115" t="s">
        <v>1100</v>
      </c>
      <c r="E287" s="4" t="s">
        <v>1092</v>
      </c>
      <c r="F287" s="7" t="s">
        <v>74</v>
      </c>
      <c r="G287" s="7" t="s">
        <v>76</v>
      </c>
      <c r="H287" s="7" t="s">
        <v>88</v>
      </c>
      <c r="I287" s="6" t="s">
        <v>1788</v>
      </c>
      <c r="J287" s="7" t="s">
        <v>3</v>
      </c>
      <c r="K287" s="4" t="s">
        <v>10</v>
      </c>
      <c r="L287" s="4" t="s">
        <v>24</v>
      </c>
      <c r="M287" s="4" t="s">
        <v>634</v>
      </c>
      <c r="N287" s="4" t="s">
        <v>2584</v>
      </c>
      <c r="O287" s="89"/>
      <c r="P287" s="25">
        <v>45530</v>
      </c>
      <c r="Q287" s="7" t="s">
        <v>1106</v>
      </c>
      <c r="R287" s="90" t="s">
        <v>3252</v>
      </c>
      <c r="S287" s="6" t="s">
        <v>1795</v>
      </c>
      <c r="T287" s="4" t="s">
        <v>92</v>
      </c>
      <c r="U287" s="4" t="s">
        <v>3263</v>
      </c>
      <c r="V287" s="4">
        <v>99</v>
      </c>
      <c r="W287" s="85">
        <v>46260</v>
      </c>
      <c r="X287" s="4" t="s">
        <v>3694</v>
      </c>
      <c r="Y287" s="4">
        <v>545302021</v>
      </c>
      <c r="Z287" s="4" t="s">
        <v>2223</v>
      </c>
      <c r="AA287" s="4" t="s">
        <v>85</v>
      </c>
      <c r="AB287" s="4" t="s">
        <v>4289</v>
      </c>
    </row>
    <row r="288" spans="1:28">
      <c r="A288" s="4">
        <v>287</v>
      </c>
      <c r="B288" s="5">
        <v>14417028</v>
      </c>
      <c r="C288" s="5">
        <v>203741612</v>
      </c>
      <c r="D288" s="115" t="s">
        <v>678</v>
      </c>
      <c r="E288" s="4" t="s">
        <v>679</v>
      </c>
      <c r="F288" s="7" t="s">
        <v>82</v>
      </c>
      <c r="G288" s="7" t="s">
        <v>76</v>
      </c>
      <c r="H288" s="7" t="s">
        <v>88</v>
      </c>
      <c r="I288" s="6" t="s">
        <v>1788</v>
      </c>
      <c r="J288" s="7" t="s">
        <v>3</v>
      </c>
      <c r="K288" s="4" t="s">
        <v>10</v>
      </c>
      <c r="L288" s="4" t="s">
        <v>24</v>
      </c>
      <c r="M288" s="4" t="s">
        <v>4312</v>
      </c>
      <c r="N288" s="4" t="s">
        <v>2584</v>
      </c>
      <c r="O288" s="89"/>
      <c r="P288" s="25">
        <v>45516</v>
      </c>
      <c r="Q288" s="7" t="s">
        <v>1106</v>
      </c>
      <c r="R288" s="90" t="s">
        <v>3258</v>
      </c>
      <c r="S288" s="6" t="s">
        <v>1795</v>
      </c>
      <c r="T288" s="4" t="s">
        <v>81</v>
      </c>
      <c r="U288" s="4" t="s">
        <v>349</v>
      </c>
      <c r="V288" s="4">
        <v>99</v>
      </c>
      <c r="W288" s="85">
        <v>45881</v>
      </c>
      <c r="X288" s="4" t="s">
        <v>3698</v>
      </c>
      <c r="Y288" s="4">
        <v>509542776</v>
      </c>
      <c r="Z288" s="4" t="s">
        <v>1904</v>
      </c>
      <c r="AA288" s="4" t="s">
        <v>85</v>
      </c>
      <c r="AB288" s="4" t="s">
        <v>4289</v>
      </c>
    </row>
    <row r="289" spans="1:28">
      <c r="A289" s="4">
        <v>288</v>
      </c>
      <c r="B289" s="5">
        <v>11642028</v>
      </c>
      <c r="C289" s="5">
        <v>203737145</v>
      </c>
      <c r="D289" s="115" t="s">
        <v>327</v>
      </c>
      <c r="E289" s="4" t="s">
        <v>328</v>
      </c>
      <c r="F289" s="7" t="s">
        <v>82</v>
      </c>
      <c r="G289" s="7" t="s">
        <v>76</v>
      </c>
      <c r="H289" s="7" t="s">
        <v>88</v>
      </c>
      <c r="I289" s="6" t="s">
        <v>1788</v>
      </c>
      <c r="J289" s="7" t="s">
        <v>3</v>
      </c>
      <c r="K289" s="4" t="s">
        <v>10</v>
      </c>
      <c r="L289" s="4" t="s">
        <v>24</v>
      </c>
      <c r="M289" s="4" t="s">
        <v>4312</v>
      </c>
      <c r="N289" s="4" t="s">
        <v>2584</v>
      </c>
      <c r="O289" s="89"/>
      <c r="P289" s="25">
        <v>45502</v>
      </c>
      <c r="Q289" s="7" t="s">
        <v>1106</v>
      </c>
      <c r="R289" s="90" t="s">
        <v>3257</v>
      </c>
      <c r="S289" s="6" t="s">
        <v>1795</v>
      </c>
      <c r="T289" s="4" t="s">
        <v>92</v>
      </c>
      <c r="U289" s="4" t="s">
        <v>103</v>
      </c>
      <c r="V289" s="4">
        <v>99</v>
      </c>
      <c r="W289" s="85">
        <v>46232</v>
      </c>
      <c r="X289" s="4" t="s">
        <v>3492</v>
      </c>
      <c r="Y289" s="4">
        <v>521749309</v>
      </c>
      <c r="Z289" s="4" t="s">
        <v>1905</v>
      </c>
      <c r="AA289" s="4" t="s">
        <v>1208</v>
      </c>
      <c r="AB289" s="4" t="s">
        <v>4289</v>
      </c>
    </row>
    <row r="290" spans="1:28">
      <c r="A290" s="4">
        <v>289</v>
      </c>
      <c r="B290" s="5">
        <v>12778733</v>
      </c>
      <c r="C290" s="5">
        <v>203813036</v>
      </c>
      <c r="D290" s="115" t="s">
        <v>692</v>
      </c>
      <c r="E290" s="4" t="s">
        <v>693</v>
      </c>
      <c r="F290" s="7" t="s">
        <v>74</v>
      </c>
      <c r="G290" s="7" t="s">
        <v>88</v>
      </c>
      <c r="H290" s="7" t="s">
        <v>94</v>
      </c>
      <c r="I290" s="6" t="s">
        <v>1790</v>
      </c>
      <c r="J290" s="7" t="s">
        <v>3</v>
      </c>
      <c r="K290" s="4" t="s">
        <v>10</v>
      </c>
      <c r="L290" s="4" t="s">
        <v>20</v>
      </c>
      <c r="M290" s="4" t="s">
        <v>634</v>
      </c>
      <c r="N290" s="4" t="s">
        <v>2583</v>
      </c>
      <c r="O290" s="89"/>
      <c r="P290" s="25">
        <v>45517</v>
      </c>
      <c r="Q290" s="7" t="s">
        <v>161</v>
      </c>
      <c r="R290" s="90" t="s">
        <v>3258</v>
      </c>
      <c r="S290" s="6" t="s">
        <v>1795</v>
      </c>
      <c r="T290" s="4" t="s">
        <v>1199</v>
      </c>
      <c r="U290" s="4" t="s">
        <v>349</v>
      </c>
      <c r="V290" s="4">
        <v>99</v>
      </c>
      <c r="W290" s="85">
        <v>46247</v>
      </c>
      <c r="X290" s="4" t="s">
        <v>3688</v>
      </c>
      <c r="Y290" s="4">
        <v>561290175</v>
      </c>
      <c r="Z290" s="4" t="s">
        <v>1906</v>
      </c>
      <c r="AA290" s="4" t="s">
        <v>1194</v>
      </c>
      <c r="AB290" s="4" t="s">
        <v>4290</v>
      </c>
    </row>
    <row r="291" spans="1:28">
      <c r="A291" s="4">
        <v>290</v>
      </c>
      <c r="B291" s="5">
        <v>11605849</v>
      </c>
      <c r="C291" s="5">
        <v>203813037</v>
      </c>
      <c r="D291" s="115" t="s">
        <v>694</v>
      </c>
      <c r="E291" s="4" t="s">
        <v>695</v>
      </c>
      <c r="F291" s="7" t="s">
        <v>82</v>
      </c>
      <c r="G291" s="7" t="s">
        <v>76</v>
      </c>
      <c r="H291" s="7" t="s">
        <v>88</v>
      </c>
      <c r="I291" s="6" t="s">
        <v>1790</v>
      </c>
      <c r="J291" s="7" t="s">
        <v>3</v>
      </c>
      <c r="K291" s="4" t="s">
        <v>10</v>
      </c>
      <c r="L291" s="4" t="s">
        <v>20</v>
      </c>
      <c r="M291" s="4" t="s">
        <v>634</v>
      </c>
      <c r="N291" s="4" t="s">
        <v>2584</v>
      </c>
      <c r="O291" s="89"/>
      <c r="P291" s="25">
        <v>45517</v>
      </c>
      <c r="Q291" s="7" t="s">
        <v>1106</v>
      </c>
      <c r="R291" s="90" t="s">
        <v>3253</v>
      </c>
      <c r="S291" s="6" t="s">
        <v>1795</v>
      </c>
      <c r="T291" s="4" t="s">
        <v>1199</v>
      </c>
      <c r="U291" s="4" t="s">
        <v>349</v>
      </c>
      <c r="V291" s="4">
        <v>99</v>
      </c>
      <c r="W291" s="85">
        <v>46247</v>
      </c>
      <c r="X291" s="4" t="s">
        <v>3694</v>
      </c>
      <c r="Y291" s="4">
        <v>586262789</v>
      </c>
      <c r="Z291" s="4" t="s">
        <v>1907</v>
      </c>
      <c r="AA291" s="4" t="s">
        <v>1194</v>
      </c>
      <c r="AB291" s="4" t="s">
        <v>4289</v>
      </c>
    </row>
    <row r="292" spans="1:28">
      <c r="A292" s="4">
        <v>291</v>
      </c>
      <c r="B292" s="5">
        <v>11364600</v>
      </c>
      <c r="C292" s="5">
        <v>206958086</v>
      </c>
      <c r="D292" s="115" t="s">
        <v>4123</v>
      </c>
      <c r="E292" s="4" t="s">
        <v>3960</v>
      </c>
      <c r="F292" s="7" t="s">
        <v>74</v>
      </c>
      <c r="G292" s="7" t="s">
        <v>75</v>
      </c>
      <c r="H292" s="7" t="s">
        <v>76</v>
      </c>
      <c r="I292" s="7" t="s">
        <v>1789</v>
      </c>
      <c r="J292" s="7" t="s">
        <v>3</v>
      </c>
      <c r="K292" s="4" t="s">
        <v>10</v>
      </c>
      <c r="L292" s="4" t="s">
        <v>23</v>
      </c>
      <c r="M292" s="4" t="s">
        <v>4312</v>
      </c>
      <c r="N292" s="4" t="s">
        <v>2584</v>
      </c>
      <c r="O292" s="89"/>
      <c r="P292" s="25">
        <v>46048</v>
      </c>
      <c r="Q292" s="7" t="s">
        <v>1106</v>
      </c>
      <c r="R292" s="90" t="s">
        <v>3256</v>
      </c>
      <c r="S292" s="6" t="s">
        <v>1795</v>
      </c>
      <c r="T292" s="4" t="s">
        <v>81</v>
      </c>
      <c r="U292" s="4"/>
      <c r="V292" s="4">
        <v>99</v>
      </c>
      <c r="W292" s="85">
        <v>46104</v>
      </c>
      <c r="X292" s="4" t="s">
        <v>3980</v>
      </c>
      <c r="Y292" s="4" t="s">
        <v>3983</v>
      </c>
      <c r="Z292" s="4" t="s">
        <v>4002</v>
      </c>
      <c r="AA292" s="4" t="s">
        <v>127</v>
      </c>
      <c r="AB292" s="4" t="s">
        <v>4290</v>
      </c>
    </row>
    <row r="293" spans="1:28">
      <c r="A293" s="4">
        <v>292</v>
      </c>
      <c r="B293" s="5">
        <v>11074926</v>
      </c>
      <c r="C293" s="5">
        <v>204868861</v>
      </c>
      <c r="D293" s="115" t="s">
        <v>2288</v>
      </c>
      <c r="E293" s="4" t="s">
        <v>2289</v>
      </c>
      <c r="F293" s="7" t="s">
        <v>74</v>
      </c>
      <c r="G293" s="7" t="s">
        <v>75</v>
      </c>
      <c r="H293" s="7" t="s">
        <v>76</v>
      </c>
      <c r="I293" s="6" t="s">
        <v>1790</v>
      </c>
      <c r="J293" s="7" t="s">
        <v>3</v>
      </c>
      <c r="K293" s="4" t="s">
        <v>10</v>
      </c>
      <c r="L293" s="4" t="s">
        <v>27</v>
      </c>
      <c r="M293" s="4" t="s">
        <v>4312</v>
      </c>
      <c r="N293" s="4" t="s">
        <v>2584</v>
      </c>
      <c r="O293" s="89"/>
      <c r="P293" s="25">
        <v>45691</v>
      </c>
      <c r="Q293" s="7" t="s">
        <v>1106</v>
      </c>
      <c r="R293" s="90" t="s">
        <v>3256</v>
      </c>
      <c r="S293" s="6" t="s">
        <v>1795</v>
      </c>
      <c r="T293" s="4" t="s">
        <v>92</v>
      </c>
      <c r="U293" s="4" t="s">
        <v>112</v>
      </c>
      <c r="V293" s="4">
        <v>99</v>
      </c>
      <c r="W293" s="85">
        <v>45747</v>
      </c>
      <c r="X293" s="4" t="s">
        <v>3694</v>
      </c>
      <c r="Y293" s="4" t="s">
        <v>2358</v>
      </c>
      <c r="Z293" s="4" t="s">
        <v>2380</v>
      </c>
      <c r="AA293" s="4" t="s">
        <v>85</v>
      </c>
      <c r="AB293" s="4" t="s">
        <v>4289</v>
      </c>
    </row>
    <row r="294" spans="1:28">
      <c r="A294" s="4">
        <v>293</v>
      </c>
      <c r="B294" s="4">
        <v>68909</v>
      </c>
      <c r="C294" s="5">
        <v>206883741</v>
      </c>
      <c r="D294" s="115" t="s">
        <v>3594</v>
      </c>
      <c r="E294" s="4" t="s">
        <v>3529</v>
      </c>
      <c r="F294" s="7" t="s">
        <v>74</v>
      </c>
      <c r="G294" s="7" t="s">
        <v>75</v>
      </c>
      <c r="H294" s="7" t="s">
        <v>76</v>
      </c>
      <c r="I294" s="7" t="s">
        <v>1789</v>
      </c>
      <c r="J294" s="4" t="s">
        <v>3</v>
      </c>
      <c r="K294" s="4" t="s">
        <v>10</v>
      </c>
      <c r="L294" s="4" t="s">
        <v>23</v>
      </c>
      <c r="M294" s="4" t="s">
        <v>3320</v>
      </c>
      <c r="N294" s="4" t="s">
        <v>2584</v>
      </c>
      <c r="O294" s="89"/>
      <c r="P294" s="25">
        <v>46027</v>
      </c>
      <c r="Q294" s="4" t="s">
        <v>1106</v>
      </c>
      <c r="R294" s="4" t="s">
        <v>3260</v>
      </c>
      <c r="S294" s="4" t="s">
        <v>1795</v>
      </c>
      <c r="T294" s="4" t="s">
        <v>92</v>
      </c>
      <c r="U294" s="4"/>
      <c r="V294" s="4">
        <v>99</v>
      </c>
      <c r="W294" s="85">
        <v>46024</v>
      </c>
      <c r="X294" s="95" t="s">
        <v>3553</v>
      </c>
      <c r="Y294" s="4" t="s">
        <v>3556</v>
      </c>
      <c r="Z294" s="4" t="s">
        <v>3573</v>
      </c>
      <c r="AA294" s="4" t="s">
        <v>1204</v>
      </c>
      <c r="AB294" s="4" t="s">
        <v>4290</v>
      </c>
    </row>
    <row r="295" spans="1:28">
      <c r="A295" s="4">
        <v>294</v>
      </c>
      <c r="B295" s="5">
        <v>12056731</v>
      </c>
      <c r="C295" s="5">
        <v>203813035</v>
      </c>
      <c r="D295" s="115" t="s">
        <v>696</v>
      </c>
      <c r="E295" s="4" t="s">
        <v>697</v>
      </c>
      <c r="F295" s="7" t="s">
        <v>74</v>
      </c>
      <c r="G295" s="7" t="s">
        <v>94</v>
      </c>
      <c r="H295" s="7" t="s">
        <v>89</v>
      </c>
      <c r="I295" s="6" t="s">
        <v>1790</v>
      </c>
      <c r="J295" s="7" t="s">
        <v>3</v>
      </c>
      <c r="K295" s="4" t="s">
        <v>10</v>
      </c>
      <c r="L295" s="4" t="s">
        <v>20</v>
      </c>
      <c r="M295" s="4" t="s">
        <v>4312</v>
      </c>
      <c r="N295" s="4" t="s">
        <v>2584</v>
      </c>
      <c r="O295" s="89"/>
      <c r="P295" s="25">
        <v>45517</v>
      </c>
      <c r="Q295" s="7" t="s">
        <v>1106</v>
      </c>
      <c r="R295" s="90" t="s">
        <v>3264</v>
      </c>
      <c r="S295" s="6" t="s">
        <v>1795</v>
      </c>
      <c r="T295" s="4" t="s">
        <v>1199</v>
      </c>
      <c r="U295" s="4" t="s">
        <v>132</v>
      </c>
      <c r="V295" s="4">
        <v>99</v>
      </c>
      <c r="W295" s="85">
        <v>46247</v>
      </c>
      <c r="X295" s="4" t="s">
        <v>3694</v>
      </c>
      <c r="Y295" s="4">
        <v>561139582</v>
      </c>
      <c r="Z295" s="4" t="s">
        <v>1908</v>
      </c>
      <c r="AA295" s="4" t="s">
        <v>1194</v>
      </c>
      <c r="AB295" s="4" t="s">
        <v>4289</v>
      </c>
    </row>
    <row r="296" spans="1:28">
      <c r="A296" s="4">
        <v>295</v>
      </c>
      <c r="B296" s="5">
        <v>13886754</v>
      </c>
      <c r="C296" s="5">
        <v>203736754</v>
      </c>
      <c r="D296" s="115" t="s">
        <v>269</v>
      </c>
      <c r="E296" s="4" t="s">
        <v>270</v>
      </c>
      <c r="F296" s="7" t="s">
        <v>74</v>
      </c>
      <c r="G296" s="7" t="s">
        <v>90</v>
      </c>
      <c r="H296" s="7" t="s">
        <v>87</v>
      </c>
      <c r="I296" s="6" t="s">
        <v>1790</v>
      </c>
      <c r="J296" s="7" t="s">
        <v>3</v>
      </c>
      <c r="K296" s="4" t="s">
        <v>10</v>
      </c>
      <c r="L296" s="4" t="s">
        <v>20</v>
      </c>
      <c r="M296" s="4" t="s">
        <v>4312</v>
      </c>
      <c r="N296" s="4" t="s">
        <v>2584</v>
      </c>
      <c r="O296" s="89"/>
      <c r="P296" s="25">
        <v>45502</v>
      </c>
      <c r="Q296" s="7" t="s">
        <v>1106</v>
      </c>
      <c r="R296" s="90" t="s">
        <v>3252</v>
      </c>
      <c r="S296" s="6" t="s">
        <v>1795</v>
      </c>
      <c r="T296" s="4" t="s">
        <v>81</v>
      </c>
      <c r="U296" s="4" t="s">
        <v>107</v>
      </c>
      <c r="V296" s="4">
        <v>99</v>
      </c>
      <c r="W296" s="85">
        <v>46232</v>
      </c>
      <c r="X296" s="4" t="s">
        <v>3690</v>
      </c>
      <c r="Y296" s="4">
        <v>504255778</v>
      </c>
      <c r="Z296" s="4" t="s">
        <v>1909</v>
      </c>
      <c r="AA296" s="4" t="s">
        <v>1211</v>
      </c>
      <c r="AB296" s="4" t="s">
        <v>4289</v>
      </c>
    </row>
    <row r="297" spans="1:28">
      <c r="A297" s="4">
        <v>296</v>
      </c>
      <c r="B297" s="5">
        <v>13252507</v>
      </c>
      <c r="C297" s="5">
        <v>203709740</v>
      </c>
      <c r="D297" s="115" t="s">
        <v>261</v>
      </c>
      <c r="E297" s="4" t="s">
        <v>262</v>
      </c>
      <c r="F297" s="7" t="s">
        <v>82</v>
      </c>
      <c r="G297" s="7" t="s">
        <v>87</v>
      </c>
      <c r="H297" s="7" t="s">
        <v>75</v>
      </c>
      <c r="I297" s="6" t="s">
        <v>1790</v>
      </c>
      <c r="J297" s="7" t="s">
        <v>3</v>
      </c>
      <c r="K297" s="4" t="s">
        <v>10</v>
      </c>
      <c r="L297" s="4" t="s">
        <v>20</v>
      </c>
      <c r="M297" s="4" t="s">
        <v>4312</v>
      </c>
      <c r="N297" s="4" t="s">
        <v>2584</v>
      </c>
      <c r="O297" s="89"/>
      <c r="P297" s="25">
        <v>45495</v>
      </c>
      <c r="Q297" s="7" t="s">
        <v>1106</v>
      </c>
      <c r="R297" s="90" t="s">
        <v>3254</v>
      </c>
      <c r="S297" s="6" t="s">
        <v>1795</v>
      </c>
      <c r="T297" s="4" t="s">
        <v>81</v>
      </c>
      <c r="U297" s="4" t="s">
        <v>3263</v>
      </c>
      <c r="V297" s="4">
        <v>99</v>
      </c>
      <c r="W297" s="85">
        <v>46225</v>
      </c>
      <c r="X297" s="4" t="s">
        <v>3703</v>
      </c>
      <c r="Y297" s="4">
        <v>508424678</v>
      </c>
      <c r="Z297" s="4" t="s">
        <v>1910</v>
      </c>
      <c r="AA297" s="4" t="s">
        <v>1211</v>
      </c>
      <c r="AB297" s="4" t="s">
        <v>4289</v>
      </c>
    </row>
    <row r="298" spans="1:28">
      <c r="A298" s="4">
        <v>297</v>
      </c>
      <c r="B298" s="5">
        <v>12975385</v>
      </c>
      <c r="C298" s="5">
        <v>203802272</v>
      </c>
      <c r="D298" s="115" t="s">
        <v>718</v>
      </c>
      <c r="E298" s="4" t="s">
        <v>719</v>
      </c>
      <c r="F298" s="7" t="s">
        <v>74</v>
      </c>
      <c r="G298" s="7" t="s">
        <v>90</v>
      </c>
      <c r="H298" s="7" t="s">
        <v>87</v>
      </c>
      <c r="I298" s="6" t="s">
        <v>1788</v>
      </c>
      <c r="J298" s="7" t="s">
        <v>3</v>
      </c>
      <c r="K298" s="4" t="s">
        <v>10</v>
      </c>
      <c r="L298" s="4" t="s">
        <v>24</v>
      </c>
      <c r="M298" s="4" t="s">
        <v>4312</v>
      </c>
      <c r="N298" s="4" t="s">
        <v>2584</v>
      </c>
      <c r="O298" s="89"/>
      <c r="P298" s="25">
        <v>45517</v>
      </c>
      <c r="Q298" s="7" t="s">
        <v>1106</v>
      </c>
      <c r="R298" s="90" t="s">
        <v>3253</v>
      </c>
      <c r="S298" s="6" t="s">
        <v>1795</v>
      </c>
      <c r="T298" s="4" t="s">
        <v>81</v>
      </c>
      <c r="U298" s="4" t="s">
        <v>349</v>
      </c>
      <c r="V298" s="4">
        <v>99</v>
      </c>
      <c r="W298" s="85">
        <v>45882</v>
      </c>
      <c r="X298" s="4" t="s">
        <v>3703</v>
      </c>
      <c r="Y298" s="4">
        <v>582343841</v>
      </c>
      <c r="Z298" s="4" t="s">
        <v>1911</v>
      </c>
      <c r="AA298" s="4" t="s">
        <v>85</v>
      </c>
      <c r="AB298" s="4" t="s">
        <v>4289</v>
      </c>
    </row>
    <row r="299" spans="1:28">
      <c r="A299" s="4">
        <v>298</v>
      </c>
      <c r="B299" s="5">
        <v>13827892</v>
      </c>
      <c r="C299" s="5">
        <v>204869090</v>
      </c>
      <c r="D299" s="115" t="s">
        <v>2290</v>
      </c>
      <c r="E299" s="4" t="s">
        <v>2291</v>
      </c>
      <c r="F299" s="7" t="s">
        <v>74</v>
      </c>
      <c r="G299" s="7" t="s">
        <v>76</v>
      </c>
      <c r="H299" s="7" t="s">
        <v>88</v>
      </c>
      <c r="I299" s="6" t="s">
        <v>1790</v>
      </c>
      <c r="J299" s="7" t="s">
        <v>3</v>
      </c>
      <c r="K299" s="4" t="s">
        <v>10</v>
      </c>
      <c r="L299" s="4" t="s">
        <v>27</v>
      </c>
      <c r="M299" s="4" t="s">
        <v>634</v>
      </c>
      <c r="N299" s="4" t="s">
        <v>2584</v>
      </c>
      <c r="O299" s="89"/>
      <c r="P299" s="25">
        <v>45691</v>
      </c>
      <c r="Q299" s="7" t="s">
        <v>1434</v>
      </c>
      <c r="R299" s="90" t="s">
        <v>3264</v>
      </c>
      <c r="S299" s="6" t="s">
        <v>1795</v>
      </c>
      <c r="T299" s="4" t="s">
        <v>92</v>
      </c>
      <c r="U299" s="4" t="s">
        <v>112</v>
      </c>
      <c r="V299" s="4">
        <v>99</v>
      </c>
      <c r="W299" s="85">
        <v>45747</v>
      </c>
      <c r="X299" s="4" t="s">
        <v>3696</v>
      </c>
      <c r="Y299" s="4" t="s">
        <v>2359</v>
      </c>
      <c r="Z299" s="4" t="s">
        <v>2381</v>
      </c>
      <c r="AA299" s="4" t="s">
        <v>1196</v>
      </c>
      <c r="AB299" s="4" t="s">
        <v>4289</v>
      </c>
    </row>
    <row r="300" spans="1:28">
      <c r="A300" s="4">
        <v>299</v>
      </c>
      <c r="B300" s="5">
        <v>13277995</v>
      </c>
      <c r="C300" s="5">
        <v>206845692</v>
      </c>
      <c r="D300" s="115" t="s">
        <v>3311</v>
      </c>
      <c r="E300" s="5" t="s">
        <v>3280</v>
      </c>
      <c r="F300" s="7" t="s">
        <v>74</v>
      </c>
      <c r="G300" s="7" t="s">
        <v>75</v>
      </c>
      <c r="H300" s="7" t="s">
        <v>76</v>
      </c>
      <c r="I300" s="7" t="s">
        <v>1789</v>
      </c>
      <c r="J300" s="5" t="s">
        <v>3</v>
      </c>
      <c r="K300" s="5" t="s">
        <v>10</v>
      </c>
      <c r="L300" s="5" t="s">
        <v>22</v>
      </c>
      <c r="M300" s="5" t="s">
        <v>3320</v>
      </c>
      <c r="N300" s="5" t="s">
        <v>3289</v>
      </c>
      <c r="O300" s="89"/>
      <c r="P300" s="25">
        <v>46013</v>
      </c>
      <c r="Q300" s="5" t="s">
        <v>1106</v>
      </c>
      <c r="R300" s="4" t="s">
        <v>3261</v>
      </c>
      <c r="S300" s="5" t="s">
        <v>1795</v>
      </c>
      <c r="T300" s="5" t="s">
        <v>81</v>
      </c>
      <c r="U300" s="5"/>
      <c r="V300" s="5">
        <v>99</v>
      </c>
      <c r="W300" s="91">
        <v>45648</v>
      </c>
      <c r="X300" s="5" t="s">
        <v>3290</v>
      </c>
      <c r="Y300" s="5" t="s">
        <v>3292</v>
      </c>
      <c r="Z300" s="5" t="s">
        <v>3299</v>
      </c>
      <c r="AA300" s="4" t="s">
        <v>95</v>
      </c>
      <c r="AB300" s="4" t="s">
        <v>4290</v>
      </c>
    </row>
    <row r="301" spans="1:28" ht="14.5" customHeight="1">
      <c r="A301" s="4">
        <v>300</v>
      </c>
      <c r="B301" s="5">
        <v>11689009</v>
      </c>
      <c r="C301" s="5">
        <v>203635501</v>
      </c>
      <c r="D301" s="115" t="s">
        <v>578</v>
      </c>
      <c r="E301" s="4" t="s">
        <v>579</v>
      </c>
      <c r="F301" s="7" t="s">
        <v>74</v>
      </c>
      <c r="G301" s="7" t="s">
        <v>90</v>
      </c>
      <c r="H301" s="7" t="s">
        <v>87</v>
      </c>
      <c r="I301" s="6" t="s">
        <v>1788</v>
      </c>
      <c r="J301" s="7" t="s">
        <v>3</v>
      </c>
      <c r="K301" s="4" t="s">
        <v>10</v>
      </c>
      <c r="L301" s="4" t="s">
        <v>24</v>
      </c>
      <c r="M301" s="4" t="s">
        <v>634</v>
      </c>
      <c r="N301" s="4" t="s">
        <v>2584</v>
      </c>
      <c r="O301" s="89"/>
      <c r="P301" s="25">
        <v>45481</v>
      </c>
      <c r="Q301" s="7" t="s">
        <v>1106</v>
      </c>
      <c r="R301" s="90" t="s">
        <v>3255</v>
      </c>
      <c r="S301" s="6" t="s">
        <v>1795</v>
      </c>
      <c r="T301" s="4" t="s">
        <v>92</v>
      </c>
      <c r="U301" s="4" t="s">
        <v>103</v>
      </c>
      <c r="V301" s="4">
        <v>99</v>
      </c>
      <c r="W301" s="85">
        <v>45846</v>
      </c>
      <c r="X301" s="4" t="s">
        <v>3698</v>
      </c>
      <c r="Y301" s="4">
        <v>553990231</v>
      </c>
      <c r="Z301" s="4" t="s">
        <v>2225</v>
      </c>
      <c r="AA301" s="4" t="s">
        <v>1196</v>
      </c>
      <c r="AB301" s="4" t="s">
        <v>4289</v>
      </c>
    </row>
    <row r="302" spans="1:28">
      <c r="A302" s="4">
        <v>301</v>
      </c>
      <c r="B302" s="5">
        <v>11965188</v>
      </c>
      <c r="C302" s="5">
        <v>206915298</v>
      </c>
      <c r="D302" s="115" t="s">
        <v>3863</v>
      </c>
      <c r="E302" s="4" t="s">
        <v>3864</v>
      </c>
      <c r="F302" s="7" t="s">
        <v>74</v>
      </c>
      <c r="G302" s="7" t="s">
        <v>75</v>
      </c>
      <c r="H302" s="7" t="s">
        <v>76</v>
      </c>
      <c r="I302" s="7" t="s">
        <v>1789</v>
      </c>
      <c r="J302" s="7" t="s">
        <v>3</v>
      </c>
      <c r="K302" s="7" t="s">
        <v>10</v>
      </c>
      <c r="L302" s="7" t="s">
        <v>22</v>
      </c>
      <c r="M302" s="7" t="s">
        <v>4312</v>
      </c>
      <c r="N302" s="4" t="s">
        <v>2584</v>
      </c>
      <c r="O302" s="89"/>
      <c r="P302" s="25">
        <v>46034</v>
      </c>
      <c r="Q302" s="7" t="s">
        <v>1106</v>
      </c>
      <c r="R302" s="7" t="s">
        <v>3257</v>
      </c>
      <c r="S302" s="6" t="s">
        <v>1795</v>
      </c>
      <c r="T302" s="4" t="s">
        <v>81</v>
      </c>
      <c r="U302" s="4"/>
      <c r="V302" s="4">
        <v>99</v>
      </c>
      <c r="W302" s="85">
        <v>46441</v>
      </c>
      <c r="X302" s="4" t="s">
        <v>3290</v>
      </c>
      <c r="Y302" s="4">
        <v>525422484</v>
      </c>
      <c r="Z302" s="4" t="s">
        <v>3873</v>
      </c>
      <c r="AA302" s="4" t="s">
        <v>3016</v>
      </c>
      <c r="AB302" s="4" t="s">
        <v>4290</v>
      </c>
    </row>
    <row r="303" spans="1:28" ht="14.5" customHeight="1">
      <c r="A303" s="4">
        <v>302</v>
      </c>
      <c r="B303" s="5">
        <v>13500506</v>
      </c>
      <c r="C303" s="5">
        <v>206504126</v>
      </c>
      <c r="D303" s="115" t="s">
        <v>3225</v>
      </c>
      <c r="E303" s="4" t="s">
        <v>3232</v>
      </c>
      <c r="F303" s="7" t="s">
        <v>74</v>
      </c>
      <c r="G303" s="7" t="s">
        <v>75</v>
      </c>
      <c r="H303" s="7" t="s">
        <v>76</v>
      </c>
      <c r="I303" s="6" t="s">
        <v>1790</v>
      </c>
      <c r="J303" s="7" t="s">
        <v>3</v>
      </c>
      <c r="K303" s="4" t="s">
        <v>10</v>
      </c>
      <c r="L303" s="4" t="s">
        <v>22</v>
      </c>
      <c r="M303" s="4" t="s">
        <v>3320</v>
      </c>
      <c r="N303" s="4" t="s">
        <v>2584</v>
      </c>
      <c r="O303" s="89"/>
      <c r="P303" s="25">
        <v>45971</v>
      </c>
      <c r="Q303" s="7" t="s">
        <v>1106</v>
      </c>
      <c r="R303" s="4" t="s">
        <v>3262</v>
      </c>
      <c r="S303" s="6" t="s">
        <v>1795</v>
      </c>
      <c r="T303" s="4" t="s">
        <v>81</v>
      </c>
      <c r="U303" s="4" t="s">
        <v>349</v>
      </c>
      <c r="V303" s="4">
        <v>99</v>
      </c>
      <c r="W303" s="85">
        <v>46245</v>
      </c>
      <c r="X303" s="4" t="s">
        <v>2758</v>
      </c>
      <c r="Y303" s="4">
        <v>567807860</v>
      </c>
      <c r="Z303" s="4" t="s">
        <v>3239</v>
      </c>
      <c r="AA303" s="4" t="s">
        <v>3016</v>
      </c>
      <c r="AB303" s="4" t="s">
        <v>4289</v>
      </c>
    </row>
    <row r="304" spans="1:28">
      <c r="A304" s="4">
        <v>303</v>
      </c>
      <c r="B304" s="5">
        <v>150337</v>
      </c>
      <c r="C304" s="5">
        <v>203881598</v>
      </c>
      <c r="D304" s="115" t="s">
        <v>1056</v>
      </c>
      <c r="E304" s="4" t="s">
        <v>1057</v>
      </c>
      <c r="F304" s="7" t="s">
        <v>74</v>
      </c>
      <c r="G304" s="7" t="s">
        <v>87</v>
      </c>
      <c r="H304" s="7" t="s">
        <v>75</v>
      </c>
      <c r="I304" s="6" t="s">
        <v>1788</v>
      </c>
      <c r="J304" s="7" t="s">
        <v>3</v>
      </c>
      <c r="K304" s="4" t="s">
        <v>10</v>
      </c>
      <c r="L304" s="4" t="s">
        <v>24</v>
      </c>
      <c r="M304" s="4" t="s">
        <v>634</v>
      </c>
      <c r="N304" s="4" t="s">
        <v>2584</v>
      </c>
      <c r="O304" s="89"/>
      <c r="P304" s="25">
        <v>45530</v>
      </c>
      <c r="Q304" s="7" t="s">
        <v>1106</v>
      </c>
      <c r="R304" s="90" t="s">
        <v>3262</v>
      </c>
      <c r="S304" s="6" t="s">
        <v>1795</v>
      </c>
      <c r="T304" s="4" t="s">
        <v>81</v>
      </c>
      <c r="U304" s="4" t="s">
        <v>3263</v>
      </c>
      <c r="V304" s="4">
        <v>99</v>
      </c>
      <c r="W304" s="85">
        <v>45895</v>
      </c>
      <c r="X304" s="4" t="s">
        <v>3688</v>
      </c>
      <c r="Y304" s="4">
        <v>527904768</v>
      </c>
      <c r="Z304" s="4" t="s">
        <v>1912</v>
      </c>
      <c r="AA304" s="4" t="s">
        <v>85</v>
      </c>
      <c r="AB304" s="4" t="s">
        <v>4289</v>
      </c>
    </row>
    <row r="305" spans="1:28">
      <c r="A305" s="4">
        <v>304</v>
      </c>
      <c r="B305" s="5">
        <v>12817957</v>
      </c>
      <c r="C305" s="5">
        <v>206915295</v>
      </c>
      <c r="D305" s="115" t="s">
        <v>3861</v>
      </c>
      <c r="E305" s="4" t="s">
        <v>3862</v>
      </c>
      <c r="F305" s="7" t="s">
        <v>74</v>
      </c>
      <c r="G305" s="7" t="s">
        <v>87</v>
      </c>
      <c r="H305" s="7" t="s">
        <v>75</v>
      </c>
      <c r="I305" s="7" t="s">
        <v>1789</v>
      </c>
      <c r="J305" s="7" t="s">
        <v>3</v>
      </c>
      <c r="K305" s="7" t="s">
        <v>10</v>
      </c>
      <c r="L305" s="7" t="s">
        <v>22</v>
      </c>
      <c r="M305" s="7" t="s">
        <v>4312</v>
      </c>
      <c r="N305" s="4" t="s">
        <v>2584</v>
      </c>
      <c r="O305" s="89"/>
      <c r="P305" s="25">
        <v>46034</v>
      </c>
      <c r="Q305" s="7" t="s">
        <v>1106</v>
      </c>
      <c r="R305" s="4" t="s">
        <v>3255</v>
      </c>
      <c r="S305" s="6" t="s">
        <v>1795</v>
      </c>
      <c r="T305" s="4" t="s">
        <v>81</v>
      </c>
      <c r="U305" s="4"/>
      <c r="V305" s="4">
        <v>99</v>
      </c>
      <c r="W305" s="85">
        <v>46437</v>
      </c>
      <c r="X305" s="4" t="s">
        <v>3290</v>
      </c>
      <c r="Y305" s="4">
        <v>525422488</v>
      </c>
      <c r="Z305" s="4" t="s">
        <v>3872</v>
      </c>
      <c r="AA305" s="4" t="s">
        <v>3016</v>
      </c>
      <c r="AB305" s="4" t="s">
        <v>4289</v>
      </c>
    </row>
    <row r="306" spans="1:28">
      <c r="A306" s="4">
        <v>305</v>
      </c>
      <c r="B306" s="5">
        <v>12661175</v>
      </c>
      <c r="C306" s="5">
        <v>203712972</v>
      </c>
      <c r="D306" s="115" t="s">
        <v>684</v>
      </c>
      <c r="E306" s="4" t="s">
        <v>685</v>
      </c>
      <c r="F306" s="7" t="s">
        <v>74</v>
      </c>
      <c r="G306" s="7" t="s">
        <v>94</v>
      </c>
      <c r="H306" s="7" t="s">
        <v>89</v>
      </c>
      <c r="I306" s="6" t="s">
        <v>1790</v>
      </c>
      <c r="J306" s="7" t="s">
        <v>3</v>
      </c>
      <c r="K306" s="4" t="s">
        <v>10</v>
      </c>
      <c r="L306" s="4" t="s">
        <v>20</v>
      </c>
      <c r="M306" s="4" t="s">
        <v>634</v>
      </c>
      <c r="N306" s="4" t="s">
        <v>2584</v>
      </c>
      <c r="O306" s="89"/>
      <c r="P306" s="25">
        <v>45517</v>
      </c>
      <c r="Q306" s="7" t="s">
        <v>1106</v>
      </c>
      <c r="R306" s="90" t="s">
        <v>3257</v>
      </c>
      <c r="S306" s="6" t="s">
        <v>1795</v>
      </c>
      <c r="T306" s="4" t="s">
        <v>81</v>
      </c>
      <c r="U306" s="4" t="s">
        <v>103</v>
      </c>
      <c r="V306" s="4">
        <v>99</v>
      </c>
      <c r="W306" s="85">
        <v>46247</v>
      </c>
      <c r="X306" s="4" t="s">
        <v>3739</v>
      </c>
      <c r="Y306" s="4">
        <v>544969302</v>
      </c>
      <c r="Z306" s="4" t="s">
        <v>1913</v>
      </c>
      <c r="AA306" s="4" t="s">
        <v>1202</v>
      </c>
      <c r="AB306" s="4" t="s">
        <v>4289</v>
      </c>
    </row>
    <row r="307" spans="1:28">
      <c r="A307" s="4">
        <v>306</v>
      </c>
      <c r="B307" s="5">
        <v>11525717</v>
      </c>
      <c r="C307" s="5">
        <v>204883250</v>
      </c>
      <c r="D307" s="115" t="s">
        <v>2292</v>
      </c>
      <c r="E307" s="4" t="s">
        <v>2293</v>
      </c>
      <c r="F307" s="7" t="s">
        <v>74</v>
      </c>
      <c r="G307" s="7" t="s">
        <v>87</v>
      </c>
      <c r="H307" s="7" t="s">
        <v>75</v>
      </c>
      <c r="I307" s="6" t="s">
        <v>1790</v>
      </c>
      <c r="J307" s="7" t="s">
        <v>3</v>
      </c>
      <c r="K307" s="4" t="s">
        <v>10</v>
      </c>
      <c r="L307" s="4" t="s">
        <v>27</v>
      </c>
      <c r="M307" s="4" t="s">
        <v>634</v>
      </c>
      <c r="N307" s="4" t="s">
        <v>2584</v>
      </c>
      <c r="O307" s="89"/>
      <c r="P307" s="25">
        <v>45691</v>
      </c>
      <c r="Q307" s="7" t="s">
        <v>1434</v>
      </c>
      <c r="R307" s="90" t="s">
        <v>3262</v>
      </c>
      <c r="S307" s="6" t="s">
        <v>1795</v>
      </c>
      <c r="T307" s="4" t="s">
        <v>92</v>
      </c>
      <c r="U307" s="4" t="s">
        <v>103</v>
      </c>
      <c r="V307" s="4">
        <v>99</v>
      </c>
      <c r="W307" s="85">
        <v>45747</v>
      </c>
      <c r="X307" s="4" t="s">
        <v>3698</v>
      </c>
      <c r="Y307" s="4" t="s">
        <v>2360</v>
      </c>
      <c r="Z307" s="4" t="s">
        <v>2382</v>
      </c>
      <c r="AA307" s="4" t="s">
        <v>85</v>
      </c>
      <c r="AB307" s="4" t="s">
        <v>4289</v>
      </c>
    </row>
    <row r="308" spans="1:28">
      <c r="A308" s="4">
        <v>307</v>
      </c>
      <c r="B308" s="5">
        <v>14390779</v>
      </c>
      <c r="C308" s="5">
        <v>203521129</v>
      </c>
      <c r="D308" s="115" t="s">
        <v>212</v>
      </c>
      <c r="E308" s="4" t="s">
        <v>213</v>
      </c>
      <c r="F308" s="7" t="s">
        <v>82</v>
      </c>
      <c r="G308" s="7" t="s">
        <v>94</v>
      </c>
      <c r="H308" s="7" t="s">
        <v>89</v>
      </c>
      <c r="I308" s="6" t="s">
        <v>1788</v>
      </c>
      <c r="J308" s="7" t="s">
        <v>3</v>
      </c>
      <c r="K308" s="4" t="s">
        <v>10</v>
      </c>
      <c r="L308" s="4" t="s">
        <v>24</v>
      </c>
      <c r="M308" s="4" t="s">
        <v>4312</v>
      </c>
      <c r="N308" s="4" t="s">
        <v>2584</v>
      </c>
      <c r="O308" s="89"/>
      <c r="P308" s="25">
        <v>45463</v>
      </c>
      <c r="Q308" s="7" t="s">
        <v>1106</v>
      </c>
      <c r="R308" s="90" t="s">
        <v>3257</v>
      </c>
      <c r="S308" s="6" t="s">
        <v>1795</v>
      </c>
      <c r="T308" s="4" t="s">
        <v>81</v>
      </c>
      <c r="U308" s="4" t="s">
        <v>107</v>
      </c>
      <c r="V308" s="4">
        <v>99</v>
      </c>
      <c r="W308" s="85">
        <v>45828</v>
      </c>
      <c r="X308" s="4" t="s">
        <v>3703</v>
      </c>
      <c r="Y308" s="4">
        <v>551729724</v>
      </c>
      <c r="Z308" s="4" t="s">
        <v>1914</v>
      </c>
      <c r="AA308" s="4" t="s">
        <v>85</v>
      </c>
      <c r="AB308" s="4" t="s">
        <v>4289</v>
      </c>
    </row>
    <row r="309" spans="1:28">
      <c r="A309" s="4">
        <v>308</v>
      </c>
      <c r="B309" s="5">
        <v>13877704</v>
      </c>
      <c r="C309" s="5">
        <v>205236900</v>
      </c>
      <c r="D309" s="115" t="s">
        <v>2549</v>
      </c>
      <c r="E309" s="4" t="s">
        <v>2550</v>
      </c>
      <c r="F309" s="7" t="s">
        <v>74</v>
      </c>
      <c r="G309" s="7" t="s">
        <v>94</v>
      </c>
      <c r="H309" s="7" t="s">
        <v>89</v>
      </c>
      <c r="I309" s="6" t="s">
        <v>1790</v>
      </c>
      <c r="J309" s="7" t="s">
        <v>3</v>
      </c>
      <c r="K309" s="4" t="s">
        <v>10</v>
      </c>
      <c r="L309" s="4" t="s">
        <v>22</v>
      </c>
      <c r="M309" s="4" t="s">
        <v>634</v>
      </c>
      <c r="N309" s="4" t="s">
        <v>2583</v>
      </c>
      <c r="O309" s="89"/>
      <c r="P309" s="25">
        <v>45831</v>
      </c>
      <c r="Q309" s="7" t="s">
        <v>161</v>
      </c>
      <c r="R309" s="90" t="s">
        <v>3252</v>
      </c>
      <c r="S309" s="6" t="s">
        <v>1795</v>
      </c>
      <c r="T309" s="4" t="s">
        <v>81</v>
      </c>
      <c r="U309" s="4" t="s">
        <v>112</v>
      </c>
      <c r="V309" s="4">
        <v>99</v>
      </c>
      <c r="W309" s="85">
        <v>45887</v>
      </c>
      <c r="X309" s="4"/>
      <c r="Y309" s="4"/>
      <c r="Z309" s="4"/>
      <c r="AA309" s="4" t="s">
        <v>85</v>
      </c>
      <c r="AB309" s="4" t="s">
        <v>4289</v>
      </c>
    </row>
    <row r="310" spans="1:28">
      <c r="A310" s="4">
        <v>309</v>
      </c>
      <c r="B310" s="5">
        <v>14217459</v>
      </c>
      <c r="C310" s="5">
        <v>203468310</v>
      </c>
      <c r="D310" s="115" t="s">
        <v>171</v>
      </c>
      <c r="E310" s="4" t="s">
        <v>172</v>
      </c>
      <c r="F310" s="7" t="s">
        <v>74</v>
      </c>
      <c r="G310" s="7" t="s">
        <v>90</v>
      </c>
      <c r="H310" s="7" t="s">
        <v>87</v>
      </c>
      <c r="I310" s="6" t="s">
        <v>1788</v>
      </c>
      <c r="J310" s="7" t="s">
        <v>3</v>
      </c>
      <c r="K310" s="4" t="s">
        <v>10</v>
      </c>
      <c r="L310" s="4" t="s">
        <v>24</v>
      </c>
      <c r="M310" s="4" t="s">
        <v>634</v>
      </c>
      <c r="N310" s="4" t="s">
        <v>2583</v>
      </c>
      <c r="O310" s="89"/>
      <c r="P310" s="25">
        <v>45456</v>
      </c>
      <c r="Q310" s="7" t="s">
        <v>1433</v>
      </c>
      <c r="R310" s="90" t="s">
        <v>3252</v>
      </c>
      <c r="S310" s="6" t="s">
        <v>1795</v>
      </c>
      <c r="T310" s="4" t="s">
        <v>92</v>
      </c>
      <c r="U310" s="4" t="s">
        <v>107</v>
      </c>
      <c r="V310" s="4">
        <v>99</v>
      </c>
      <c r="W310" s="85">
        <v>45821</v>
      </c>
      <c r="X310" s="4" t="s">
        <v>3688</v>
      </c>
      <c r="Y310" s="4">
        <v>524223055</v>
      </c>
      <c r="Z310" s="4" t="s">
        <v>1915</v>
      </c>
      <c r="AA310" s="4" t="s">
        <v>85</v>
      </c>
      <c r="AB310" s="4" t="s">
        <v>4289</v>
      </c>
    </row>
    <row r="311" spans="1:28">
      <c r="A311" s="4">
        <v>310</v>
      </c>
      <c r="B311" s="95">
        <v>11678973</v>
      </c>
      <c r="C311" s="5">
        <v>206873865</v>
      </c>
      <c r="D311" s="115" t="s">
        <v>3415</v>
      </c>
      <c r="E311" s="4" t="s">
        <v>3369</v>
      </c>
      <c r="F311" s="7" t="s">
        <v>74</v>
      </c>
      <c r="G311" s="7" t="s">
        <v>87</v>
      </c>
      <c r="H311" s="7" t="s">
        <v>75</v>
      </c>
      <c r="I311" s="7" t="s">
        <v>1789</v>
      </c>
      <c r="J311" s="6" t="s">
        <v>3</v>
      </c>
      <c r="K311" s="6" t="s">
        <v>10</v>
      </c>
      <c r="L311" s="4" t="s">
        <v>22</v>
      </c>
      <c r="M311" s="4" t="s">
        <v>3320</v>
      </c>
      <c r="N311" s="4" t="s">
        <v>2584</v>
      </c>
      <c r="O311" s="89"/>
      <c r="P311" s="25">
        <v>46020</v>
      </c>
      <c r="Q311" s="7" t="s">
        <v>1106</v>
      </c>
      <c r="R311" s="90" t="s">
        <v>3253</v>
      </c>
      <c r="S311" s="6" t="s">
        <v>3478</v>
      </c>
      <c r="T311" s="4" t="s">
        <v>81</v>
      </c>
      <c r="U311" s="4"/>
      <c r="V311" s="4">
        <v>99</v>
      </c>
      <c r="W311" s="4"/>
      <c r="X311" s="4" t="s">
        <v>3290</v>
      </c>
      <c r="Y311" s="95">
        <v>543253470</v>
      </c>
      <c r="Z311" s="4" t="s">
        <v>3445</v>
      </c>
      <c r="AA311" s="4" t="s">
        <v>3016</v>
      </c>
      <c r="AB311" s="4" t="s">
        <v>4290</v>
      </c>
    </row>
    <row r="312" spans="1:28">
      <c r="A312" s="4">
        <v>311</v>
      </c>
      <c r="B312" s="5">
        <v>103589</v>
      </c>
      <c r="C312" s="5">
        <v>203800480</v>
      </c>
      <c r="D312" s="115" t="s">
        <v>669</v>
      </c>
      <c r="E312" s="4" t="s">
        <v>670</v>
      </c>
      <c r="F312" s="7" t="s">
        <v>74</v>
      </c>
      <c r="G312" s="7" t="s">
        <v>87</v>
      </c>
      <c r="H312" s="7" t="s">
        <v>75</v>
      </c>
      <c r="I312" s="6" t="s">
        <v>1790</v>
      </c>
      <c r="J312" s="7" t="s">
        <v>3</v>
      </c>
      <c r="K312" s="4" t="s">
        <v>10</v>
      </c>
      <c r="L312" s="4" t="s">
        <v>22</v>
      </c>
      <c r="M312" s="4" t="s">
        <v>4312</v>
      </c>
      <c r="N312" s="4" t="s">
        <v>2584</v>
      </c>
      <c r="O312" s="89"/>
      <c r="P312" s="25">
        <v>45516</v>
      </c>
      <c r="Q312" s="7" t="s">
        <v>1106</v>
      </c>
      <c r="R312" s="90" t="s">
        <v>3260</v>
      </c>
      <c r="S312" s="6" t="s">
        <v>1795</v>
      </c>
      <c r="T312" s="4" t="s">
        <v>81</v>
      </c>
      <c r="U312" s="4" t="s">
        <v>107</v>
      </c>
      <c r="V312" s="4">
        <v>99</v>
      </c>
      <c r="W312" s="85">
        <v>45572</v>
      </c>
      <c r="X312" s="4" t="s">
        <v>1216</v>
      </c>
      <c r="Y312" s="4">
        <v>525299784</v>
      </c>
      <c r="Z312" s="4" t="s">
        <v>1916</v>
      </c>
      <c r="AA312" s="4" t="s">
        <v>95</v>
      </c>
      <c r="AB312" s="4" t="s">
        <v>4289</v>
      </c>
    </row>
    <row r="313" spans="1:28">
      <c r="A313" s="4">
        <v>312</v>
      </c>
      <c r="B313" s="5">
        <v>13764887</v>
      </c>
      <c r="C313" s="5">
        <v>206958910</v>
      </c>
      <c r="D313" s="115" t="s">
        <v>4124</v>
      </c>
      <c r="E313" s="4" t="s">
        <v>3961</v>
      </c>
      <c r="F313" s="7" t="s">
        <v>74</v>
      </c>
      <c r="G313" s="7" t="s">
        <v>94</v>
      </c>
      <c r="H313" s="7" t="s">
        <v>89</v>
      </c>
      <c r="I313" s="7" t="s">
        <v>1789</v>
      </c>
      <c r="J313" s="7" t="s">
        <v>3</v>
      </c>
      <c r="K313" s="4" t="s">
        <v>10</v>
      </c>
      <c r="L313" s="4" t="s">
        <v>23</v>
      </c>
      <c r="M313" s="4" t="s">
        <v>4312</v>
      </c>
      <c r="N313" s="4" t="s">
        <v>2584</v>
      </c>
      <c r="O313" s="89"/>
      <c r="P313" s="25">
        <v>46048</v>
      </c>
      <c r="Q313" s="7" t="s">
        <v>1106</v>
      </c>
      <c r="R313" s="4" t="s">
        <v>3252</v>
      </c>
      <c r="S313" s="6" t="s">
        <v>1795</v>
      </c>
      <c r="T313" s="4" t="s">
        <v>92</v>
      </c>
      <c r="U313" s="4"/>
      <c r="V313" s="4">
        <v>99</v>
      </c>
      <c r="W313" s="85">
        <v>46104</v>
      </c>
      <c r="X313" s="4" t="s">
        <v>3979</v>
      </c>
      <c r="Y313" s="4" t="s">
        <v>3984</v>
      </c>
      <c r="Z313" s="4" t="s">
        <v>4003</v>
      </c>
      <c r="AA313" s="4" t="s">
        <v>1204</v>
      </c>
      <c r="AB313" s="4" t="s">
        <v>4289</v>
      </c>
    </row>
    <row r="314" spans="1:28">
      <c r="A314" s="4">
        <v>313</v>
      </c>
      <c r="B314" s="5">
        <v>14142498</v>
      </c>
      <c r="C314" s="5">
        <v>203521521</v>
      </c>
      <c r="D314" s="115" t="s">
        <v>200</v>
      </c>
      <c r="E314" s="4" t="s">
        <v>201</v>
      </c>
      <c r="F314" s="7" t="s">
        <v>74</v>
      </c>
      <c r="G314" s="7" t="s">
        <v>90</v>
      </c>
      <c r="H314" s="7" t="s">
        <v>87</v>
      </c>
      <c r="I314" s="6" t="s">
        <v>1788</v>
      </c>
      <c r="J314" s="7" t="s">
        <v>3</v>
      </c>
      <c r="K314" s="4" t="s">
        <v>10</v>
      </c>
      <c r="L314" s="4" t="s">
        <v>24</v>
      </c>
      <c r="M314" s="4" t="s">
        <v>634</v>
      </c>
      <c r="N314" s="4" t="s">
        <v>2583</v>
      </c>
      <c r="O314" s="89"/>
      <c r="P314" s="25">
        <v>45463</v>
      </c>
      <c r="Q314" s="7" t="s">
        <v>1433</v>
      </c>
      <c r="R314" s="90" t="s">
        <v>3257</v>
      </c>
      <c r="S314" s="6" t="s">
        <v>1795</v>
      </c>
      <c r="T314" s="4" t="s">
        <v>81</v>
      </c>
      <c r="U314" s="4" t="s">
        <v>107</v>
      </c>
      <c r="V314" s="4">
        <v>99</v>
      </c>
      <c r="W314" s="85">
        <v>45828</v>
      </c>
      <c r="X314" s="4" t="s">
        <v>3690</v>
      </c>
      <c r="Y314" s="4">
        <v>525568946</v>
      </c>
      <c r="Z314" s="4" t="s">
        <v>1917</v>
      </c>
      <c r="AA314" s="4" t="s">
        <v>85</v>
      </c>
      <c r="AB314" s="4" t="s">
        <v>4289</v>
      </c>
    </row>
    <row r="315" spans="1:28">
      <c r="A315" s="4">
        <v>314</v>
      </c>
      <c r="B315" s="5">
        <v>12658021</v>
      </c>
      <c r="C315" s="5">
        <v>203965524</v>
      </c>
      <c r="D315" s="115" t="s">
        <v>1279</v>
      </c>
      <c r="E315" s="4" t="s">
        <v>1280</v>
      </c>
      <c r="F315" s="7" t="s">
        <v>74</v>
      </c>
      <c r="G315" s="7" t="s">
        <v>76</v>
      </c>
      <c r="H315" s="7" t="s">
        <v>88</v>
      </c>
      <c r="I315" s="6" t="s">
        <v>1788</v>
      </c>
      <c r="J315" s="7" t="s">
        <v>3</v>
      </c>
      <c r="K315" s="4" t="s">
        <v>10</v>
      </c>
      <c r="L315" s="4" t="s">
        <v>24</v>
      </c>
      <c r="M315" s="4" t="s">
        <v>634</v>
      </c>
      <c r="N315" s="4" t="s">
        <v>2584</v>
      </c>
      <c r="O315" s="89"/>
      <c r="P315" s="25">
        <v>45544</v>
      </c>
      <c r="Q315" s="7" t="s">
        <v>1106</v>
      </c>
      <c r="R315" s="90" t="s">
        <v>3252</v>
      </c>
      <c r="S315" s="6" t="s">
        <v>1795</v>
      </c>
      <c r="T315" s="4" t="s">
        <v>81</v>
      </c>
      <c r="U315" s="4" t="s">
        <v>112</v>
      </c>
      <c r="V315" s="4">
        <v>99</v>
      </c>
      <c r="W315" s="85">
        <v>45909</v>
      </c>
      <c r="X315" s="4" t="s">
        <v>3694</v>
      </c>
      <c r="Y315" s="4">
        <v>553156880</v>
      </c>
      <c r="Z315" s="4" t="s">
        <v>1918</v>
      </c>
      <c r="AA315" s="4" t="s">
        <v>85</v>
      </c>
      <c r="AB315" s="4" t="s">
        <v>4289</v>
      </c>
    </row>
    <row r="316" spans="1:28">
      <c r="A316" s="4">
        <v>315</v>
      </c>
      <c r="B316" s="5">
        <v>14706671</v>
      </c>
      <c r="C316" s="5">
        <v>205609884</v>
      </c>
      <c r="D316" s="115" t="s">
        <v>2588</v>
      </c>
      <c r="E316" s="4" t="s">
        <v>2602</v>
      </c>
      <c r="F316" s="7" t="s">
        <v>74</v>
      </c>
      <c r="G316" s="7" t="s">
        <v>94</v>
      </c>
      <c r="H316" s="7" t="s">
        <v>89</v>
      </c>
      <c r="I316" s="6" t="s">
        <v>1790</v>
      </c>
      <c r="J316" s="7" t="s">
        <v>3</v>
      </c>
      <c r="K316" s="4" t="s">
        <v>10</v>
      </c>
      <c r="L316" s="4" t="s">
        <v>22</v>
      </c>
      <c r="M316" s="4" t="s">
        <v>4312</v>
      </c>
      <c r="N316" s="4"/>
      <c r="O316" s="89"/>
      <c r="P316" s="25">
        <v>45845</v>
      </c>
      <c r="Q316" s="7" t="s">
        <v>1106</v>
      </c>
      <c r="R316" s="90" t="s">
        <v>2586</v>
      </c>
      <c r="S316" s="6" t="s">
        <v>1795</v>
      </c>
      <c r="T316" s="4" t="s">
        <v>81</v>
      </c>
      <c r="U316" s="4" t="s">
        <v>349</v>
      </c>
      <c r="V316" s="4">
        <v>99</v>
      </c>
      <c r="W316" s="85">
        <v>45901</v>
      </c>
      <c r="X316" s="4" t="s">
        <v>1216</v>
      </c>
      <c r="Y316" s="4">
        <v>562157494</v>
      </c>
      <c r="Z316" s="4" t="s">
        <v>2610</v>
      </c>
      <c r="AA316" s="4" t="s">
        <v>85</v>
      </c>
      <c r="AB316" s="4" t="s">
        <v>4289</v>
      </c>
    </row>
    <row r="317" spans="1:28">
      <c r="A317" s="4">
        <v>316</v>
      </c>
      <c r="B317" s="5">
        <v>15379138</v>
      </c>
      <c r="C317" s="5">
        <v>206006412</v>
      </c>
      <c r="D317" s="115" t="s">
        <v>2815</v>
      </c>
      <c r="E317" s="4" t="s">
        <v>3525</v>
      </c>
      <c r="F317" s="7" t="s">
        <v>74</v>
      </c>
      <c r="G317" s="7" t="s">
        <v>75</v>
      </c>
      <c r="H317" s="7" t="s">
        <v>76</v>
      </c>
      <c r="I317" s="6" t="s">
        <v>1788</v>
      </c>
      <c r="J317" s="7" t="s">
        <v>3</v>
      </c>
      <c r="K317" s="4" t="s">
        <v>10</v>
      </c>
      <c r="L317" s="4" t="s">
        <v>24</v>
      </c>
      <c r="M317" s="4" t="s">
        <v>4312</v>
      </c>
      <c r="N317" s="4"/>
      <c r="O317" s="89"/>
      <c r="P317" s="25">
        <v>45915</v>
      </c>
      <c r="Q317" s="7" t="s">
        <v>1106</v>
      </c>
      <c r="R317" s="4" t="s">
        <v>3260</v>
      </c>
      <c r="S317" s="6" t="s">
        <v>1795</v>
      </c>
      <c r="T317" s="4" t="s">
        <v>92</v>
      </c>
      <c r="U317" s="4" t="s">
        <v>349</v>
      </c>
      <c r="V317" s="4">
        <v>99</v>
      </c>
      <c r="W317" s="85"/>
      <c r="X317" s="4"/>
      <c r="Y317" s="4"/>
      <c r="Z317" s="4"/>
      <c r="AA317" s="4" t="s">
        <v>95</v>
      </c>
      <c r="AB317" s="4" t="s">
        <v>4289</v>
      </c>
    </row>
    <row r="318" spans="1:28">
      <c r="A318" s="4">
        <v>317</v>
      </c>
      <c r="B318" s="5">
        <v>13303759</v>
      </c>
      <c r="C318" s="5">
        <v>203965495</v>
      </c>
      <c r="D318" s="115" t="s">
        <v>1265</v>
      </c>
      <c r="E318" s="4" t="s">
        <v>1266</v>
      </c>
      <c r="F318" s="7" t="s">
        <v>82</v>
      </c>
      <c r="G318" s="7" t="s">
        <v>89</v>
      </c>
      <c r="H318" s="7" t="s">
        <v>90</v>
      </c>
      <c r="I318" s="6" t="s">
        <v>1788</v>
      </c>
      <c r="J318" s="7" t="s">
        <v>3</v>
      </c>
      <c r="K318" s="4" t="s">
        <v>10</v>
      </c>
      <c r="L318" s="4" t="s">
        <v>24</v>
      </c>
      <c r="M318" s="4" t="s">
        <v>4312</v>
      </c>
      <c r="N318" s="4" t="s">
        <v>2584</v>
      </c>
      <c r="O318" s="89"/>
      <c r="P318" s="25">
        <v>45544</v>
      </c>
      <c r="Q318" s="7" t="s">
        <v>1106</v>
      </c>
      <c r="R318" s="90" t="s">
        <v>3258</v>
      </c>
      <c r="S318" s="6" t="s">
        <v>1795</v>
      </c>
      <c r="T318" s="4" t="s">
        <v>92</v>
      </c>
      <c r="U318" s="4" t="s">
        <v>107</v>
      </c>
      <c r="V318" s="4">
        <v>99</v>
      </c>
      <c r="W318" s="85">
        <v>45909</v>
      </c>
      <c r="X318" s="4" t="s">
        <v>3694</v>
      </c>
      <c r="Y318" s="4">
        <v>565847296</v>
      </c>
      <c r="Z318" s="4" t="s">
        <v>2413</v>
      </c>
      <c r="AA318" s="4" t="s">
        <v>85</v>
      </c>
      <c r="AB318" s="4" t="s">
        <v>4289</v>
      </c>
    </row>
    <row r="319" spans="1:28">
      <c r="A319" s="4">
        <v>318</v>
      </c>
      <c r="B319" s="5">
        <v>13606820</v>
      </c>
      <c r="C319" s="5">
        <v>203802274</v>
      </c>
      <c r="D319" s="115" t="s">
        <v>680</v>
      </c>
      <c r="E319" s="4" t="s">
        <v>681</v>
      </c>
      <c r="F319" s="7" t="s">
        <v>74</v>
      </c>
      <c r="G319" s="7" t="s">
        <v>94</v>
      </c>
      <c r="H319" s="7" t="s">
        <v>89</v>
      </c>
      <c r="I319" s="6" t="s">
        <v>1788</v>
      </c>
      <c r="J319" s="7" t="s">
        <v>3</v>
      </c>
      <c r="K319" s="4" t="s">
        <v>10</v>
      </c>
      <c r="L319" s="4" t="s">
        <v>24</v>
      </c>
      <c r="M319" s="4" t="s">
        <v>4312</v>
      </c>
      <c r="N319" s="4" t="s">
        <v>2584</v>
      </c>
      <c r="O319" s="89"/>
      <c r="P319" s="25">
        <v>45516</v>
      </c>
      <c r="Q319" s="7" t="s">
        <v>1106</v>
      </c>
      <c r="R319" s="90" t="s">
        <v>3261</v>
      </c>
      <c r="S319" s="6" t="s">
        <v>1795</v>
      </c>
      <c r="T319" s="4" t="s">
        <v>81</v>
      </c>
      <c r="U319" s="4" t="s">
        <v>132</v>
      </c>
      <c r="V319" s="4">
        <v>99</v>
      </c>
      <c r="W319" s="85">
        <v>45881</v>
      </c>
      <c r="X319" s="4" t="s">
        <v>3752</v>
      </c>
      <c r="Y319" s="4">
        <v>529330612</v>
      </c>
      <c r="Z319" s="4" t="s">
        <v>1919</v>
      </c>
      <c r="AA319" s="4" t="s">
        <v>1198</v>
      </c>
      <c r="AB319" s="4" t="s">
        <v>4289</v>
      </c>
    </row>
    <row r="320" spans="1:28">
      <c r="A320" s="4">
        <v>319</v>
      </c>
      <c r="B320" s="5">
        <v>14523882</v>
      </c>
      <c r="C320" s="5">
        <v>205506017</v>
      </c>
      <c r="D320" s="115" t="s">
        <v>2551</v>
      </c>
      <c r="E320" s="4" t="s">
        <v>2552</v>
      </c>
      <c r="F320" s="7" t="s">
        <v>74</v>
      </c>
      <c r="G320" s="7" t="s">
        <v>88</v>
      </c>
      <c r="H320" s="7" t="s">
        <v>94</v>
      </c>
      <c r="I320" s="7" t="s">
        <v>1789</v>
      </c>
      <c r="J320" s="7" t="s">
        <v>3</v>
      </c>
      <c r="K320" s="4" t="s">
        <v>10</v>
      </c>
      <c r="L320" s="4" t="s">
        <v>23</v>
      </c>
      <c r="M320" s="4" t="s">
        <v>4312</v>
      </c>
      <c r="N320" s="4" t="s">
        <v>2584</v>
      </c>
      <c r="O320" s="89"/>
      <c r="P320" s="25">
        <v>45831</v>
      </c>
      <c r="Q320" s="7" t="s">
        <v>1106</v>
      </c>
      <c r="R320" s="90" t="s">
        <v>3264</v>
      </c>
      <c r="S320" s="6" t="s">
        <v>1795</v>
      </c>
      <c r="T320" s="4" t="s">
        <v>81</v>
      </c>
      <c r="U320" s="4" t="s">
        <v>107</v>
      </c>
      <c r="V320" s="4">
        <v>99</v>
      </c>
      <c r="W320" s="85">
        <v>45887</v>
      </c>
      <c r="X320" s="4"/>
      <c r="Y320" s="4"/>
      <c r="Z320" s="4"/>
      <c r="AA320" s="4" t="s">
        <v>1204</v>
      </c>
      <c r="AB320" s="4" t="s">
        <v>4289</v>
      </c>
    </row>
    <row r="321" spans="1:28">
      <c r="A321" s="4">
        <v>320</v>
      </c>
      <c r="B321" s="5">
        <v>236105</v>
      </c>
      <c r="C321" s="5">
        <v>205608618</v>
      </c>
      <c r="D321" s="115" t="s">
        <v>2597</v>
      </c>
      <c r="E321" s="4" t="s">
        <v>2606</v>
      </c>
      <c r="F321" s="7" t="s">
        <v>74</v>
      </c>
      <c r="G321" s="7" t="s">
        <v>87</v>
      </c>
      <c r="H321" s="7" t="s">
        <v>75</v>
      </c>
      <c r="I321" s="6" t="s">
        <v>1790</v>
      </c>
      <c r="J321" s="7" t="s">
        <v>3</v>
      </c>
      <c r="K321" s="4" t="s">
        <v>10</v>
      </c>
      <c r="L321" s="4" t="s">
        <v>22</v>
      </c>
      <c r="M321" s="4" t="s">
        <v>4312</v>
      </c>
      <c r="N321" s="4"/>
      <c r="O321" s="89"/>
      <c r="P321" s="25">
        <v>45845</v>
      </c>
      <c r="Q321" s="7" t="s">
        <v>1106</v>
      </c>
      <c r="R321" s="7" t="s">
        <v>3257</v>
      </c>
      <c r="S321" s="6" t="s">
        <v>1795</v>
      </c>
      <c r="T321" s="4" t="s">
        <v>81</v>
      </c>
      <c r="U321" s="4" t="s">
        <v>349</v>
      </c>
      <c r="V321" s="4">
        <v>99</v>
      </c>
      <c r="W321" s="85">
        <v>45901</v>
      </c>
      <c r="X321" s="4" t="s">
        <v>1216</v>
      </c>
      <c r="Y321" s="4">
        <v>562157503</v>
      </c>
      <c r="Z321" s="4" t="s">
        <v>2619</v>
      </c>
      <c r="AA321" s="4" t="s">
        <v>85</v>
      </c>
      <c r="AB321" s="4" t="s">
        <v>4289</v>
      </c>
    </row>
    <row r="322" spans="1:28">
      <c r="A322" s="4">
        <v>321</v>
      </c>
      <c r="B322" s="5">
        <v>14138423</v>
      </c>
      <c r="C322" s="5">
        <v>203965520</v>
      </c>
      <c r="D322" s="115" t="s">
        <v>1287</v>
      </c>
      <c r="E322" s="4" t="s">
        <v>1288</v>
      </c>
      <c r="F322" s="7" t="s">
        <v>82</v>
      </c>
      <c r="G322" s="7" t="s">
        <v>89</v>
      </c>
      <c r="H322" s="7" t="s">
        <v>90</v>
      </c>
      <c r="I322" s="6" t="s">
        <v>1788</v>
      </c>
      <c r="J322" s="7" t="s">
        <v>3</v>
      </c>
      <c r="K322" s="4" t="s">
        <v>10</v>
      </c>
      <c r="L322" s="4" t="s">
        <v>24</v>
      </c>
      <c r="M322" s="4" t="s">
        <v>4312</v>
      </c>
      <c r="N322" s="4" t="s">
        <v>2584</v>
      </c>
      <c r="O322" s="89"/>
      <c r="P322" s="25">
        <v>45544</v>
      </c>
      <c r="Q322" s="7" t="s">
        <v>1106</v>
      </c>
      <c r="R322" s="90" t="s">
        <v>2586</v>
      </c>
      <c r="S322" s="6" t="s">
        <v>1795</v>
      </c>
      <c r="T322" s="4" t="s">
        <v>92</v>
      </c>
      <c r="U322" s="4" t="s">
        <v>349</v>
      </c>
      <c r="V322" s="4">
        <v>99</v>
      </c>
      <c r="W322" s="85">
        <v>45909</v>
      </c>
      <c r="X322" s="4" t="s">
        <v>3694</v>
      </c>
      <c r="Y322" s="4">
        <v>565634413</v>
      </c>
      <c r="Z322" s="4" t="s">
        <v>1920</v>
      </c>
      <c r="AA322" s="4" t="s">
        <v>1196</v>
      </c>
      <c r="AB322" s="4" t="s">
        <v>4289</v>
      </c>
    </row>
    <row r="323" spans="1:28">
      <c r="A323" s="4">
        <v>322</v>
      </c>
      <c r="B323" s="5">
        <v>94125</v>
      </c>
      <c r="C323" s="5">
        <v>203851006</v>
      </c>
      <c r="D323" s="115" t="s">
        <v>829</v>
      </c>
      <c r="E323" s="4" t="s">
        <v>830</v>
      </c>
      <c r="F323" s="7" t="s">
        <v>74</v>
      </c>
      <c r="G323" s="7" t="s">
        <v>94</v>
      </c>
      <c r="H323" s="7" t="s">
        <v>89</v>
      </c>
      <c r="I323" s="6" t="s">
        <v>1788</v>
      </c>
      <c r="J323" s="7" t="s">
        <v>3</v>
      </c>
      <c r="K323" s="4" t="s">
        <v>10</v>
      </c>
      <c r="L323" s="4" t="s">
        <v>24</v>
      </c>
      <c r="M323" s="4" t="s">
        <v>634</v>
      </c>
      <c r="N323" s="4" t="s">
        <v>2584</v>
      </c>
      <c r="O323" s="89"/>
      <c r="P323" s="25">
        <v>45524</v>
      </c>
      <c r="Q323" s="7" t="s">
        <v>1434</v>
      </c>
      <c r="R323" s="90" t="s">
        <v>3264</v>
      </c>
      <c r="S323" s="6" t="s">
        <v>1795</v>
      </c>
      <c r="T323" s="4" t="s">
        <v>81</v>
      </c>
      <c r="U323" s="4" t="s">
        <v>349</v>
      </c>
      <c r="V323" s="4">
        <v>99</v>
      </c>
      <c r="W323" s="85">
        <v>45889</v>
      </c>
      <c r="X323" s="4" t="s">
        <v>3474</v>
      </c>
      <c r="Y323" s="4">
        <v>552966204</v>
      </c>
      <c r="Z323" s="4" t="s">
        <v>1921</v>
      </c>
      <c r="AA323" s="4" t="s">
        <v>85</v>
      </c>
      <c r="AB323" s="4" t="s">
        <v>4289</v>
      </c>
    </row>
    <row r="324" spans="1:28" ht="14.5" customHeight="1">
      <c r="A324" s="4">
        <v>323</v>
      </c>
      <c r="B324" s="5">
        <v>13238914</v>
      </c>
      <c r="C324" s="5">
        <v>203881601</v>
      </c>
      <c r="D324" s="115" t="s">
        <v>1058</v>
      </c>
      <c r="E324" s="4" t="s">
        <v>1059</v>
      </c>
      <c r="F324" s="7" t="s">
        <v>82</v>
      </c>
      <c r="G324" s="7" t="s">
        <v>75</v>
      </c>
      <c r="H324" s="7" t="s">
        <v>76</v>
      </c>
      <c r="I324" s="6" t="s">
        <v>1788</v>
      </c>
      <c r="J324" s="7" t="s">
        <v>3</v>
      </c>
      <c r="K324" s="4" t="s">
        <v>10</v>
      </c>
      <c r="L324" s="4" t="s">
        <v>24</v>
      </c>
      <c r="M324" s="4" t="s">
        <v>4312</v>
      </c>
      <c r="N324" s="4" t="s">
        <v>2584</v>
      </c>
      <c r="O324" s="89"/>
      <c r="P324" s="25">
        <v>45530</v>
      </c>
      <c r="Q324" s="7" t="s">
        <v>1106</v>
      </c>
      <c r="R324" s="90" t="s">
        <v>2586</v>
      </c>
      <c r="S324" s="6" t="s">
        <v>1795</v>
      </c>
      <c r="T324" s="4" t="s">
        <v>81</v>
      </c>
      <c r="U324" s="4" t="s">
        <v>349</v>
      </c>
      <c r="V324" s="4">
        <v>99</v>
      </c>
      <c r="W324" s="85">
        <v>45895</v>
      </c>
      <c r="X324" s="4" t="s">
        <v>3688</v>
      </c>
      <c r="Y324" s="4">
        <v>582364766</v>
      </c>
      <c r="Z324" s="4" t="s">
        <v>1922</v>
      </c>
      <c r="AA324" s="4" t="s">
        <v>85</v>
      </c>
      <c r="AB324" s="4" t="s">
        <v>4289</v>
      </c>
    </row>
    <row r="325" spans="1:28">
      <c r="A325" s="4">
        <v>324</v>
      </c>
      <c r="B325" s="5">
        <v>12378315</v>
      </c>
      <c r="C325" s="5">
        <v>204967143</v>
      </c>
      <c r="D325" s="115" t="s">
        <v>2470</v>
      </c>
      <c r="E325" s="4" t="s">
        <v>2471</v>
      </c>
      <c r="F325" s="7" t="s">
        <v>82</v>
      </c>
      <c r="G325" s="7" t="s">
        <v>88</v>
      </c>
      <c r="H325" s="7" t="s">
        <v>94</v>
      </c>
      <c r="I325" s="6" t="s">
        <v>1790</v>
      </c>
      <c r="J325" s="7" t="s">
        <v>3</v>
      </c>
      <c r="K325" s="4" t="s">
        <v>10</v>
      </c>
      <c r="L325" s="4" t="s">
        <v>22</v>
      </c>
      <c r="M325" s="4" t="s">
        <v>4312</v>
      </c>
      <c r="N325" s="4" t="s">
        <v>2584</v>
      </c>
      <c r="O325" s="89"/>
      <c r="P325" s="25">
        <v>45826</v>
      </c>
      <c r="Q325" s="7" t="s">
        <v>1106</v>
      </c>
      <c r="R325" s="90" t="s">
        <v>3254</v>
      </c>
      <c r="S325" s="6" t="s">
        <v>1795</v>
      </c>
      <c r="T325" s="4" t="s">
        <v>81</v>
      </c>
      <c r="U325" s="4" t="s">
        <v>103</v>
      </c>
      <c r="V325" s="4">
        <v>99</v>
      </c>
      <c r="W325" s="85">
        <v>45882</v>
      </c>
      <c r="X325" s="4" t="s">
        <v>1216</v>
      </c>
      <c r="Y325" s="4"/>
      <c r="Z325" s="4"/>
      <c r="AA325" s="4" t="s">
        <v>85</v>
      </c>
      <c r="AB325" s="4" t="s">
        <v>4289</v>
      </c>
    </row>
    <row r="326" spans="1:28">
      <c r="A326" s="4">
        <v>325</v>
      </c>
      <c r="B326" s="5">
        <v>11540195</v>
      </c>
      <c r="C326" s="5">
        <v>206065200</v>
      </c>
      <c r="D326" s="115" t="s">
        <v>2884</v>
      </c>
      <c r="E326" s="4" t="s">
        <v>2903</v>
      </c>
      <c r="F326" s="7" t="s">
        <v>74</v>
      </c>
      <c r="G326" s="7" t="s">
        <v>94</v>
      </c>
      <c r="H326" s="7" t="s">
        <v>89</v>
      </c>
      <c r="I326" s="6" t="s">
        <v>1788</v>
      </c>
      <c r="J326" s="7" t="s">
        <v>3</v>
      </c>
      <c r="K326" s="4" t="s">
        <v>10</v>
      </c>
      <c r="L326" s="4" t="s">
        <v>24</v>
      </c>
      <c r="M326" s="4" t="s">
        <v>634</v>
      </c>
      <c r="N326" s="4" t="s">
        <v>2584</v>
      </c>
      <c r="O326" s="89"/>
      <c r="P326" s="25">
        <v>45922</v>
      </c>
      <c r="Q326" s="7" t="s">
        <v>1434</v>
      </c>
      <c r="R326" s="4" t="s">
        <v>3260</v>
      </c>
      <c r="S326" s="6" t="s">
        <v>1795</v>
      </c>
      <c r="T326" s="4" t="s">
        <v>92</v>
      </c>
      <c r="U326" s="4" t="s">
        <v>349</v>
      </c>
      <c r="V326" s="4">
        <v>99</v>
      </c>
      <c r="W326" s="85">
        <v>45983</v>
      </c>
      <c r="X326" s="4" t="s">
        <v>3688</v>
      </c>
      <c r="Y326" s="4"/>
      <c r="Z326" s="4"/>
      <c r="AA326" s="4" t="s">
        <v>85</v>
      </c>
      <c r="AB326" s="4" t="s">
        <v>4289</v>
      </c>
    </row>
    <row r="327" spans="1:28">
      <c r="A327" s="4">
        <v>326</v>
      </c>
      <c r="B327" s="5">
        <v>11811315</v>
      </c>
      <c r="C327" s="5">
        <v>205495596</v>
      </c>
      <c r="D327" s="115" t="s">
        <v>2553</v>
      </c>
      <c r="E327" s="4" t="s">
        <v>2554</v>
      </c>
      <c r="F327" s="7" t="s">
        <v>74</v>
      </c>
      <c r="G327" s="7" t="s">
        <v>89</v>
      </c>
      <c r="H327" s="7" t="s">
        <v>90</v>
      </c>
      <c r="I327" s="7" t="s">
        <v>1789</v>
      </c>
      <c r="J327" s="7" t="s">
        <v>3</v>
      </c>
      <c r="K327" s="4" t="s">
        <v>10</v>
      </c>
      <c r="L327" s="4" t="s">
        <v>23</v>
      </c>
      <c r="M327" s="4" t="s">
        <v>4312</v>
      </c>
      <c r="N327" s="4" t="s">
        <v>2584</v>
      </c>
      <c r="O327" s="89"/>
      <c r="P327" s="25">
        <v>45831</v>
      </c>
      <c r="Q327" s="7" t="s">
        <v>1106</v>
      </c>
      <c r="R327" s="90" t="s">
        <v>3254</v>
      </c>
      <c r="S327" s="6" t="s">
        <v>1795</v>
      </c>
      <c r="T327" s="4" t="s">
        <v>81</v>
      </c>
      <c r="U327" s="4" t="s">
        <v>107</v>
      </c>
      <c r="V327" s="4">
        <v>99</v>
      </c>
      <c r="W327" s="85">
        <v>45887</v>
      </c>
      <c r="X327" s="4"/>
      <c r="Y327" s="4"/>
      <c r="Z327" s="4"/>
      <c r="AA327" s="4" t="s">
        <v>1204</v>
      </c>
      <c r="AB327" s="4" t="s">
        <v>4289</v>
      </c>
    </row>
    <row r="328" spans="1:28">
      <c r="A328" s="4">
        <v>327</v>
      </c>
      <c r="B328" s="5">
        <v>11706235</v>
      </c>
      <c r="C328" s="5">
        <v>204246157</v>
      </c>
      <c r="D328" s="115" t="s">
        <v>1735</v>
      </c>
      <c r="E328" s="4" t="s">
        <v>1641</v>
      </c>
      <c r="F328" s="7" t="s">
        <v>82</v>
      </c>
      <c r="G328" s="7" t="s">
        <v>89</v>
      </c>
      <c r="H328" s="7" t="s">
        <v>90</v>
      </c>
      <c r="I328" s="6" t="s">
        <v>1790</v>
      </c>
      <c r="J328" s="7" t="s">
        <v>3</v>
      </c>
      <c r="K328" s="4" t="s">
        <v>10</v>
      </c>
      <c r="L328" s="4" t="s">
        <v>27</v>
      </c>
      <c r="M328" s="4" t="s">
        <v>4312</v>
      </c>
      <c r="N328" s="4" t="s">
        <v>2584</v>
      </c>
      <c r="O328" s="89"/>
      <c r="P328" s="25">
        <v>45579</v>
      </c>
      <c r="Q328" s="7" t="s">
        <v>1106</v>
      </c>
      <c r="R328" s="90" t="s">
        <v>3258</v>
      </c>
      <c r="S328" s="6" t="s">
        <v>1795</v>
      </c>
      <c r="T328" s="4" t="s">
        <v>92</v>
      </c>
      <c r="U328" s="4" t="s">
        <v>3263</v>
      </c>
      <c r="V328" s="4">
        <v>99</v>
      </c>
      <c r="W328" s="85">
        <v>46309</v>
      </c>
      <c r="X328" s="4" t="s">
        <v>3688</v>
      </c>
      <c r="Y328" s="4">
        <v>582466599</v>
      </c>
      <c r="Z328" s="4" t="s">
        <v>1665</v>
      </c>
      <c r="AA328" s="4" t="s">
        <v>1198</v>
      </c>
      <c r="AB328" s="4" t="s">
        <v>4289</v>
      </c>
    </row>
    <row r="329" spans="1:28">
      <c r="A329" s="4">
        <v>328</v>
      </c>
      <c r="B329" s="5">
        <v>13014973</v>
      </c>
      <c r="C329" s="5">
        <v>204868859</v>
      </c>
      <c r="D329" s="115" t="s">
        <v>2294</v>
      </c>
      <c r="E329" s="4" t="s">
        <v>2295</v>
      </c>
      <c r="F329" s="7" t="s">
        <v>82</v>
      </c>
      <c r="G329" s="7" t="s">
        <v>89</v>
      </c>
      <c r="H329" s="7" t="s">
        <v>90</v>
      </c>
      <c r="I329" s="6" t="s">
        <v>1790</v>
      </c>
      <c r="J329" s="7" t="s">
        <v>3</v>
      </c>
      <c r="K329" s="4" t="s">
        <v>10</v>
      </c>
      <c r="L329" s="4" t="s">
        <v>27</v>
      </c>
      <c r="M329" s="4" t="s">
        <v>3320</v>
      </c>
      <c r="N329" s="4" t="s">
        <v>2584</v>
      </c>
      <c r="O329" s="89"/>
      <c r="P329" s="25">
        <v>45691</v>
      </c>
      <c r="Q329" s="7" t="s">
        <v>1106</v>
      </c>
      <c r="R329" s="90" t="s">
        <v>3257</v>
      </c>
      <c r="S329" s="6" t="s">
        <v>1795</v>
      </c>
      <c r="T329" s="4" t="s">
        <v>81</v>
      </c>
      <c r="U329" s="4" t="s">
        <v>107</v>
      </c>
      <c r="V329" s="4">
        <v>99</v>
      </c>
      <c r="W329" s="85">
        <v>45747</v>
      </c>
      <c r="X329" s="4" t="s">
        <v>3690</v>
      </c>
      <c r="Y329" s="4" t="s">
        <v>2361</v>
      </c>
      <c r="Z329" s="4" t="s">
        <v>2383</v>
      </c>
      <c r="AA329" s="4" t="s">
        <v>85</v>
      </c>
      <c r="AB329" s="4" t="s">
        <v>4289</v>
      </c>
    </row>
    <row r="330" spans="1:28">
      <c r="A330" s="4">
        <v>329</v>
      </c>
      <c r="B330" s="5">
        <v>12356476</v>
      </c>
      <c r="C330" s="5">
        <v>204872907</v>
      </c>
      <c r="D330" s="115" t="s">
        <v>2542</v>
      </c>
      <c r="E330" s="4" t="s">
        <v>2543</v>
      </c>
      <c r="F330" s="7" t="s">
        <v>82</v>
      </c>
      <c r="G330" s="7" t="s">
        <v>90</v>
      </c>
      <c r="H330" s="7" t="s">
        <v>87</v>
      </c>
      <c r="I330" s="6" t="s">
        <v>1790</v>
      </c>
      <c r="J330" s="7" t="s">
        <v>3</v>
      </c>
      <c r="K330" s="4" t="s">
        <v>10</v>
      </c>
      <c r="L330" s="4" t="s">
        <v>22</v>
      </c>
      <c r="M330" s="4" t="s">
        <v>4312</v>
      </c>
      <c r="N330" s="4" t="s">
        <v>2584</v>
      </c>
      <c r="O330" s="89"/>
      <c r="P330" s="25">
        <v>45826</v>
      </c>
      <c r="Q330" s="7" t="s">
        <v>1106</v>
      </c>
      <c r="R330" s="90" t="s">
        <v>3256</v>
      </c>
      <c r="S330" s="6" t="s">
        <v>1795</v>
      </c>
      <c r="T330" s="4" t="s">
        <v>81</v>
      </c>
      <c r="U330" s="4" t="s">
        <v>103</v>
      </c>
      <c r="V330" s="4">
        <v>99</v>
      </c>
      <c r="W330" s="85">
        <v>45882</v>
      </c>
      <c r="X330" s="4" t="s">
        <v>1216</v>
      </c>
      <c r="Y330" s="4"/>
      <c r="Z330" s="4"/>
      <c r="AA330" s="4" t="s">
        <v>85</v>
      </c>
      <c r="AB330" s="4" t="s">
        <v>4289</v>
      </c>
    </row>
    <row r="331" spans="1:28">
      <c r="A331" s="4">
        <v>330</v>
      </c>
      <c r="B331" s="5">
        <v>15173672</v>
      </c>
      <c r="C331" s="5">
        <v>206065195</v>
      </c>
      <c r="D331" s="115" t="s">
        <v>2890</v>
      </c>
      <c r="E331" s="4" t="s">
        <v>2908</v>
      </c>
      <c r="F331" s="7" t="s">
        <v>74</v>
      </c>
      <c r="G331" s="7" t="s">
        <v>94</v>
      </c>
      <c r="H331" s="7" t="s">
        <v>89</v>
      </c>
      <c r="I331" s="6" t="s">
        <v>1788</v>
      </c>
      <c r="J331" s="7" t="s">
        <v>3</v>
      </c>
      <c r="K331" s="4" t="s">
        <v>10</v>
      </c>
      <c r="L331" s="4" t="s">
        <v>24</v>
      </c>
      <c r="M331" s="4" t="s">
        <v>634</v>
      </c>
      <c r="N331" s="4" t="s">
        <v>2584</v>
      </c>
      <c r="O331" s="89"/>
      <c r="P331" s="25">
        <v>45922</v>
      </c>
      <c r="Q331" s="7" t="s">
        <v>1434</v>
      </c>
      <c r="R331" s="90" t="s">
        <v>3258</v>
      </c>
      <c r="S331" s="6" t="s">
        <v>1795</v>
      </c>
      <c r="T331" s="4" t="s">
        <v>81</v>
      </c>
      <c r="U331" s="4" t="s">
        <v>112</v>
      </c>
      <c r="V331" s="4">
        <v>99</v>
      </c>
      <c r="W331" s="85">
        <v>45983</v>
      </c>
      <c r="X331" s="4" t="s">
        <v>3474</v>
      </c>
      <c r="Y331" s="4"/>
      <c r="Z331" s="4"/>
      <c r="AA331" s="4" t="s">
        <v>85</v>
      </c>
      <c r="AB331" s="4" t="s">
        <v>4289</v>
      </c>
    </row>
    <row r="332" spans="1:28">
      <c r="A332" s="4">
        <v>331</v>
      </c>
      <c r="B332" s="5">
        <v>15267234</v>
      </c>
      <c r="C332" s="5">
        <v>203468317</v>
      </c>
      <c r="D332" s="115" t="s">
        <v>176</v>
      </c>
      <c r="E332" s="4" t="s">
        <v>177</v>
      </c>
      <c r="F332" s="7" t="s">
        <v>74</v>
      </c>
      <c r="G332" s="7" t="s">
        <v>90</v>
      </c>
      <c r="H332" s="7" t="s">
        <v>87</v>
      </c>
      <c r="I332" s="6" t="s">
        <v>1788</v>
      </c>
      <c r="J332" s="7" t="s">
        <v>3</v>
      </c>
      <c r="K332" s="4" t="s">
        <v>10</v>
      </c>
      <c r="L332" s="4" t="s">
        <v>24</v>
      </c>
      <c r="M332" s="4" t="s">
        <v>634</v>
      </c>
      <c r="N332" s="4" t="s">
        <v>2583</v>
      </c>
      <c r="O332" s="89"/>
      <c r="P332" s="25">
        <v>45456</v>
      </c>
      <c r="Q332" s="7" t="s">
        <v>1433</v>
      </c>
      <c r="R332" s="90" t="s">
        <v>3260</v>
      </c>
      <c r="S332" s="6" t="s">
        <v>1795</v>
      </c>
      <c r="T332" s="4" t="s">
        <v>81</v>
      </c>
      <c r="U332" s="4" t="s">
        <v>107</v>
      </c>
      <c r="V332" s="4">
        <v>99</v>
      </c>
      <c r="W332" s="85">
        <v>45821</v>
      </c>
      <c r="X332" s="4" t="s">
        <v>3690</v>
      </c>
      <c r="Y332" s="4">
        <v>558371614</v>
      </c>
      <c r="Z332" s="4" t="s">
        <v>1923</v>
      </c>
      <c r="AA332" s="4" t="s">
        <v>85</v>
      </c>
      <c r="AB332" s="4" t="s">
        <v>4289</v>
      </c>
    </row>
    <row r="333" spans="1:28">
      <c r="A333" s="4">
        <v>332</v>
      </c>
      <c r="B333" s="106">
        <v>15096806</v>
      </c>
      <c r="C333" s="5">
        <v>205671334</v>
      </c>
      <c r="D333" s="115" t="s">
        <v>4279</v>
      </c>
      <c r="E333" s="4" t="s">
        <v>4280</v>
      </c>
      <c r="F333" s="7" t="s">
        <v>74</v>
      </c>
      <c r="G333" s="7" t="s">
        <v>94</v>
      </c>
      <c r="H333" s="7" t="s">
        <v>89</v>
      </c>
      <c r="I333" s="6" t="s">
        <v>244</v>
      </c>
      <c r="J333" s="7" t="s">
        <v>3</v>
      </c>
      <c r="K333" s="4" t="s">
        <v>10</v>
      </c>
      <c r="L333" s="4" t="s">
        <v>21</v>
      </c>
      <c r="M333" s="4" t="s">
        <v>3320</v>
      </c>
      <c r="N333" s="4" t="s">
        <v>2583</v>
      </c>
      <c r="O333" s="89"/>
      <c r="P333" s="25">
        <v>46062</v>
      </c>
      <c r="Q333" s="7" t="s">
        <v>1435</v>
      </c>
      <c r="R333" s="90"/>
      <c r="S333" s="6" t="s">
        <v>1795</v>
      </c>
      <c r="T333" s="4" t="s">
        <v>81</v>
      </c>
      <c r="U333" s="4"/>
      <c r="V333" s="4">
        <v>3</v>
      </c>
      <c r="W333" s="85"/>
      <c r="X333" s="4"/>
      <c r="Y333" s="4"/>
      <c r="Z333" s="4"/>
      <c r="AA333" s="4"/>
      <c r="AB333" s="4" t="e">
        <v>#N/A</v>
      </c>
    </row>
    <row r="334" spans="1:28">
      <c r="A334" s="4">
        <v>333</v>
      </c>
      <c r="B334" s="5">
        <v>14587023</v>
      </c>
      <c r="C334" s="5">
        <v>203851004</v>
      </c>
      <c r="D334" s="115" t="s">
        <v>831</v>
      </c>
      <c r="E334" s="4" t="s">
        <v>832</v>
      </c>
      <c r="F334" s="7" t="s">
        <v>82</v>
      </c>
      <c r="G334" s="7" t="s">
        <v>90</v>
      </c>
      <c r="H334" s="7" t="s">
        <v>87</v>
      </c>
      <c r="I334" s="6" t="s">
        <v>1788</v>
      </c>
      <c r="J334" s="7" t="s">
        <v>3</v>
      </c>
      <c r="K334" s="4" t="s">
        <v>10</v>
      </c>
      <c r="L334" s="4" t="s">
        <v>24</v>
      </c>
      <c r="M334" s="4" t="s">
        <v>634</v>
      </c>
      <c r="N334" s="4" t="s">
        <v>2584</v>
      </c>
      <c r="O334" s="89"/>
      <c r="P334" s="25">
        <v>45524</v>
      </c>
      <c r="Q334" s="7" t="s">
        <v>1434</v>
      </c>
      <c r="R334" s="90" t="s">
        <v>3252</v>
      </c>
      <c r="S334" s="6" t="s">
        <v>1795</v>
      </c>
      <c r="T334" s="4" t="s">
        <v>81</v>
      </c>
      <c r="U334" s="4" t="s">
        <v>349</v>
      </c>
      <c r="V334" s="4">
        <v>99</v>
      </c>
      <c r="W334" s="85">
        <v>45889</v>
      </c>
      <c r="X334" s="4" t="s">
        <v>3690</v>
      </c>
      <c r="Y334" s="4">
        <v>502398386</v>
      </c>
      <c r="Z334" s="4" t="s">
        <v>1924</v>
      </c>
      <c r="AA334" s="4" t="s">
        <v>85</v>
      </c>
      <c r="AB334" s="4" t="s">
        <v>4289</v>
      </c>
    </row>
    <row r="335" spans="1:28">
      <c r="A335" s="4">
        <v>334</v>
      </c>
      <c r="B335" s="5">
        <v>136471</v>
      </c>
      <c r="C335" s="5">
        <v>203736252</v>
      </c>
      <c r="D335" s="115" t="s">
        <v>329</v>
      </c>
      <c r="E335" s="4" t="s">
        <v>330</v>
      </c>
      <c r="F335" s="7" t="s">
        <v>82</v>
      </c>
      <c r="G335" s="7" t="s">
        <v>89</v>
      </c>
      <c r="H335" s="7" t="s">
        <v>90</v>
      </c>
      <c r="I335" s="6" t="s">
        <v>1790</v>
      </c>
      <c r="J335" s="7" t="s">
        <v>3</v>
      </c>
      <c r="K335" s="4" t="s">
        <v>10</v>
      </c>
      <c r="L335" s="4" t="s">
        <v>22</v>
      </c>
      <c r="M335" s="4" t="s">
        <v>4312</v>
      </c>
      <c r="N335" s="4" t="s">
        <v>2584</v>
      </c>
      <c r="O335" s="89"/>
      <c r="P335" s="25">
        <v>45502</v>
      </c>
      <c r="Q335" s="7" t="s">
        <v>1106</v>
      </c>
      <c r="R335" s="90" t="s">
        <v>3258</v>
      </c>
      <c r="S335" s="6" t="s">
        <v>1795</v>
      </c>
      <c r="T335" s="4" t="s">
        <v>81</v>
      </c>
      <c r="U335" s="4" t="s">
        <v>107</v>
      </c>
      <c r="V335" s="4">
        <v>99</v>
      </c>
      <c r="W335" s="85">
        <v>45558</v>
      </c>
      <c r="X335" s="4" t="s">
        <v>1216</v>
      </c>
      <c r="Y335" s="4">
        <v>554564784</v>
      </c>
      <c r="Z335" s="4" t="s">
        <v>1925</v>
      </c>
      <c r="AA335" s="4" t="s">
        <v>95</v>
      </c>
      <c r="AB335" s="4" t="s">
        <v>4289</v>
      </c>
    </row>
    <row r="336" spans="1:28">
      <c r="A336" s="4">
        <v>335</v>
      </c>
      <c r="B336" s="5">
        <v>13306341</v>
      </c>
      <c r="C336" s="5">
        <v>204246170</v>
      </c>
      <c r="D336" s="115" t="s">
        <v>1721</v>
      </c>
      <c r="E336" s="4" t="s">
        <v>1627</v>
      </c>
      <c r="F336" s="7" t="s">
        <v>82</v>
      </c>
      <c r="G336" s="7" t="s">
        <v>87</v>
      </c>
      <c r="H336" s="7" t="s">
        <v>75</v>
      </c>
      <c r="I336" s="6" t="s">
        <v>1790</v>
      </c>
      <c r="J336" s="7" t="s">
        <v>3</v>
      </c>
      <c r="K336" s="4" t="s">
        <v>10</v>
      </c>
      <c r="L336" s="4" t="s">
        <v>27</v>
      </c>
      <c r="M336" s="4" t="s">
        <v>4312</v>
      </c>
      <c r="N336" s="4" t="s">
        <v>2584</v>
      </c>
      <c r="O336" s="89"/>
      <c r="P336" s="25">
        <v>45579</v>
      </c>
      <c r="Q336" s="7" t="s">
        <v>1106</v>
      </c>
      <c r="R336" s="90" t="s">
        <v>3256</v>
      </c>
      <c r="S336" s="6" t="s">
        <v>1795</v>
      </c>
      <c r="T336" s="4" t="s">
        <v>81</v>
      </c>
      <c r="U336" s="4" t="s">
        <v>107</v>
      </c>
      <c r="V336" s="4">
        <v>99</v>
      </c>
      <c r="W336" s="85">
        <v>46309</v>
      </c>
      <c r="X336" s="4" t="s">
        <v>3694</v>
      </c>
      <c r="Y336" s="4">
        <v>557805013</v>
      </c>
      <c r="Z336" s="4" t="s">
        <v>1651</v>
      </c>
      <c r="AA336" s="4" t="s">
        <v>85</v>
      </c>
      <c r="AB336" s="4" t="s">
        <v>4289</v>
      </c>
    </row>
    <row r="337" spans="1:28">
      <c r="A337" s="4">
        <v>336</v>
      </c>
      <c r="B337" s="5">
        <v>11758819</v>
      </c>
      <c r="C337" s="5">
        <v>204246161</v>
      </c>
      <c r="D337" s="115" t="s">
        <v>1726</v>
      </c>
      <c r="E337" s="4" t="s">
        <v>1632</v>
      </c>
      <c r="F337" s="7" t="s">
        <v>74</v>
      </c>
      <c r="G337" s="7" t="s">
        <v>75</v>
      </c>
      <c r="H337" s="7" t="s">
        <v>76</v>
      </c>
      <c r="I337" s="6" t="s">
        <v>1790</v>
      </c>
      <c r="J337" s="7" t="s">
        <v>7</v>
      </c>
      <c r="K337" s="4" t="s">
        <v>10</v>
      </c>
      <c r="L337" s="4" t="s">
        <v>27</v>
      </c>
      <c r="M337" s="4" t="s">
        <v>4315</v>
      </c>
      <c r="N337" s="4" t="s">
        <v>2584</v>
      </c>
      <c r="O337" s="89"/>
      <c r="P337" s="25">
        <v>45579</v>
      </c>
      <c r="Q337" s="7" t="s">
        <v>7</v>
      </c>
      <c r="R337" s="90" t="s">
        <v>3260</v>
      </c>
      <c r="S337" s="6" t="s">
        <v>1795</v>
      </c>
      <c r="T337" s="4" t="s">
        <v>81</v>
      </c>
      <c r="U337" s="4" t="s">
        <v>112</v>
      </c>
      <c r="V337" s="4">
        <v>99</v>
      </c>
      <c r="W337" s="85">
        <v>46309</v>
      </c>
      <c r="X337" s="4" t="s">
        <v>3694</v>
      </c>
      <c r="Y337" s="4">
        <v>526657412</v>
      </c>
      <c r="Z337" s="4" t="s">
        <v>1656</v>
      </c>
      <c r="AA337" s="4" t="s">
        <v>85</v>
      </c>
      <c r="AB337" s="4" t="s">
        <v>4289</v>
      </c>
    </row>
    <row r="338" spans="1:28">
      <c r="A338" s="4">
        <v>337</v>
      </c>
      <c r="B338" s="5">
        <v>11135040</v>
      </c>
      <c r="C338" s="5">
        <v>102582327</v>
      </c>
      <c r="D338" s="115" t="s">
        <v>249</v>
      </c>
      <c r="E338" s="4" t="s">
        <v>250</v>
      </c>
      <c r="F338" s="7" t="s">
        <v>82</v>
      </c>
      <c r="G338" s="7" t="s">
        <v>94</v>
      </c>
      <c r="H338" s="7" t="s">
        <v>89</v>
      </c>
      <c r="I338" s="6" t="s">
        <v>244</v>
      </c>
      <c r="J338" s="7" t="s">
        <v>3</v>
      </c>
      <c r="K338" s="4" t="s">
        <v>10</v>
      </c>
      <c r="L338" s="4" t="s">
        <v>21</v>
      </c>
      <c r="M338" s="4" t="s">
        <v>4312</v>
      </c>
      <c r="N338" s="4" t="s">
        <v>2583</v>
      </c>
      <c r="O338" s="89"/>
      <c r="P338" s="25">
        <v>42960</v>
      </c>
      <c r="Q338" s="7" t="s">
        <v>1435</v>
      </c>
      <c r="R338" s="90" t="s">
        <v>3260</v>
      </c>
      <c r="S338" s="6" t="s">
        <v>1795</v>
      </c>
      <c r="T338" s="4" t="s">
        <v>81</v>
      </c>
      <c r="U338" s="4" t="s">
        <v>107</v>
      </c>
      <c r="V338" s="4">
        <v>3</v>
      </c>
      <c r="W338" s="85"/>
      <c r="X338" s="4" t="s">
        <v>3474</v>
      </c>
      <c r="Y338" s="4">
        <v>0</v>
      </c>
      <c r="Z338" s="4" t="e">
        <v>#N/A</v>
      </c>
      <c r="AA338" s="4" t="s">
        <v>1194</v>
      </c>
      <c r="AB338" s="4" t="s">
        <v>4289</v>
      </c>
    </row>
    <row r="339" spans="1:28">
      <c r="A339" s="4">
        <v>338</v>
      </c>
      <c r="B339" s="5">
        <v>13448938</v>
      </c>
      <c r="C339" s="5">
        <v>203555714</v>
      </c>
      <c r="D339" s="115" t="s">
        <v>229</v>
      </c>
      <c r="E339" s="4" t="s">
        <v>230</v>
      </c>
      <c r="F339" s="7" t="s">
        <v>82</v>
      </c>
      <c r="G339" s="7" t="s">
        <v>87</v>
      </c>
      <c r="H339" s="7" t="s">
        <v>75</v>
      </c>
      <c r="I339" s="6" t="s">
        <v>1788</v>
      </c>
      <c r="J339" s="7" t="s">
        <v>3</v>
      </c>
      <c r="K339" s="4" t="s">
        <v>10</v>
      </c>
      <c r="L339" s="4" t="s">
        <v>24</v>
      </c>
      <c r="M339" s="4" t="s">
        <v>634</v>
      </c>
      <c r="N339" s="4" t="s">
        <v>2584</v>
      </c>
      <c r="O339" s="89"/>
      <c r="P339" s="25">
        <v>45470</v>
      </c>
      <c r="Q339" s="7" t="s">
        <v>1434</v>
      </c>
      <c r="R339" s="90" t="s">
        <v>3260</v>
      </c>
      <c r="S339" s="6" t="s">
        <v>1795</v>
      </c>
      <c r="T339" s="4" t="s">
        <v>92</v>
      </c>
      <c r="U339" s="4" t="s">
        <v>349</v>
      </c>
      <c r="V339" s="4">
        <v>99</v>
      </c>
      <c r="W339" s="85">
        <v>45835</v>
      </c>
      <c r="X339" s="4" t="s">
        <v>3739</v>
      </c>
      <c r="Y339" s="4">
        <v>568905348</v>
      </c>
      <c r="Z339" s="4" t="s">
        <v>1926</v>
      </c>
      <c r="AA339" s="4" t="s">
        <v>85</v>
      </c>
      <c r="AB339" s="4" t="s">
        <v>4289</v>
      </c>
    </row>
    <row r="340" spans="1:28">
      <c r="A340" s="4">
        <v>339</v>
      </c>
      <c r="B340" s="5">
        <v>12850503</v>
      </c>
      <c r="C340" s="5">
        <v>203468318</v>
      </c>
      <c r="D340" s="115" t="s">
        <v>174</v>
      </c>
      <c r="E340" s="4" t="s">
        <v>175</v>
      </c>
      <c r="F340" s="7" t="s">
        <v>74</v>
      </c>
      <c r="G340" s="7" t="s">
        <v>75</v>
      </c>
      <c r="H340" s="7" t="s">
        <v>76</v>
      </c>
      <c r="I340" s="6" t="s">
        <v>1788</v>
      </c>
      <c r="J340" s="7" t="s">
        <v>3</v>
      </c>
      <c r="K340" s="4" t="s">
        <v>10</v>
      </c>
      <c r="L340" s="4" t="s">
        <v>24</v>
      </c>
      <c r="M340" s="4" t="s">
        <v>634</v>
      </c>
      <c r="N340" s="4" t="s">
        <v>2583</v>
      </c>
      <c r="O340" s="89"/>
      <c r="P340" s="25">
        <v>45456</v>
      </c>
      <c r="Q340" s="7" t="s">
        <v>1433</v>
      </c>
      <c r="R340" s="90" t="s">
        <v>3262</v>
      </c>
      <c r="S340" s="6" t="s">
        <v>1795</v>
      </c>
      <c r="T340" s="4" t="s">
        <v>92</v>
      </c>
      <c r="U340" s="4" t="s">
        <v>103</v>
      </c>
      <c r="V340" s="4">
        <v>99</v>
      </c>
      <c r="W340" s="85">
        <v>45821</v>
      </c>
      <c r="X340" s="4" t="s">
        <v>1213</v>
      </c>
      <c r="Y340" s="4">
        <v>547828405</v>
      </c>
      <c r="Z340" s="4" t="s">
        <v>1927</v>
      </c>
      <c r="AA340" s="4" t="s">
        <v>85</v>
      </c>
      <c r="AB340" s="4" t="s">
        <v>4289</v>
      </c>
    </row>
    <row r="341" spans="1:28">
      <c r="A341" s="4">
        <v>340</v>
      </c>
      <c r="B341" s="95">
        <v>12676588</v>
      </c>
      <c r="C341" s="5">
        <v>206873868</v>
      </c>
      <c r="D341" s="115" t="s">
        <v>3421</v>
      </c>
      <c r="E341" s="4" t="s">
        <v>3375</v>
      </c>
      <c r="F341" s="7" t="s">
        <v>74</v>
      </c>
      <c r="G341" s="7" t="s">
        <v>89</v>
      </c>
      <c r="H341" s="7" t="s">
        <v>90</v>
      </c>
      <c r="I341" s="7" t="s">
        <v>1789</v>
      </c>
      <c r="J341" s="6" t="s">
        <v>3</v>
      </c>
      <c r="K341" s="6" t="s">
        <v>10</v>
      </c>
      <c r="L341" s="4" t="s">
        <v>22</v>
      </c>
      <c r="M341" s="4" t="s">
        <v>3320</v>
      </c>
      <c r="N341" s="4" t="s">
        <v>2584</v>
      </c>
      <c r="O341" s="89"/>
      <c r="P341" s="25">
        <v>46020</v>
      </c>
      <c r="Q341" s="7" t="s">
        <v>1106</v>
      </c>
      <c r="R341" s="4" t="s">
        <v>3264</v>
      </c>
      <c r="S341" s="6" t="s">
        <v>3478</v>
      </c>
      <c r="T341" s="4" t="s">
        <v>81</v>
      </c>
      <c r="U341" s="4"/>
      <c r="V341" s="4">
        <v>99</v>
      </c>
      <c r="W341" s="4"/>
      <c r="X341" s="4" t="s">
        <v>3290</v>
      </c>
      <c r="Y341" s="95">
        <v>700957704</v>
      </c>
      <c r="Z341" s="4" t="s">
        <v>3451</v>
      </c>
      <c r="AA341" s="4" t="s">
        <v>3016</v>
      </c>
      <c r="AB341" s="4" t="s">
        <v>4289</v>
      </c>
    </row>
    <row r="342" spans="1:28" ht="14.5" customHeight="1">
      <c r="A342" s="4">
        <v>341</v>
      </c>
      <c r="B342" s="5">
        <v>11023611</v>
      </c>
      <c r="C342" s="5">
        <v>204868858</v>
      </c>
      <c r="D342" s="115" t="s">
        <v>2296</v>
      </c>
      <c r="E342" s="4" t="s">
        <v>2297</v>
      </c>
      <c r="F342" s="7" t="s">
        <v>82</v>
      </c>
      <c r="G342" s="7" t="s">
        <v>90</v>
      </c>
      <c r="H342" s="7" t="s">
        <v>87</v>
      </c>
      <c r="I342" s="6" t="s">
        <v>1790</v>
      </c>
      <c r="J342" s="7" t="s">
        <v>3</v>
      </c>
      <c r="K342" s="4" t="s">
        <v>10</v>
      </c>
      <c r="L342" s="4" t="s">
        <v>27</v>
      </c>
      <c r="M342" s="4" t="s">
        <v>4312</v>
      </c>
      <c r="N342" s="4" t="s">
        <v>2584</v>
      </c>
      <c r="O342" s="89"/>
      <c r="P342" s="25">
        <v>45691</v>
      </c>
      <c r="Q342" s="7" t="s">
        <v>1106</v>
      </c>
      <c r="R342" s="90" t="s">
        <v>3253</v>
      </c>
      <c r="S342" s="6" t="s">
        <v>1795</v>
      </c>
      <c r="T342" s="4" t="s">
        <v>92</v>
      </c>
      <c r="U342" s="4" t="s">
        <v>107</v>
      </c>
      <c r="V342" s="4">
        <v>99</v>
      </c>
      <c r="W342" s="85">
        <v>45747</v>
      </c>
      <c r="X342" s="4" t="s">
        <v>3690</v>
      </c>
      <c r="Y342" s="4" t="s">
        <v>2362</v>
      </c>
      <c r="Z342" s="4" t="s">
        <v>2384</v>
      </c>
      <c r="AA342" s="4" t="s">
        <v>85</v>
      </c>
      <c r="AB342" s="4" t="s">
        <v>4289</v>
      </c>
    </row>
    <row r="343" spans="1:28">
      <c r="A343" s="4">
        <v>342</v>
      </c>
      <c r="B343" s="5">
        <v>14720368</v>
      </c>
      <c r="C343" s="5">
        <v>203521428</v>
      </c>
      <c r="D343" s="115" t="s">
        <v>208</v>
      </c>
      <c r="E343" s="4" t="s">
        <v>209</v>
      </c>
      <c r="F343" s="7" t="s">
        <v>74</v>
      </c>
      <c r="G343" s="7" t="s">
        <v>75</v>
      </c>
      <c r="H343" s="7" t="s">
        <v>76</v>
      </c>
      <c r="I343" s="6" t="s">
        <v>1788</v>
      </c>
      <c r="J343" s="7" t="s">
        <v>3</v>
      </c>
      <c r="K343" s="4" t="s">
        <v>10</v>
      </c>
      <c r="L343" s="4" t="s">
        <v>24</v>
      </c>
      <c r="M343" s="4" t="s">
        <v>634</v>
      </c>
      <c r="N343" s="4" t="s">
        <v>2583</v>
      </c>
      <c r="O343" s="89"/>
      <c r="P343" s="25">
        <v>45463</v>
      </c>
      <c r="Q343" s="7" t="s">
        <v>161</v>
      </c>
      <c r="R343" s="90" t="s">
        <v>3260</v>
      </c>
      <c r="S343" s="6" t="s">
        <v>1795</v>
      </c>
      <c r="T343" s="4" t="s">
        <v>81</v>
      </c>
      <c r="U343" s="4" t="s">
        <v>349</v>
      </c>
      <c r="V343" s="4">
        <v>99</v>
      </c>
      <c r="W343" s="85">
        <v>45828</v>
      </c>
      <c r="X343" s="4" t="s">
        <v>3492</v>
      </c>
      <c r="Y343" s="4">
        <v>528464623</v>
      </c>
      <c r="Z343" s="4" t="s">
        <v>1928</v>
      </c>
      <c r="AA343" s="4" t="s">
        <v>85</v>
      </c>
      <c r="AB343" s="4" t="s">
        <v>4289</v>
      </c>
    </row>
    <row r="344" spans="1:28">
      <c r="A344" s="4">
        <v>343</v>
      </c>
      <c r="B344" s="5">
        <v>11820845</v>
      </c>
      <c r="C344" s="5">
        <v>204246156</v>
      </c>
      <c r="D344" s="115" t="s">
        <v>1731</v>
      </c>
      <c r="E344" s="4" t="s">
        <v>1637</v>
      </c>
      <c r="F344" s="7" t="s">
        <v>74</v>
      </c>
      <c r="G344" s="7" t="s">
        <v>94</v>
      </c>
      <c r="H344" s="7" t="s">
        <v>89</v>
      </c>
      <c r="I344" s="6" t="s">
        <v>1790</v>
      </c>
      <c r="J344" s="7" t="s">
        <v>3</v>
      </c>
      <c r="K344" s="4" t="s">
        <v>10</v>
      </c>
      <c r="L344" s="4" t="s">
        <v>27</v>
      </c>
      <c r="M344" s="4" t="s">
        <v>4312</v>
      </c>
      <c r="N344" s="4" t="s">
        <v>2584</v>
      </c>
      <c r="O344" s="89"/>
      <c r="P344" s="25">
        <v>45579</v>
      </c>
      <c r="Q344" s="7" t="s">
        <v>1106</v>
      </c>
      <c r="R344" s="90" t="s">
        <v>3255</v>
      </c>
      <c r="S344" s="6" t="s">
        <v>1795</v>
      </c>
      <c r="T344" s="4" t="s">
        <v>81</v>
      </c>
      <c r="U344" s="4" t="s">
        <v>103</v>
      </c>
      <c r="V344" s="4">
        <v>99</v>
      </c>
      <c r="W344" s="85">
        <v>46309</v>
      </c>
      <c r="X344" s="4" t="s">
        <v>3690</v>
      </c>
      <c r="Y344" s="4">
        <v>562383246</v>
      </c>
      <c r="Z344" s="4" t="s">
        <v>1661</v>
      </c>
      <c r="AA344" s="4" t="s">
        <v>85</v>
      </c>
      <c r="AB344" s="4" t="s">
        <v>4289</v>
      </c>
    </row>
    <row r="345" spans="1:28">
      <c r="A345" s="4">
        <v>344</v>
      </c>
      <c r="B345" s="5">
        <v>11283879</v>
      </c>
      <c r="C345" s="5">
        <v>103060279</v>
      </c>
      <c r="D345" s="115" t="s">
        <v>158</v>
      </c>
      <c r="E345" s="4" t="s">
        <v>159</v>
      </c>
      <c r="F345" s="7" t="s">
        <v>74</v>
      </c>
      <c r="G345" s="7" t="s">
        <v>94</v>
      </c>
      <c r="H345" s="7" t="s">
        <v>89</v>
      </c>
      <c r="I345" s="6" t="s">
        <v>119</v>
      </c>
      <c r="J345" s="7" t="s">
        <v>3</v>
      </c>
      <c r="K345" s="4" t="s">
        <v>10</v>
      </c>
      <c r="L345" s="4" t="s">
        <v>21</v>
      </c>
      <c r="M345" s="4" t="s">
        <v>634</v>
      </c>
      <c r="N345" s="4" t="s">
        <v>2583</v>
      </c>
      <c r="O345" s="89"/>
      <c r="P345" s="25">
        <v>43080</v>
      </c>
      <c r="Q345" s="7" t="s">
        <v>161</v>
      </c>
      <c r="R345" s="90" t="s">
        <v>3253</v>
      </c>
      <c r="S345" s="6" t="s">
        <v>1795</v>
      </c>
      <c r="T345" s="4" t="s">
        <v>81</v>
      </c>
      <c r="U345" s="4" t="s">
        <v>112</v>
      </c>
      <c r="V345" s="4">
        <v>1</v>
      </c>
      <c r="W345" s="85"/>
      <c r="X345" s="4" t="s">
        <v>3688</v>
      </c>
      <c r="Y345" s="4">
        <v>0</v>
      </c>
      <c r="Z345" s="4" t="e">
        <v>#N/A</v>
      </c>
      <c r="AA345" s="4" t="s">
        <v>2269</v>
      </c>
      <c r="AB345" s="4" t="s">
        <v>4289</v>
      </c>
    </row>
    <row r="346" spans="1:28">
      <c r="A346" s="4">
        <v>345</v>
      </c>
      <c r="B346" s="5">
        <v>13086333</v>
      </c>
      <c r="C346" s="5">
        <v>204880567</v>
      </c>
      <c r="D346" s="115" t="s">
        <v>2544</v>
      </c>
      <c r="E346" s="4" t="s">
        <v>2545</v>
      </c>
      <c r="F346" s="7" t="s">
        <v>74</v>
      </c>
      <c r="G346" s="7" t="s">
        <v>89</v>
      </c>
      <c r="H346" s="7" t="s">
        <v>90</v>
      </c>
      <c r="I346" s="7" t="s">
        <v>1789</v>
      </c>
      <c r="J346" s="7" t="s">
        <v>3</v>
      </c>
      <c r="K346" s="4" t="s">
        <v>10</v>
      </c>
      <c r="L346" s="4" t="s">
        <v>22</v>
      </c>
      <c r="M346" s="4" t="s">
        <v>4312</v>
      </c>
      <c r="N346" s="4" t="s">
        <v>2584</v>
      </c>
      <c r="O346" s="89"/>
      <c r="P346" s="25">
        <v>45826</v>
      </c>
      <c r="Q346" s="7" t="s">
        <v>1106</v>
      </c>
      <c r="R346" s="90" t="s">
        <v>3256</v>
      </c>
      <c r="S346" s="6" t="s">
        <v>1795</v>
      </c>
      <c r="T346" s="4" t="s">
        <v>81</v>
      </c>
      <c r="U346" s="4" t="s">
        <v>112</v>
      </c>
      <c r="V346" s="4">
        <v>99</v>
      </c>
      <c r="W346" s="85">
        <v>45882</v>
      </c>
      <c r="X346" s="4" t="s">
        <v>1216</v>
      </c>
      <c r="Y346" s="4"/>
      <c r="Z346" s="4"/>
      <c r="AA346" s="4" t="s">
        <v>1203</v>
      </c>
      <c r="AB346" s="4" t="s">
        <v>4290</v>
      </c>
    </row>
    <row r="347" spans="1:28">
      <c r="A347" s="4">
        <v>346</v>
      </c>
      <c r="B347" s="5">
        <v>15340823</v>
      </c>
      <c r="C347" s="5">
        <v>203736250</v>
      </c>
      <c r="D347" s="115" t="s">
        <v>335</v>
      </c>
      <c r="E347" s="4" t="s">
        <v>336</v>
      </c>
      <c r="F347" s="7" t="s">
        <v>82</v>
      </c>
      <c r="G347" s="7" t="s">
        <v>88</v>
      </c>
      <c r="H347" s="7" t="s">
        <v>94</v>
      </c>
      <c r="I347" s="6" t="s">
        <v>1790</v>
      </c>
      <c r="J347" s="7" t="s">
        <v>3</v>
      </c>
      <c r="K347" s="4" t="s">
        <v>10</v>
      </c>
      <c r="L347" s="4" t="s">
        <v>22</v>
      </c>
      <c r="M347" s="4" t="s">
        <v>4312</v>
      </c>
      <c r="N347" s="4" t="s">
        <v>2584</v>
      </c>
      <c r="O347" s="89"/>
      <c r="P347" s="25">
        <v>45502</v>
      </c>
      <c r="Q347" s="7" t="s">
        <v>1106</v>
      </c>
      <c r="R347" s="90" t="s">
        <v>3254</v>
      </c>
      <c r="S347" s="6" t="s">
        <v>1795</v>
      </c>
      <c r="T347" s="4" t="s">
        <v>81</v>
      </c>
      <c r="U347" s="4" t="s">
        <v>112</v>
      </c>
      <c r="V347" s="4">
        <v>99</v>
      </c>
      <c r="W347" s="85">
        <v>45558</v>
      </c>
      <c r="X347" s="4" t="s">
        <v>1216</v>
      </c>
      <c r="Y347" s="4">
        <v>545116173</v>
      </c>
      <c r="Z347" s="4" t="s">
        <v>1929</v>
      </c>
      <c r="AA347" s="4" t="s">
        <v>95</v>
      </c>
      <c r="AB347" s="4" t="s">
        <v>4289</v>
      </c>
    </row>
    <row r="348" spans="1:28">
      <c r="A348" s="4">
        <v>347</v>
      </c>
      <c r="B348" s="5">
        <v>15204042</v>
      </c>
      <c r="C348" s="5">
        <v>205495355</v>
      </c>
      <c r="D348" s="115" t="s">
        <v>2555</v>
      </c>
      <c r="E348" s="4" t="s">
        <v>2556</v>
      </c>
      <c r="F348" s="7" t="s">
        <v>82</v>
      </c>
      <c r="G348" s="7" t="s">
        <v>94</v>
      </c>
      <c r="H348" s="7" t="s">
        <v>89</v>
      </c>
      <c r="I348" s="7" t="s">
        <v>1789</v>
      </c>
      <c r="J348" s="7" t="s">
        <v>3</v>
      </c>
      <c r="K348" s="4" t="s">
        <v>10</v>
      </c>
      <c r="L348" s="4" t="s">
        <v>23</v>
      </c>
      <c r="M348" s="4" t="s">
        <v>634</v>
      </c>
      <c r="N348" s="4" t="s">
        <v>2583</v>
      </c>
      <c r="O348" s="89"/>
      <c r="P348" s="25">
        <v>45831</v>
      </c>
      <c r="Q348" s="7" t="s">
        <v>161</v>
      </c>
      <c r="R348" s="90" t="s">
        <v>3258</v>
      </c>
      <c r="S348" s="6" t="s">
        <v>1795</v>
      </c>
      <c r="T348" s="4" t="s">
        <v>81</v>
      </c>
      <c r="U348" s="4" t="s">
        <v>107</v>
      </c>
      <c r="V348" s="4">
        <v>99</v>
      </c>
      <c r="W348" s="85">
        <v>45887</v>
      </c>
      <c r="X348" s="4"/>
      <c r="Y348" s="4"/>
      <c r="Z348" s="4"/>
      <c r="AA348" s="4" t="s">
        <v>1196</v>
      </c>
      <c r="AB348" s="4" t="s">
        <v>4289</v>
      </c>
    </row>
    <row r="349" spans="1:28">
      <c r="A349" s="4">
        <v>348</v>
      </c>
      <c r="B349" s="95">
        <v>14914049</v>
      </c>
      <c r="C349" s="5">
        <v>206873870</v>
      </c>
      <c r="D349" s="115" t="s">
        <v>3412</v>
      </c>
      <c r="E349" s="4" t="s">
        <v>3364</v>
      </c>
      <c r="F349" s="7" t="s">
        <v>74</v>
      </c>
      <c r="G349" s="7" t="s">
        <v>89</v>
      </c>
      <c r="H349" s="7" t="s">
        <v>90</v>
      </c>
      <c r="I349" s="7" t="s">
        <v>1789</v>
      </c>
      <c r="J349" s="6" t="s">
        <v>3</v>
      </c>
      <c r="K349" s="6" t="s">
        <v>10</v>
      </c>
      <c r="L349" s="4" t="s">
        <v>22</v>
      </c>
      <c r="M349" s="4" t="s">
        <v>3320</v>
      </c>
      <c r="N349" s="4" t="s">
        <v>2584</v>
      </c>
      <c r="O349" s="89"/>
      <c r="P349" s="25">
        <v>46020</v>
      </c>
      <c r="Q349" s="7" t="s">
        <v>1106</v>
      </c>
      <c r="R349" s="4" t="s">
        <v>3261</v>
      </c>
      <c r="S349" s="6" t="s">
        <v>3478</v>
      </c>
      <c r="T349" s="4" t="s">
        <v>81</v>
      </c>
      <c r="U349" s="4"/>
      <c r="V349" s="4">
        <v>99</v>
      </c>
      <c r="W349" s="4"/>
      <c r="X349" s="4" t="s">
        <v>3290</v>
      </c>
      <c r="Y349" s="95">
        <v>501046223</v>
      </c>
      <c r="Z349" s="4" t="s">
        <v>3441</v>
      </c>
      <c r="AA349" s="4" t="s">
        <v>3016</v>
      </c>
      <c r="AB349" s="4" t="s">
        <v>4290</v>
      </c>
    </row>
    <row r="350" spans="1:28">
      <c r="A350" s="4">
        <v>349</v>
      </c>
      <c r="B350" s="5">
        <v>13018963</v>
      </c>
      <c r="C350" s="5">
        <v>203741310</v>
      </c>
      <c r="D350" s="115" t="s">
        <v>313</v>
      </c>
      <c r="E350" s="4" t="s">
        <v>314</v>
      </c>
      <c r="F350" s="7" t="s">
        <v>74</v>
      </c>
      <c r="G350" s="7" t="s">
        <v>89</v>
      </c>
      <c r="H350" s="7" t="s">
        <v>90</v>
      </c>
      <c r="I350" s="6" t="s">
        <v>1788</v>
      </c>
      <c r="J350" s="7" t="s">
        <v>3</v>
      </c>
      <c r="K350" s="4" t="s">
        <v>10</v>
      </c>
      <c r="L350" s="4" t="s">
        <v>24</v>
      </c>
      <c r="M350" s="4" t="s">
        <v>4312</v>
      </c>
      <c r="N350" s="4" t="s">
        <v>2584</v>
      </c>
      <c r="O350" s="89"/>
      <c r="P350" s="25">
        <v>45502</v>
      </c>
      <c r="Q350" s="7" t="s">
        <v>1106</v>
      </c>
      <c r="R350" s="90" t="s">
        <v>3255</v>
      </c>
      <c r="S350" s="6" t="s">
        <v>1795</v>
      </c>
      <c r="T350" s="4" t="s">
        <v>92</v>
      </c>
      <c r="U350" s="4" t="s">
        <v>132</v>
      </c>
      <c r="V350" s="4">
        <v>99</v>
      </c>
      <c r="W350" s="85">
        <v>45867</v>
      </c>
      <c r="X350" s="4" t="s">
        <v>3690</v>
      </c>
      <c r="Y350" s="4">
        <v>553419779</v>
      </c>
      <c r="Z350" s="4" t="s">
        <v>1930</v>
      </c>
      <c r="AA350" s="4" t="s">
        <v>85</v>
      </c>
      <c r="AB350" s="4" t="s">
        <v>4289</v>
      </c>
    </row>
    <row r="351" spans="1:28">
      <c r="A351" s="4">
        <v>350</v>
      </c>
      <c r="B351" s="5">
        <v>13679179</v>
      </c>
      <c r="C351" s="5">
        <v>203741317</v>
      </c>
      <c r="D351" s="115" t="s">
        <v>315</v>
      </c>
      <c r="E351" s="4" t="s">
        <v>316</v>
      </c>
      <c r="F351" s="7" t="s">
        <v>82</v>
      </c>
      <c r="G351" s="7" t="s">
        <v>87</v>
      </c>
      <c r="H351" s="7" t="s">
        <v>75</v>
      </c>
      <c r="I351" s="6" t="s">
        <v>1788</v>
      </c>
      <c r="J351" s="7" t="s">
        <v>3</v>
      </c>
      <c r="K351" s="4" t="s">
        <v>10</v>
      </c>
      <c r="L351" s="4" t="s">
        <v>24</v>
      </c>
      <c r="M351" s="4" t="s">
        <v>4312</v>
      </c>
      <c r="N351" s="4" t="s">
        <v>2584</v>
      </c>
      <c r="O351" s="89"/>
      <c r="P351" s="25">
        <v>45502</v>
      </c>
      <c r="Q351" s="7" t="s">
        <v>1106</v>
      </c>
      <c r="R351" s="90" t="s">
        <v>3253</v>
      </c>
      <c r="S351" s="6" t="s">
        <v>1795</v>
      </c>
      <c r="T351" s="4" t="s">
        <v>81</v>
      </c>
      <c r="U351" s="4" t="s">
        <v>112</v>
      </c>
      <c r="V351" s="4">
        <v>99</v>
      </c>
      <c r="W351" s="85">
        <v>45867</v>
      </c>
      <c r="X351" s="4" t="s">
        <v>3688</v>
      </c>
      <c r="Y351" s="4">
        <v>558552908</v>
      </c>
      <c r="Z351" s="4" t="s">
        <v>1931</v>
      </c>
      <c r="AA351" s="4" t="s">
        <v>85</v>
      </c>
      <c r="AB351" s="4" t="s">
        <v>4289</v>
      </c>
    </row>
    <row r="352" spans="1:28">
      <c r="A352" s="4">
        <v>351</v>
      </c>
      <c r="B352" s="5">
        <v>13087185</v>
      </c>
      <c r="C352" s="5">
        <v>206065199</v>
      </c>
      <c r="D352" s="115" t="s">
        <v>2887</v>
      </c>
      <c r="E352" s="4" t="s">
        <v>2906</v>
      </c>
      <c r="F352" s="7" t="s">
        <v>74</v>
      </c>
      <c r="G352" s="7" t="s">
        <v>75</v>
      </c>
      <c r="H352" s="7" t="s">
        <v>76</v>
      </c>
      <c r="I352" s="6" t="s">
        <v>1788</v>
      </c>
      <c r="J352" s="7" t="s">
        <v>3</v>
      </c>
      <c r="K352" s="4" t="s">
        <v>10</v>
      </c>
      <c r="L352" s="4" t="s">
        <v>24</v>
      </c>
      <c r="M352" s="4" t="s">
        <v>634</v>
      </c>
      <c r="N352" s="4" t="s">
        <v>2584</v>
      </c>
      <c r="O352" s="89"/>
      <c r="P352" s="25">
        <v>45922</v>
      </c>
      <c r="Q352" s="7" t="s">
        <v>1434</v>
      </c>
      <c r="R352" s="4" t="s">
        <v>3255</v>
      </c>
      <c r="S352" s="6" t="s">
        <v>1795</v>
      </c>
      <c r="T352" s="4" t="s">
        <v>81</v>
      </c>
      <c r="U352" s="4" t="s">
        <v>349</v>
      </c>
      <c r="V352" s="4">
        <v>99</v>
      </c>
      <c r="W352" s="85">
        <v>45983</v>
      </c>
      <c r="X352" s="4" t="s">
        <v>3690</v>
      </c>
      <c r="Y352" s="4"/>
      <c r="Z352" s="4"/>
      <c r="AA352" s="4" t="s">
        <v>1196</v>
      </c>
      <c r="AB352" s="4" t="s">
        <v>4289</v>
      </c>
    </row>
    <row r="353" spans="1:28">
      <c r="A353" s="4">
        <v>352</v>
      </c>
      <c r="B353" s="5">
        <v>11684370</v>
      </c>
      <c r="C353" s="5">
        <v>203736253</v>
      </c>
      <c r="D353" s="115" t="s">
        <v>333</v>
      </c>
      <c r="E353" s="4" t="s">
        <v>334</v>
      </c>
      <c r="F353" s="7" t="s">
        <v>82</v>
      </c>
      <c r="G353" s="7" t="s">
        <v>88</v>
      </c>
      <c r="H353" s="7" t="s">
        <v>94</v>
      </c>
      <c r="I353" s="6" t="s">
        <v>1790</v>
      </c>
      <c r="J353" s="7" t="s">
        <v>3</v>
      </c>
      <c r="K353" s="4" t="s">
        <v>10</v>
      </c>
      <c r="L353" s="4" t="s">
        <v>22</v>
      </c>
      <c r="M353" s="4" t="s">
        <v>4312</v>
      </c>
      <c r="N353" s="4" t="s">
        <v>2584</v>
      </c>
      <c r="O353" s="89"/>
      <c r="P353" s="25">
        <v>45502</v>
      </c>
      <c r="Q353" s="7" t="s">
        <v>1106</v>
      </c>
      <c r="R353" s="90" t="s">
        <v>3253</v>
      </c>
      <c r="S353" s="6" t="s">
        <v>1795</v>
      </c>
      <c r="T353" s="4" t="s">
        <v>81</v>
      </c>
      <c r="U353" s="4" t="s">
        <v>107</v>
      </c>
      <c r="V353" s="4">
        <v>99</v>
      </c>
      <c r="W353" s="85">
        <v>45558</v>
      </c>
      <c r="X353" s="4" t="s">
        <v>1216</v>
      </c>
      <c r="Y353" s="4">
        <v>554519668</v>
      </c>
      <c r="Z353" s="4" t="s">
        <v>1932</v>
      </c>
      <c r="AA353" s="4" t="s">
        <v>95</v>
      </c>
      <c r="AB353" s="4" t="s">
        <v>4289</v>
      </c>
    </row>
    <row r="354" spans="1:28">
      <c r="A354" s="4">
        <v>353</v>
      </c>
      <c r="B354" s="5">
        <v>15308079</v>
      </c>
      <c r="C354" s="5">
        <v>203521133</v>
      </c>
      <c r="D354" s="115" t="s">
        <v>210</v>
      </c>
      <c r="E354" s="4" t="s">
        <v>211</v>
      </c>
      <c r="F354" s="7" t="s">
        <v>82</v>
      </c>
      <c r="G354" s="7" t="s">
        <v>76</v>
      </c>
      <c r="H354" s="7" t="s">
        <v>88</v>
      </c>
      <c r="I354" s="6" t="s">
        <v>1788</v>
      </c>
      <c r="J354" s="7" t="s">
        <v>7</v>
      </c>
      <c r="K354" s="4" t="s">
        <v>10</v>
      </c>
      <c r="L354" s="4" t="s">
        <v>24</v>
      </c>
      <c r="M354" s="4" t="s">
        <v>4315</v>
      </c>
      <c r="N354" s="4" t="s">
        <v>2584</v>
      </c>
      <c r="O354" s="89"/>
      <c r="P354" s="25">
        <v>45463</v>
      </c>
      <c r="Q354" s="7" t="s">
        <v>7</v>
      </c>
      <c r="R354" s="90" t="s">
        <v>3258</v>
      </c>
      <c r="S354" s="6" t="s">
        <v>1795</v>
      </c>
      <c r="T354" s="4" t="s">
        <v>81</v>
      </c>
      <c r="U354" s="4" t="s">
        <v>3263</v>
      </c>
      <c r="V354" s="4">
        <v>99</v>
      </c>
      <c r="W354" s="85">
        <v>45828</v>
      </c>
      <c r="X354" s="4" t="s">
        <v>3473</v>
      </c>
      <c r="Y354" s="4">
        <v>581367249</v>
      </c>
      <c r="Z354" s="4" t="s">
        <v>1933</v>
      </c>
      <c r="AA354" s="4" t="s">
        <v>85</v>
      </c>
      <c r="AB354" s="4" t="s">
        <v>4289</v>
      </c>
    </row>
    <row r="355" spans="1:28">
      <c r="A355" s="4">
        <v>354</v>
      </c>
      <c r="B355" s="5">
        <v>13247476</v>
      </c>
      <c r="C355" s="5">
        <v>204013733</v>
      </c>
      <c r="D355" s="115" t="s">
        <v>1411</v>
      </c>
      <c r="E355" s="4" t="s">
        <v>1412</v>
      </c>
      <c r="F355" s="7" t="s">
        <v>82</v>
      </c>
      <c r="G355" s="7" t="s">
        <v>94</v>
      </c>
      <c r="H355" s="7" t="s">
        <v>89</v>
      </c>
      <c r="I355" s="6" t="s">
        <v>1788</v>
      </c>
      <c r="J355" s="7" t="s">
        <v>7</v>
      </c>
      <c r="K355" s="4" t="s">
        <v>10</v>
      </c>
      <c r="L355" s="4" t="s">
        <v>24</v>
      </c>
      <c r="M355" s="4" t="s">
        <v>4315</v>
      </c>
      <c r="N355" s="4" t="s">
        <v>2584</v>
      </c>
      <c r="O355" s="89"/>
      <c r="P355" s="25">
        <v>45551</v>
      </c>
      <c r="Q355" s="7" t="s">
        <v>7</v>
      </c>
      <c r="R355" s="90" t="s">
        <v>3252</v>
      </c>
      <c r="S355" s="6" t="s">
        <v>1795</v>
      </c>
      <c r="T355" s="4" t="s">
        <v>81</v>
      </c>
      <c r="U355" s="4" t="s">
        <v>112</v>
      </c>
      <c r="V355" s="4">
        <v>99</v>
      </c>
      <c r="W355" s="85">
        <v>45916</v>
      </c>
      <c r="X355" s="4" t="s">
        <v>3690</v>
      </c>
      <c r="Y355" s="4">
        <v>525057898</v>
      </c>
      <c r="Z355" s="4" t="s">
        <v>2230</v>
      </c>
      <c r="AA355" s="4" t="s">
        <v>85</v>
      </c>
      <c r="AB355" s="4" t="s">
        <v>4289</v>
      </c>
    </row>
    <row r="356" spans="1:28">
      <c r="A356" s="4">
        <v>355</v>
      </c>
      <c r="B356" s="5">
        <v>12537899</v>
      </c>
      <c r="C356" s="5">
        <v>204967151</v>
      </c>
      <c r="D356" s="115" t="s">
        <v>2431</v>
      </c>
      <c r="E356" s="4" t="s">
        <v>2432</v>
      </c>
      <c r="F356" s="7" t="s">
        <v>82</v>
      </c>
      <c r="G356" s="7" t="s">
        <v>89</v>
      </c>
      <c r="H356" s="7" t="s">
        <v>90</v>
      </c>
      <c r="I356" s="6" t="s">
        <v>1790</v>
      </c>
      <c r="J356" s="7" t="s">
        <v>3</v>
      </c>
      <c r="K356" s="4" t="s">
        <v>10</v>
      </c>
      <c r="L356" s="4" t="s">
        <v>22</v>
      </c>
      <c r="M356" s="4" t="s">
        <v>4312</v>
      </c>
      <c r="N356" s="4" t="s">
        <v>2584</v>
      </c>
      <c r="O356" s="89"/>
      <c r="P356" s="25">
        <v>45826</v>
      </c>
      <c r="Q356" s="7" t="s">
        <v>1106</v>
      </c>
      <c r="R356" s="90" t="s">
        <v>3258</v>
      </c>
      <c r="S356" s="6" t="s">
        <v>1795</v>
      </c>
      <c r="T356" s="4" t="s">
        <v>81</v>
      </c>
      <c r="U356" s="4" t="s">
        <v>107</v>
      </c>
      <c r="V356" s="4">
        <v>99</v>
      </c>
      <c r="W356" s="85">
        <v>45882</v>
      </c>
      <c r="X356" s="4" t="s">
        <v>1216</v>
      </c>
      <c r="Y356" s="4"/>
      <c r="Z356" s="4"/>
      <c r="AA356" s="4" t="s">
        <v>85</v>
      </c>
      <c r="AB356" s="4" t="s">
        <v>4289</v>
      </c>
    </row>
    <row r="357" spans="1:28">
      <c r="A357" s="4">
        <v>356</v>
      </c>
      <c r="B357" s="5">
        <v>12107714</v>
      </c>
      <c r="C357" s="5">
        <v>203965496</v>
      </c>
      <c r="D357" s="115" t="s">
        <v>1267</v>
      </c>
      <c r="E357" s="4" t="s">
        <v>1268</v>
      </c>
      <c r="F357" s="7" t="s">
        <v>82</v>
      </c>
      <c r="G357" s="7" t="s">
        <v>90</v>
      </c>
      <c r="H357" s="7" t="s">
        <v>87</v>
      </c>
      <c r="I357" s="6" t="s">
        <v>1788</v>
      </c>
      <c r="J357" s="7" t="s">
        <v>3</v>
      </c>
      <c r="K357" s="4" t="s">
        <v>10</v>
      </c>
      <c r="L357" s="4" t="s">
        <v>24</v>
      </c>
      <c r="M357" s="4" t="s">
        <v>4312</v>
      </c>
      <c r="N357" s="4" t="s">
        <v>2584</v>
      </c>
      <c r="O357" s="89"/>
      <c r="P357" s="25">
        <v>45544</v>
      </c>
      <c r="Q357" s="7" t="s">
        <v>1106</v>
      </c>
      <c r="R357" s="90" t="s">
        <v>3255</v>
      </c>
      <c r="S357" s="6" t="s">
        <v>1795</v>
      </c>
      <c r="T357" s="4" t="s">
        <v>92</v>
      </c>
      <c r="U357" s="4" t="s">
        <v>3259</v>
      </c>
      <c r="V357" s="4">
        <v>99</v>
      </c>
      <c r="W357" s="85">
        <v>45909</v>
      </c>
      <c r="X357" s="4" t="s">
        <v>3694</v>
      </c>
      <c r="Y357" s="4">
        <v>526411024</v>
      </c>
      <c r="Z357" s="4" t="s">
        <v>1934</v>
      </c>
      <c r="AA357" s="4" t="s">
        <v>1196</v>
      </c>
      <c r="AB357" s="4" t="s">
        <v>4289</v>
      </c>
    </row>
    <row r="358" spans="1:28">
      <c r="A358" s="4">
        <v>357</v>
      </c>
      <c r="B358" s="5">
        <v>13477180</v>
      </c>
      <c r="C358" s="5">
        <v>203965492</v>
      </c>
      <c r="D358" s="115" t="s">
        <v>1263</v>
      </c>
      <c r="E358" s="4" t="s">
        <v>1264</v>
      </c>
      <c r="F358" s="7" t="s">
        <v>82</v>
      </c>
      <c r="G358" s="7" t="s">
        <v>90</v>
      </c>
      <c r="H358" s="7" t="s">
        <v>87</v>
      </c>
      <c r="I358" s="6" t="s">
        <v>1788</v>
      </c>
      <c r="J358" s="7" t="s">
        <v>3</v>
      </c>
      <c r="K358" s="4" t="s">
        <v>10</v>
      </c>
      <c r="L358" s="4" t="s">
        <v>24</v>
      </c>
      <c r="M358" s="4" t="s">
        <v>4312</v>
      </c>
      <c r="N358" s="4" t="s">
        <v>2584</v>
      </c>
      <c r="O358" s="89"/>
      <c r="P358" s="25">
        <v>45544</v>
      </c>
      <c r="Q358" s="7" t="s">
        <v>1106</v>
      </c>
      <c r="R358" s="90" t="s">
        <v>3264</v>
      </c>
      <c r="S358" s="6" t="s">
        <v>1795</v>
      </c>
      <c r="T358" s="4" t="s">
        <v>81</v>
      </c>
      <c r="U358" s="4" t="s">
        <v>112</v>
      </c>
      <c r="V358" s="4">
        <v>99</v>
      </c>
      <c r="W358" s="85">
        <v>45909</v>
      </c>
      <c r="X358" s="4" t="s">
        <v>3703</v>
      </c>
      <c r="Y358" s="4">
        <v>566250536</v>
      </c>
      <c r="Z358" s="4" t="s">
        <v>1935</v>
      </c>
      <c r="AA358" s="4" t="s">
        <v>85</v>
      </c>
      <c r="AB358" s="4" t="s">
        <v>4289</v>
      </c>
    </row>
    <row r="359" spans="1:28">
      <c r="A359" s="4">
        <v>358</v>
      </c>
      <c r="B359" s="5">
        <v>15167620</v>
      </c>
      <c r="C359" s="5">
        <v>205502951</v>
      </c>
      <c r="D359" s="115" t="s">
        <v>2557</v>
      </c>
      <c r="E359" s="4" t="s">
        <v>2558</v>
      </c>
      <c r="F359" s="7" t="s">
        <v>82</v>
      </c>
      <c r="G359" s="7" t="s">
        <v>75</v>
      </c>
      <c r="H359" s="7" t="s">
        <v>76</v>
      </c>
      <c r="I359" s="7" t="s">
        <v>1789</v>
      </c>
      <c r="J359" s="7" t="s">
        <v>3</v>
      </c>
      <c r="K359" s="4" t="s">
        <v>10</v>
      </c>
      <c r="L359" s="4" t="s">
        <v>23</v>
      </c>
      <c r="M359" s="4" t="s">
        <v>4312</v>
      </c>
      <c r="N359" s="4" t="s">
        <v>2584</v>
      </c>
      <c r="O359" s="89"/>
      <c r="P359" s="25">
        <v>45831</v>
      </c>
      <c r="Q359" s="7" t="s">
        <v>1106</v>
      </c>
      <c r="R359" s="90" t="s">
        <v>3260</v>
      </c>
      <c r="S359" s="6" t="s">
        <v>1795</v>
      </c>
      <c r="T359" s="4" t="s">
        <v>92</v>
      </c>
      <c r="U359" s="4" t="s">
        <v>103</v>
      </c>
      <c r="V359" s="4">
        <v>99</v>
      </c>
      <c r="W359" s="85">
        <v>45887</v>
      </c>
      <c r="X359" s="4"/>
      <c r="Y359" s="4"/>
      <c r="Z359" s="4"/>
      <c r="AA359" s="4" t="s">
        <v>1204</v>
      </c>
      <c r="AB359" s="4" t="s">
        <v>4289</v>
      </c>
    </row>
    <row r="360" spans="1:28">
      <c r="A360" s="4">
        <v>359</v>
      </c>
      <c r="B360" s="5">
        <v>12478863</v>
      </c>
      <c r="C360" s="5">
        <v>203521134</v>
      </c>
      <c r="D360" s="115" t="s">
        <v>216</v>
      </c>
      <c r="E360" s="4" t="s">
        <v>217</v>
      </c>
      <c r="F360" s="7" t="s">
        <v>74</v>
      </c>
      <c r="G360" s="7" t="s">
        <v>94</v>
      </c>
      <c r="H360" s="7" t="s">
        <v>89</v>
      </c>
      <c r="I360" s="6" t="s">
        <v>1788</v>
      </c>
      <c r="J360" s="7" t="s">
        <v>3</v>
      </c>
      <c r="K360" s="4" t="s">
        <v>10</v>
      </c>
      <c r="L360" s="4" t="s">
        <v>24</v>
      </c>
      <c r="M360" s="4" t="s">
        <v>3320</v>
      </c>
      <c r="N360" s="4" t="s">
        <v>2584</v>
      </c>
      <c r="O360" s="89"/>
      <c r="P360" s="25">
        <v>45463</v>
      </c>
      <c r="Q360" s="7" t="s">
        <v>1106</v>
      </c>
      <c r="R360" s="90" t="s">
        <v>3254</v>
      </c>
      <c r="S360" s="6" t="s">
        <v>1795</v>
      </c>
      <c r="T360" s="4" t="s">
        <v>81</v>
      </c>
      <c r="U360" s="4" t="s">
        <v>112</v>
      </c>
      <c r="V360" s="4">
        <v>99</v>
      </c>
      <c r="W360" s="85">
        <v>45828</v>
      </c>
      <c r="X360" s="4" t="s">
        <v>3494</v>
      </c>
      <c r="Y360" s="4">
        <v>588298924</v>
      </c>
      <c r="Z360" s="4" t="s">
        <v>1936</v>
      </c>
      <c r="AA360" s="4" t="s">
        <v>85</v>
      </c>
      <c r="AB360" s="4" t="s">
        <v>4289</v>
      </c>
    </row>
    <row r="361" spans="1:28">
      <c r="A361" s="4">
        <v>360</v>
      </c>
      <c r="B361" s="5">
        <v>13804506</v>
      </c>
      <c r="C361" s="5">
        <v>206886729</v>
      </c>
      <c r="D361" s="115" t="s">
        <v>3595</v>
      </c>
      <c r="E361" s="4" t="s">
        <v>3530</v>
      </c>
      <c r="F361" s="7" t="s">
        <v>74</v>
      </c>
      <c r="G361" s="7" t="s">
        <v>89</v>
      </c>
      <c r="H361" s="7" t="s">
        <v>90</v>
      </c>
      <c r="I361" s="7" t="s">
        <v>1788</v>
      </c>
      <c r="J361" s="4" t="s">
        <v>3</v>
      </c>
      <c r="K361" s="4" t="s">
        <v>10</v>
      </c>
      <c r="L361" s="4" t="s">
        <v>23</v>
      </c>
      <c r="M361" s="4" t="s">
        <v>4312</v>
      </c>
      <c r="N361" s="4" t="s">
        <v>2584</v>
      </c>
      <c r="O361" s="89"/>
      <c r="P361" s="25">
        <v>46027</v>
      </c>
      <c r="Q361" s="4" t="s">
        <v>1106</v>
      </c>
      <c r="R361" s="90" t="s">
        <v>2586</v>
      </c>
      <c r="S361" s="4" t="s">
        <v>1795</v>
      </c>
      <c r="T361" s="4" t="s">
        <v>92</v>
      </c>
      <c r="U361" s="4"/>
      <c r="V361" s="4">
        <v>99</v>
      </c>
      <c r="W361" s="85">
        <v>46024</v>
      </c>
      <c r="X361" s="95" t="s">
        <v>3553</v>
      </c>
      <c r="Y361" s="4" t="s">
        <v>3557</v>
      </c>
      <c r="Z361" s="4" t="s">
        <v>3574</v>
      </c>
      <c r="AA361" s="4" t="s">
        <v>1204</v>
      </c>
      <c r="AB361" s="4" t="s">
        <v>4289</v>
      </c>
    </row>
    <row r="362" spans="1:28">
      <c r="A362" s="4">
        <v>361</v>
      </c>
      <c r="B362" s="5">
        <v>13116747</v>
      </c>
      <c r="C362" s="5">
        <v>206886638</v>
      </c>
      <c r="D362" s="115" t="s">
        <v>3596</v>
      </c>
      <c r="E362" s="4" t="s">
        <v>3531</v>
      </c>
      <c r="F362" s="7" t="s">
        <v>74</v>
      </c>
      <c r="G362" s="7" t="s">
        <v>90</v>
      </c>
      <c r="H362" s="7" t="s">
        <v>87</v>
      </c>
      <c r="I362" s="7" t="s">
        <v>1789</v>
      </c>
      <c r="J362" s="4" t="s">
        <v>3</v>
      </c>
      <c r="K362" s="4" t="s">
        <v>10</v>
      </c>
      <c r="L362" s="4" t="s">
        <v>23</v>
      </c>
      <c r="M362" s="4" t="s">
        <v>4312</v>
      </c>
      <c r="N362" s="4" t="s">
        <v>2584</v>
      </c>
      <c r="O362" s="89"/>
      <c r="P362" s="25">
        <v>46027</v>
      </c>
      <c r="Q362" s="4" t="s">
        <v>1106</v>
      </c>
      <c r="R362" s="90" t="s">
        <v>3256</v>
      </c>
      <c r="S362" s="4" t="s">
        <v>1795</v>
      </c>
      <c r="T362" s="4" t="s">
        <v>92</v>
      </c>
      <c r="U362" s="4"/>
      <c r="V362" s="4">
        <v>99</v>
      </c>
      <c r="W362" s="85">
        <v>46024</v>
      </c>
      <c r="X362" s="95" t="s">
        <v>3553</v>
      </c>
      <c r="Y362" s="4" t="s">
        <v>3558</v>
      </c>
      <c r="Z362" s="4" t="s">
        <v>3575</v>
      </c>
      <c r="AA362" s="4" t="s">
        <v>1204</v>
      </c>
      <c r="AB362" s="4" t="s">
        <v>4289</v>
      </c>
    </row>
    <row r="363" spans="1:28">
      <c r="A363" s="4">
        <v>362</v>
      </c>
      <c r="B363" s="5">
        <v>14718088</v>
      </c>
      <c r="C363" s="5">
        <v>206890228</v>
      </c>
      <c r="D363" s="115" t="s">
        <v>3597</v>
      </c>
      <c r="E363" s="4" t="s">
        <v>3532</v>
      </c>
      <c r="F363" s="7" t="s">
        <v>74</v>
      </c>
      <c r="G363" s="7" t="s">
        <v>90</v>
      </c>
      <c r="H363" s="7" t="s">
        <v>87</v>
      </c>
      <c r="I363" s="7" t="s">
        <v>1789</v>
      </c>
      <c r="J363" s="4" t="s">
        <v>3</v>
      </c>
      <c r="K363" s="4" t="s">
        <v>10</v>
      </c>
      <c r="L363" s="4" t="s">
        <v>23</v>
      </c>
      <c r="M363" s="4" t="s">
        <v>4312</v>
      </c>
      <c r="N363" s="4" t="s">
        <v>2584</v>
      </c>
      <c r="O363" s="89"/>
      <c r="P363" s="25">
        <v>46027</v>
      </c>
      <c r="Q363" s="4" t="s">
        <v>1106</v>
      </c>
      <c r="R363" s="4" t="s">
        <v>3260</v>
      </c>
      <c r="S363" s="4" t="s">
        <v>1795</v>
      </c>
      <c r="T363" s="4" t="s">
        <v>92</v>
      </c>
      <c r="U363" s="4"/>
      <c r="V363" s="4">
        <v>99</v>
      </c>
      <c r="W363" s="85">
        <v>46024</v>
      </c>
      <c r="X363" s="95" t="s">
        <v>3553</v>
      </c>
      <c r="Y363" s="4" t="s">
        <v>3559</v>
      </c>
      <c r="Z363" s="4" t="s">
        <v>3576</v>
      </c>
      <c r="AA363" s="4" t="s">
        <v>1204</v>
      </c>
      <c r="AB363" s="4">
        <v>0</v>
      </c>
    </row>
    <row r="364" spans="1:28">
      <c r="A364" s="4">
        <v>363</v>
      </c>
      <c r="B364" s="5">
        <v>13902637</v>
      </c>
      <c r="C364" s="5">
        <v>206015637</v>
      </c>
      <c r="D364" s="115" t="s">
        <v>2816</v>
      </c>
      <c r="E364" s="4" t="s">
        <v>2817</v>
      </c>
      <c r="F364" s="7" t="s">
        <v>74</v>
      </c>
      <c r="G364" s="7" t="s">
        <v>90</v>
      </c>
      <c r="H364" s="7" t="s">
        <v>87</v>
      </c>
      <c r="I364" s="6" t="s">
        <v>1788</v>
      </c>
      <c r="J364" s="7" t="s">
        <v>3</v>
      </c>
      <c r="K364" s="4" t="s">
        <v>10</v>
      </c>
      <c r="L364" s="4" t="s">
        <v>24</v>
      </c>
      <c r="M364" s="4" t="s">
        <v>634</v>
      </c>
      <c r="N364" s="4"/>
      <c r="O364" s="89"/>
      <c r="P364" s="25">
        <v>45915</v>
      </c>
      <c r="Q364" s="7" t="s">
        <v>161</v>
      </c>
      <c r="R364" s="90" t="s">
        <v>3258</v>
      </c>
      <c r="S364" s="6" t="s">
        <v>1795</v>
      </c>
      <c r="T364" s="4" t="s">
        <v>92</v>
      </c>
      <c r="U364" s="4" t="s">
        <v>103</v>
      </c>
      <c r="V364" s="4">
        <v>99</v>
      </c>
      <c r="W364" s="85"/>
      <c r="X364" s="4"/>
      <c r="Y364" s="4"/>
      <c r="Z364" s="4"/>
      <c r="AA364" s="4" t="s">
        <v>1204</v>
      </c>
      <c r="AB364" s="4" t="s">
        <v>4289</v>
      </c>
    </row>
    <row r="365" spans="1:28">
      <c r="A365" s="4">
        <v>364</v>
      </c>
      <c r="B365" s="5">
        <v>12488160</v>
      </c>
      <c r="C365" s="5">
        <v>206065197</v>
      </c>
      <c r="D365" s="115" t="s">
        <v>2885</v>
      </c>
      <c r="E365" s="4" t="s">
        <v>2904</v>
      </c>
      <c r="F365" s="7" t="s">
        <v>74</v>
      </c>
      <c r="G365" s="7" t="s">
        <v>75</v>
      </c>
      <c r="H365" s="7" t="s">
        <v>76</v>
      </c>
      <c r="I365" s="6" t="s">
        <v>1788</v>
      </c>
      <c r="J365" s="7" t="s">
        <v>3</v>
      </c>
      <c r="K365" s="4" t="s">
        <v>10</v>
      </c>
      <c r="L365" s="4" t="s">
        <v>24</v>
      </c>
      <c r="M365" s="4" t="s">
        <v>634</v>
      </c>
      <c r="N365" s="4" t="s">
        <v>2584</v>
      </c>
      <c r="O365" s="89"/>
      <c r="P365" s="25">
        <v>45922</v>
      </c>
      <c r="Q365" s="7" t="s">
        <v>1434</v>
      </c>
      <c r="R365" s="4" t="s">
        <v>3264</v>
      </c>
      <c r="S365" s="6" t="s">
        <v>1795</v>
      </c>
      <c r="T365" s="4" t="s">
        <v>81</v>
      </c>
      <c r="U365" s="4" t="s">
        <v>349</v>
      </c>
      <c r="V365" s="4">
        <v>99</v>
      </c>
      <c r="W365" s="85">
        <v>45983</v>
      </c>
      <c r="X365" s="4" t="s">
        <v>3698</v>
      </c>
      <c r="Y365" s="4"/>
      <c r="Z365" s="4"/>
      <c r="AA365" s="4" t="s">
        <v>85</v>
      </c>
      <c r="AB365" s="4" t="s">
        <v>4290</v>
      </c>
    </row>
    <row r="366" spans="1:28">
      <c r="A366" s="4">
        <v>365</v>
      </c>
      <c r="B366" s="95">
        <v>13003460</v>
      </c>
      <c r="C366" s="5">
        <v>206873556</v>
      </c>
      <c r="D366" s="115" t="s">
        <v>3408</v>
      </c>
      <c r="E366" s="4" t="s">
        <v>3360</v>
      </c>
      <c r="F366" s="7" t="s">
        <v>74</v>
      </c>
      <c r="G366" s="7" t="s">
        <v>90</v>
      </c>
      <c r="H366" s="7" t="s">
        <v>87</v>
      </c>
      <c r="I366" s="7" t="s">
        <v>1788</v>
      </c>
      <c r="J366" s="6" t="s">
        <v>3</v>
      </c>
      <c r="K366" s="6" t="s">
        <v>10</v>
      </c>
      <c r="L366" s="4" t="s">
        <v>24</v>
      </c>
      <c r="M366" s="4" t="s">
        <v>634</v>
      </c>
      <c r="N366" s="4" t="s">
        <v>2584</v>
      </c>
      <c r="O366" s="89"/>
      <c r="P366" s="25">
        <v>46020</v>
      </c>
      <c r="Q366" s="7" t="s">
        <v>1434</v>
      </c>
      <c r="R366" s="4" t="s">
        <v>3258</v>
      </c>
      <c r="S366" s="6" t="s">
        <v>3478</v>
      </c>
      <c r="T366" s="4" t="s">
        <v>81</v>
      </c>
      <c r="U366" s="4"/>
      <c r="V366" s="4">
        <v>99</v>
      </c>
      <c r="W366" s="4"/>
      <c r="X366" s="4" t="s">
        <v>1197</v>
      </c>
      <c r="Y366" s="95">
        <v>557726959</v>
      </c>
      <c r="Z366" s="4" t="s">
        <v>3437</v>
      </c>
      <c r="AA366" s="4" t="s">
        <v>2273</v>
      </c>
      <c r="AB366" s="4" t="s">
        <v>4289</v>
      </c>
    </row>
    <row r="367" spans="1:28">
      <c r="A367" s="4">
        <v>366</v>
      </c>
      <c r="B367" s="5">
        <v>14722361</v>
      </c>
      <c r="C367" s="5">
        <v>204246158</v>
      </c>
      <c r="D367" s="115" t="s">
        <v>1717</v>
      </c>
      <c r="E367" s="4" t="s">
        <v>1623</v>
      </c>
      <c r="F367" s="7" t="s">
        <v>82</v>
      </c>
      <c r="G367" s="7" t="s">
        <v>90</v>
      </c>
      <c r="H367" s="7" t="s">
        <v>87</v>
      </c>
      <c r="I367" s="6" t="s">
        <v>1790</v>
      </c>
      <c r="J367" s="7" t="s">
        <v>3</v>
      </c>
      <c r="K367" s="4" t="s">
        <v>10</v>
      </c>
      <c r="L367" s="4" t="s">
        <v>27</v>
      </c>
      <c r="M367" s="4" t="s">
        <v>634</v>
      </c>
      <c r="N367" s="4" t="s">
        <v>2584</v>
      </c>
      <c r="O367" s="89"/>
      <c r="P367" s="25">
        <v>45579</v>
      </c>
      <c r="Q367" s="7" t="s">
        <v>1434</v>
      </c>
      <c r="R367" s="90" t="s">
        <v>2586</v>
      </c>
      <c r="S367" s="6" t="s">
        <v>1795</v>
      </c>
      <c r="T367" s="4" t="s">
        <v>81</v>
      </c>
      <c r="U367" s="4" t="s">
        <v>107</v>
      </c>
      <c r="V367" s="4">
        <v>99</v>
      </c>
      <c r="W367" s="85">
        <v>46309</v>
      </c>
      <c r="X367" s="4" t="s">
        <v>3690</v>
      </c>
      <c r="Y367" s="4">
        <v>555157412</v>
      </c>
      <c r="Z367" s="4" t="s">
        <v>1648</v>
      </c>
      <c r="AA367" s="4" t="s">
        <v>85</v>
      </c>
      <c r="AB367" s="4" t="s">
        <v>4289</v>
      </c>
    </row>
    <row r="368" spans="1:28">
      <c r="A368" s="4">
        <v>367</v>
      </c>
      <c r="B368" s="5">
        <v>14120615</v>
      </c>
      <c r="C368" s="5">
        <v>205495359</v>
      </c>
      <c r="D368" s="115" t="s">
        <v>2559</v>
      </c>
      <c r="E368" s="4" t="s">
        <v>2560</v>
      </c>
      <c r="F368" s="7" t="s">
        <v>74</v>
      </c>
      <c r="G368" s="7" t="s">
        <v>75</v>
      </c>
      <c r="H368" s="7" t="s">
        <v>76</v>
      </c>
      <c r="I368" s="7" t="s">
        <v>1789</v>
      </c>
      <c r="J368" s="7" t="s">
        <v>3</v>
      </c>
      <c r="K368" s="4" t="s">
        <v>10</v>
      </c>
      <c r="L368" s="4" t="s">
        <v>23</v>
      </c>
      <c r="M368" s="4" t="s">
        <v>4312</v>
      </c>
      <c r="N368" s="4" t="s">
        <v>2584</v>
      </c>
      <c r="O368" s="89"/>
      <c r="P368" s="25">
        <v>45831</v>
      </c>
      <c r="Q368" s="7" t="s">
        <v>1106</v>
      </c>
      <c r="R368" s="90" t="s">
        <v>3252</v>
      </c>
      <c r="S368" s="6" t="s">
        <v>1795</v>
      </c>
      <c r="T368" s="4" t="s">
        <v>92</v>
      </c>
      <c r="U368" s="4" t="s">
        <v>349</v>
      </c>
      <c r="V368" s="4">
        <v>99</v>
      </c>
      <c r="W368" s="85">
        <v>45887</v>
      </c>
      <c r="X368" s="4"/>
      <c r="Y368" s="4"/>
      <c r="Z368" s="4"/>
      <c r="AA368" s="4" t="s">
        <v>1204</v>
      </c>
      <c r="AB368" s="4" t="s">
        <v>4289</v>
      </c>
    </row>
    <row r="369" spans="1:28">
      <c r="A369" s="4">
        <v>368</v>
      </c>
      <c r="B369" s="95">
        <v>11778372</v>
      </c>
      <c r="C369" s="4">
        <v>206873551</v>
      </c>
      <c r="D369" s="115" t="s">
        <v>3515</v>
      </c>
      <c r="E369" s="4" t="s">
        <v>3485</v>
      </c>
      <c r="F369" s="7" t="s">
        <v>82</v>
      </c>
      <c r="G369" s="7" t="s">
        <v>90</v>
      </c>
      <c r="H369" s="7" t="s">
        <v>87</v>
      </c>
      <c r="I369" s="7" t="s">
        <v>1789</v>
      </c>
      <c r="J369" s="6" t="s">
        <v>3</v>
      </c>
      <c r="K369" s="6" t="s">
        <v>10</v>
      </c>
      <c r="L369" s="4" t="s">
        <v>24</v>
      </c>
      <c r="M369" s="4" t="s">
        <v>3320</v>
      </c>
      <c r="N369" s="4" t="s">
        <v>2584</v>
      </c>
      <c r="O369" s="89"/>
      <c r="P369" s="25">
        <v>46020</v>
      </c>
      <c r="Q369" s="4" t="s">
        <v>1106</v>
      </c>
      <c r="R369" s="90" t="s">
        <v>3253</v>
      </c>
      <c r="S369" s="4" t="s">
        <v>3478</v>
      </c>
      <c r="T369" s="4" t="s">
        <v>81</v>
      </c>
      <c r="U369" s="4"/>
      <c r="V369" s="4">
        <v>99</v>
      </c>
      <c r="W369" s="4"/>
      <c r="X369" s="4" t="s">
        <v>3493</v>
      </c>
      <c r="Y369" s="4">
        <v>524044357</v>
      </c>
      <c r="Z369" s="4" t="s">
        <v>3501</v>
      </c>
      <c r="AA369" s="4" t="s">
        <v>2273</v>
      </c>
      <c r="AB369" s="4">
        <v>0</v>
      </c>
    </row>
    <row r="370" spans="1:28">
      <c r="A370" s="4">
        <v>369</v>
      </c>
      <c r="B370" s="5">
        <v>274650</v>
      </c>
      <c r="C370" s="5">
        <v>203468401</v>
      </c>
      <c r="D370" s="115" t="s">
        <v>186</v>
      </c>
      <c r="E370" s="4" t="s">
        <v>187</v>
      </c>
      <c r="F370" s="7" t="s">
        <v>74</v>
      </c>
      <c r="G370" s="7" t="s">
        <v>76</v>
      </c>
      <c r="H370" s="7" t="s">
        <v>88</v>
      </c>
      <c r="I370" s="6" t="s">
        <v>1788</v>
      </c>
      <c r="J370" s="7" t="s">
        <v>3</v>
      </c>
      <c r="K370" s="4" t="s">
        <v>10</v>
      </c>
      <c r="L370" s="4" t="s">
        <v>24</v>
      </c>
      <c r="M370" s="4" t="s">
        <v>4312</v>
      </c>
      <c r="N370" s="4" t="s">
        <v>2584</v>
      </c>
      <c r="O370" s="89"/>
      <c r="P370" s="25">
        <v>45456</v>
      </c>
      <c r="Q370" s="7" t="s">
        <v>1106</v>
      </c>
      <c r="R370" s="90" t="s">
        <v>3260</v>
      </c>
      <c r="S370" s="6" t="s">
        <v>1795</v>
      </c>
      <c r="T370" s="4" t="s">
        <v>81</v>
      </c>
      <c r="U370" s="4" t="s">
        <v>3263</v>
      </c>
      <c r="V370" s="4">
        <v>99</v>
      </c>
      <c r="W370" s="85">
        <v>45821</v>
      </c>
      <c r="X370" s="4" t="s">
        <v>3703</v>
      </c>
      <c r="Y370" s="4">
        <v>547843102</v>
      </c>
      <c r="Z370" s="4" t="s">
        <v>1937</v>
      </c>
      <c r="AA370" s="4" t="s">
        <v>85</v>
      </c>
      <c r="AB370" s="4" t="s">
        <v>4289</v>
      </c>
    </row>
    <row r="371" spans="1:28">
      <c r="A371" s="4">
        <v>370</v>
      </c>
      <c r="B371" s="95">
        <v>12856623</v>
      </c>
      <c r="C371" s="4">
        <v>206873639</v>
      </c>
      <c r="D371" s="115" t="s">
        <v>3517</v>
      </c>
      <c r="E371" s="4" t="s">
        <v>3487</v>
      </c>
      <c r="F371" s="7" t="s">
        <v>74</v>
      </c>
      <c r="G371" s="7" t="s">
        <v>90</v>
      </c>
      <c r="H371" s="7" t="s">
        <v>87</v>
      </c>
      <c r="I371" s="7" t="s">
        <v>1788</v>
      </c>
      <c r="J371" s="6" t="s">
        <v>3</v>
      </c>
      <c r="K371" s="6" t="s">
        <v>10</v>
      </c>
      <c r="L371" s="4" t="s">
        <v>24</v>
      </c>
      <c r="M371" s="4" t="s">
        <v>3320</v>
      </c>
      <c r="N371" s="4" t="s">
        <v>2584</v>
      </c>
      <c r="O371" s="89"/>
      <c r="P371" s="25">
        <v>46020</v>
      </c>
      <c r="Q371" s="4" t="s">
        <v>1106</v>
      </c>
      <c r="R371" s="4" t="s">
        <v>3260</v>
      </c>
      <c r="S371" s="4" t="s">
        <v>3478</v>
      </c>
      <c r="T371" s="4" t="s">
        <v>81</v>
      </c>
      <c r="U371" s="4"/>
      <c r="V371" s="4">
        <v>99</v>
      </c>
      <c r="W371" s="4"/>
      <c r="X371" s="4" t="s">
        <v>3474</v>
      </c>
      <c r="Y371" s="111">
        <v>544310670</v>
      </c>
      <c r="Z371" s="4" t="s">
        <v>3503</v>
      </c>
      <c r="AA371" s="111" t="s">
        <v>3167</v>
      </c>
      <c r="AB371" s="111">
        <v>0</v>
      </c>
    </row>
    <row r="372" spans="1:28">
      <c r="A372" s="4">
        <v>371</v>
      </c>
      <c r="B372" s="5">
        <v>14603175</v>
      </c>
      <c r="C372" s="5">
        <v>206504141</v>
      </c>
      <c r="D372" s="115" t="s">
        <v>3228</v>
      </c>
      <c r="E372" s="4" t="s">
        <v>3235</v>
      </c>
      <c r="F372" s="7" t="s">
        <v>74</v>
      </c>
      <c r="G372" s="7" t="s">
        <v>90</v>
      </c>
      <c r="H372" s="7" t="s">
        <v>87</v>
      </c>
      <c r="I372" s="6" t="s">
        <v>1790</v>
      </c>
      <c r="J372" s="7" t="s">
        <v>3</v>
      </c>
      <c r="K372" s="4" t="s">
        <v>10</v>
      </c>
      <c r="L372" s="4" t="s">
        <v>22</v>
      </c>
      <c r="M372" s="4" t="s">
        <v>3320</v>
      </c>
      <c r="N372" s="4" t="s">
        <v>2584</v>
      </c>
      <c r="O372" s="89"/>
      <c r="P372" s="25">
        <v>45971</v>
      </c>
      <c r="Q372" s="7" t="s">
        <v>1106</v>
      </c>
      <c r="R372" s="7" t="s">
        <v>3257</v>
      </c>
      <c r="S372" s="6" t="s">
        <v>1795</v>
      </c>
      <c r="T372" s="4" t="s">
        <v>81</v>
      </c>
      <c r="U372" s="4" t="s">
        <v>349</v>
      </c>
      <c r="V372" s="4">
        <v>99</v>
      </c>
      <c r="W372" s="85">
        <v>46245</v>
      </c>
      <c r="X372" s="4" t="s">
        <v>2758</v>
      </c>
      <c r="Y372" s="4">
        <v>567416600</v>
      </c>
      <c r="Z372" s="4" t="s">
        <v>3242</v>
      </c>
      <c r="AA372" s="4" t="s">
        <v>3016</v>
      </c>
      <c r="AB372" s="4" t="s">
        <v>4289</v>
      </c>
    </row>
    <row r="373" spans="1:28">
      <c r="A373" s="4">
        <v>372</v>
      </c>
      <c r="B373" s="5">
        <v>12367688</v>
      </c>
      <c r="C373" s="5">
        <v>203468395</v>
      </c>
      <c r="D373" s="115" t="s">
        <v>188</v>
      </c>
      <c r="E373" s="4" t="s">
        <v>189</v>
      </c>
      <c r="F373" s="7" t="s">
        <v>74</v>
      </c>
      <c r="G373" s="7" t="s">
        <v>94</v>
      </c>
      <c r="H373" s="7" t="s">
        <v>89</v>
      </c>
      <c r="I373" s="6" t="s">
        <v>1788</v>
      </c>
      <c r="J373" s="7" t="s">
        <v>3</v>
      </c>
      <c r="K373" s="4" t="s">
        <v>10</v>
      </c>
      <c r="L373" s="4" t="s">
        <v>24</v>
      </c>
      <c r="M373" s="4" t="s">
        <v>4312</v>
      </c>
      <c r="N373" s="4" t="s">
        <v>2584</v>
      </c>
      <c r="O373" s="89"/>
      <c r="P373" s="25">
        <v>45456</v>
      </c>
      <c r="Q373" s="7" t="s">
        <v>1106</v>
      </c>
      <c r="R373" s="90" t="s">
        <v>3262</v>
      </c>
      <c r="S373" s="6" t="s">
        <v>1795</v>
      </c>
      <c r="T373" s="4" t="s">
        <v>81</v>
      </c>
      <c r="U373" s="4" t="s">
        <v>103</v>
      </c>
      <c r="V373" s="4">
        <v>99</v>
      </c>
      <c r="W373" s="85">
        <v>45821</v>
      </c>
      <c r="X373" s="4" t="s">
        <v>3703</v>
      </c>
      <c r="Y373" s="4">
        <v>559234397</v>
      </c>
      <c r="Z373" s="4" t="s">
        <v>1938</v>
      </c>
      <c r="AA373" s="4" t="s">
        <v>85</v>
      </c>
      <c r="AB373" s="4" t="s">
        <v>4289</v>
      </c>
    </row>
    <row r="374" spans="1:28">
      <c r="A374" s="4">
        <v>373</v>
      </c>
      <c r="B374" s="5">
        <v>13288543</v>
      </c>
      <c r="C374" s="5">
        <v>204406416</v>
      </c>
      <c r="D374" s="115" t="s">
        <v>1769</v>
      </c>
      <c r="E374" s="4" t="s">
        <v>1770</v>
      </c>
      <c r="F374" s="7" t="s">
        <v>74</v>
      </c>
      <c r="G374" s="7" t="s">
        <v>94</v>
      </c>
      <c r="H374" s="7" t="s">
        <v>89</v>
      </c>
      <c r="I374" s="6" t="s">
        <v>1790</v>
      </c>
      <c r="J374" s="7" t="s">
        <v>3</v>
      </c>
      <c r="K374" s="4" t="s">
        <v>10</v>
      </c>
      <c r="L374" s="4" t="s">
        <v>27</v>
      </c>
      <c r="M374" s="4" t="s">
        <v>4312</v>
      </c>
      <c r="N374" s="4" t="s">
        <v>2583</v>
      </c>
      <c r="O374" s="89"/>
      <c r="P374" s="25">
        <v>45596</v>
      </c>
      <c r="Q374" s="7" t="s">
        <v>161</v>
      </c>
      <c r="R374" s="90" t="s">
        <v>3252</v>
      </c>
      <c r="S374" s="6" t="s">
        <v>1795</v>
      </c>
      <c r="T374" s="4" t="s">
        <v>81</v>
      </c>
      <c r="U374" s="4" t="s">
        <v>107</v>
      </c>
      <c r="V374" s="4">
        <v>99</v>
      </c>
      <c r="W374" s="85">
        <v>46326</v>
      </c>
      <c r="X374" s="4" t="s">
        <v>1200</v>
      </c>
      <c r="Y374" s="4">
        <v>502936092</v>
      </c>
      <c r="Z374" s="4" t="s">
        <v>1939</v>
      </c>
      <c r="AA374" s="4" t="s">
        <v>85</v>
      </c>
      <c r="AB374" s="4" t="s">
        <v>4289</v>
      </c>
    </row>
    <row r="375" spans="1:28">
      <c r="A375" s="4">
        <v>374</v>
      </c>
      <c r="B375" s="5">
        <v>13409304</v>
      </c>
      <c r="C375" s="5">
        <v>203741324</v>
      </c>
      <c r="D375" s="115" t="s">
        <v>2477</v>
      </c>
      <c r="E375" s="4" t="s">
        <v>2478</v>
      </c>
      <c r="F375" s="7" t="s">
        <v>74</v>
      </c>
      <c r="G375" s="7" t="s">
        <v>87</v>
      </c>
      <c r="H375" s="7" t="s">
        <v>75</v>
      </c>
      <c r="I375" s="6" t="s">
        <v>1788</v>
      </c>
      <c r="J375" s="7" t="s">
        <v>3</v>
      </c>
      <c r="K375" s="4" t="s">
        <v>10</v>
      </c>
      <c r="L375" s="4" t="s">
        <v>24</v>
      </c>
      <c r="M375" s="4" t="s">
        <v>4312</v>
      </c>
      <c r="N375" s="4" t="s">
        <v>2584</v>
      </c>
      <c r="O375" s="89"/>
      <c r="P375" s="25">
        <v>45502</v>
      </c>
      <c r="Q375" s="7" t="s">
        <v>1106</v>
      </c>
      <c r="R375" s="90" t="s">
        <v>3256</v>
      </c>
      <c r="S375" s="6" t="s">
        <v>1795</v>
      </c>
      <c r="T375" s="4" t="s">
        <v>81</v>
      </c>
      <c r="U375" s="4" t="s">
        <v>107</v>
      </c>
      <c r="V375" s="4">
        <v>99</v>
      </c>
      <c r="W375" s="85">
        <v>45867</v>
      </c>
      <c r="X375" s="4" t="s">
        <v>3690</v>
      </c>
      <c r="Y375" s="4">
        <v>508347054</v>
      </c>
      <c r="Z375" s="4" t="s">
        <v>2479</v>
      </c>
      <c r="AA375" s="4" t="s">
        <v>85</v>
      </c>
      <c r="AB375" s="4" t="s">
        <v>4289</v>
      </c>
    </row>
    <row r="376" spans="1:28">
      <c r="A376" s="4">
        <v>375</v>
      </c>
      <c r="B376" s="5">
        <v>13802751</v>
      </c>
      <c r="C376" s="5">
        <v>203816301</v>
      </c>
      <c r="D376" s="115" t="s">
        <v>729</v>
      </c>
      <c r="E376" s="4" t="s">
        <v>730</v>
      </c>
      <c r="F376" s="7" t="s">
        <v>74</v>
      </c>
      <c r="G376" s="7" t="s">
        <v>90</v>
      </c>
      <c r="H376" s="7" t="s">
        <v>87</v>
      </c>
      <c r="I376" s="6" t="s">
        <v>1790</v>
      </c>
      <c r="J376" s="7" t="s">
        <v>3</v>
      </c>
      <c r="K376" s="4" t="s">
        <v>10</v>
      </c>
      <c r="L376" s="4" t="s">
        <v>22</v>
      </c>
      <c r="M376" s="4" t="s">
        <v>634</v>
      </c>
      <c r="N376" s="4" t="s">
        <v>2584</v>
      </c>
      <c r="O376" s="89"/>
      <c r="P376" s="25">
        <v>45518</v>
      </c>
      <c r="Q376" s="7" t="s">
        <v>1106</v>
      </c>
      <c r="R376" s="90" t="s">
        <v>3258</v>
      </c>
      <c r="S376" s="6" t="s">
        <v>1795</v>
      </c>
      <c r="T376" s="4" t="s">
        <v>81</v>
      </c>
      <c r="U376" s="4" t="s">
        <v>103</v>
      </c>
      <c r="V376" s="4">
        <v>99</v>
      </c>
      <c r="W376" s="85">
        <v>45574</v>
      </c>
      <c r="X376" s="4" t="s">
        <v>1216</v>
      </c>
      <c r="Y376" s="4">
        <v>588675902</v>
      </c>
      <c r="Z376" s="4" t="s">
        <v>1940</v>
      </c>
      <c r="AA376" s="4" t="s">
        <v>95</v>
      </c>
      <c r="AB376" s="4" t="s">
        <v>4289</v>
      </c>
    </row>
    <row r="377" spans="1:28">
      <c r="A377" s="4">
        <v>376</v>
      </c>
      <c r="B377" s="5">
        <v>15395292</v>
      </c>
      <c r="C377" s="5">
        <v>203800383</v>
      </c>
      <c r="D377" s="115" t="s">
        <v>648</v>
      </c>
      <c r="E377" s="4" t="s">
        <v>649</v>
      </c>
      <c r="F377" s="7" t="s">
        <v>74</v>
      </c>
      <c r="G377" s="7" t="s">
        <v>90</v>
      </c>
      <c r="H377" s="7" t="s">
        <v>87</v>
      </c>
      <c r="I377" s="6" t="s">
        <v>1790</v>
      </c>
      <c r="J377" s="7" t="s">
        <v>3</v>
      </c>
      <c r="K377" s="4" t="s">
        <v>10</v>
      </c>
      <c r="L377" s="4" t="s">
        <v>22</v>
      </c>
      <c r="M377" s="4" t="s">
        <v>4312</v>
      </c>
      <c r="N377" s="4" t="s">
        <v>2583</v>
      </c>
      <c r="O377" s="89"/>
      <c r="P377" s="25">
        <v>45516</v>
      </c>
      <c r="Q377" s="7" t="s">
        <v>161</v>
      </c>
      <c r="R377" s="90" t="s">
        <v>3261</v>
      </c>
      <c r="S377" s="6" t="s">
        <v>1795</v>
      </c>
      <c r="T377" s="4" t="s">
        <v>81</v>
      </c>
      <c r="U377" s="4" t="s">
        <v>107</v>
      </c>
      <c r="V377" s="4">
        <v>99</v>
      </c>
      <c r="W377" s="85">
        <v>45572</v>
      </c>
      <c r="X377" s="4" t="s">
        <v>1216</v>
      </c>
      <c r="Y377" s="4">
        <v>559743105</v>
      </c>
      <c r="Z377" s="4" t="s">
        <v>1941</v>
      </c>
      <c r="AA377" s="4" t="s">
        <v>95</v>
      </c>
      <c r="AB377" s="4" t="s">
        <v>4289</v>
      </c>
    </row>
    <row r="378" spans="1:28">
      <c r="A378" s="4">
        <v>377</v>
      </c>
      <c r="B378" s="5">
        <v>14533338</v>
      </c>
      <c r="C378" s="5">
        <v>203521427</v>
      </c>
      <c r="D378" s="115" t="s">
        <v>202</v>
      </c>
      <c r="E378" s="4" t="s">
        <v>203</v>
      </c>
      <c r="F378" s="7" t="s">
        <v>74</v>
      </c>
      <c r="G378" s="7" t="s">
        <v>76</v>
      </c>
      <c r="H378" s="7" t="s">
        <v>88</v>
      </c>
      <c r="I378" s="6" t="s">
        <v>1788</v>
      </c>
      <c r="J378" s="7" t="s">
        <v>3</v>
      </c>
      <c r="K378" s="4" t="s">
        <v>10</v>
      </c>
      <c r="L378" s="4" t="s">
        <v>24</v>
      </c>
      <c r="M378" s="4" t="s">
        <v>634</v>
      </c>
      <c r="N378" s="4" t="s">
        <v>2584</v>
      </c>
      <c r="O378" s="89"/>
      <c r="P378" s="25">
        <v>45463</v>
      </c>
      <c r="Q378" s="7" t="s">
        <v>1436</v>
      </c>
      <c r="R378" s="90" t="s">
        <v>3254</v>
      </c>
      <c r="S378" s="6" t="s">
        <v>1795</v>
      </c>
      <c r="T378" s="4" t="s">
        <v>81</v>
      </c>
      <c r="U378" s="4" t="s">
        <v>349</v>
      </c>
      <c r="V378" s="4">
        <v>99</v>
      </c>
      <c r="W378" s="85">
        <v>45828</v>
      </c>
      <c r="X378" s="4" t="s">
        <v>3739</v>
      </c>
      <c r="Y378" s="4">
        <v>544908067</v>
      </c>
      <c r="Z378" s="4" t="s">
        <v>1942</v>
      </c>
      <c r="AA378" s="4" t="s">
        <v>1203</v>
      </c>
      <c r="AB378" s="4" t="s">
        <v>4289</v>
      </c>
    </row>
    <row r="379" spans="1:28">
      <c r="A379" s="4">
        <v>378</v>
      </c>
      <c r="B379" s="5">
        <v>12641098</v>
      </c>
      <c r="C379" s="5">
        <v>203965502</v>
      </c>
      <c r="D379" s="115" t="s">
        <v>1271</v>
      </c>
      <c r="E379" s="4" t="s">
        <v>1272</v>
      </c>
      <c r="F379" s="7" t="s">
        <v>74</v>
      </c>
      <c r="G379" s="7" t="s">
        <v>75</v>
      </c>
      <c r="H379" s="7" t="s">
        <v>76</v>
      </c>
      <c r="I379" s="6" t="s">
        <v>1788</v>
      </c>
      <c r="J379" s="7" t="s">
        <v>3</v>
      </c>
      <c r="K379" s="4" t="s">
        <v>10</v>
      </c>
      <c r="L379" s="4" t="s">
        <v>24</v>
      </c>
      <c r="M379" s="4" t="s">
        <v>634</v>
      </c>
      <c r="N379" s="4" t="s">
        <v>2584</v>
      </c>
      <c r="O379" s="89"/>
      <c r="P379" s="25">
        <v>45544</v>
      </c>
      <c r="Q379" s="7" t="s">
        <v>1106</v>
      </c>
      <c r="R379" s="90" t="s">
        <v>3260</v>
      </c>
      <c r="S379" s="6" t="s">
        <v>1795</v>
      </c>
      <c r="T379" s="4" t="s">
        <v>81</v>
      </c>
      <c r="U379" s="4" t="s">
        <v>349</v>
      </c>
      <c r="V379" s="4">
        <v>99</v>
      </c>
      <c r="W379" s="85">
        <v>45909</v>
      </c>
      <c r="X379" s="4" t="s">
        <v>3694</v>
      </c>
      <c r="Y379" s="4">
        <v>508816128</v>
      </c>
      <c r="Z379" s="4" t="s">
        <v>1943</v>
      </c>
      <c r="AA379" s="4" t="s">
        <v>85</v>
      </c>
      <c r="AB379" s="4" t="s">
        <v>4289</v>
      </c>
    </row>
    <row r="380" spans="1:28">
      <c r="A380" s="4">
        <v>379</v>
      </c>
      <c r="B380" s="5">
        <v>14718096</v>
      </c>
      <c r="C380" s="5">
        <v>206072868</v>
      </c>
      <c r="D380" s="115" t="s">
        <v>2891</v>
      </c>
      <c r="E380" s="4" t="s">
        <v>2909</v>
      </c>
      <c r="F380" s="7" t="s">
        <v>74</v>
      </c>
      <c r="G380" s="7" t="s">
        <v>87</v>
      </c>
      <c r="H380" s="7" t="s">
        <v>75</v>
      </c>
      <c r="I380" s="7" t="s">
        <v>1788</v>
      </c>
      <c r="J380" s="7" t="s">
        <v>3</v>
      </c>
      <c r="K380" s="4" t="s">
        <v>10</v>
      </c>
      <c r="L380" s="4" t="s">
        <v>24</v>
      </c>
      <c r="M380" s="4" t="s">
        <v>3320</v>
      </c>
      <c r="N380" s="4" t="s">
        <v>2584</v>
      </c>
      <c r="O380" s="89"/>
      <c r="P380" s="25">
        <v>45922</v>
      </c>
      <c r="Q380" s="7" t="s">
        <v>1106</v>
      </c>
      <c r="R380" s="90" t="s">
        <v>3253</v>
      </c>
      <c r="S380" s="6" t="s">
        <v>1795</v>
      </c>
      <c r="T380" s="4" t="s">
        <v>92</v>
      </c>
      <c r="U380" s="4" t="s">
        <v>349</v>
      </c>
      <c r="V380" s="4">
        <v>99</v>
      </c>
      <c r="W380" s="85">
        <v>45983</v>
      </c>
      <c r="X380" s="4" t="s">
        <v>3690</v>
      </c>
      <c r="Y380" s="4"/>
      <c r="Z380" s="4"/>
      <c r="AA380" s="4" t="s">
        <v>85</v>
      </c>
      <c r="AB380" s="4" t="s">
        <v>4289</v>
      </c>
    </row>
    <row r="381" spans="1:28">
      <c r="A381" s="4">
        <v>380</v>
      </c>
      <c r="B381" s="5">
        <v>15245859</v>
      </c>
      <c r="C381" s="5">
        <v>206504132</v>
      </c>
      <c r="D381" s="115" t="s">
        <v>3224</v>
      </c>
      <c r="E381" s="4" t="s">
        <v>3231</v>
      </c>
      <c r="F381" s="7" t="s">
        <v>74</v>
      </c>
      <c r="G381" s="7" t="s">
        <v>90</v>
      </c>
      <c r="H381" s="7" t="s">
        <v>87</v>
      </c>
      <c r="I381" s="6" t="s">
        <v>1790</v>
      </c>
      <c r="J381" s="7" t="s">
        <v>3</v>
      </c>
      <c r="K381" s="4" t="s">
        <v>10</v>
      </c>
      <c r="L381" s="4" t="s">
        <v>22</v>
      </c>
      <c r="M381" s="4" t="s">
        <v>3320</v>
      </c>
      <c r="N381" s="4" t="s">
        <v>2584</v>
      </c>
      <c r="O381" s="89"/>
      <c r="P381" s="25">
        <v>45971</v>
      </c>
      <c r="Q381" s="7" t="s">
        <v>1106</v>
      </c>
      <c r="R381" s="4" t="s">
        <v>3261</v>
      </c>
      <c r="S381" s="6" t="s">
        <v>1795</v>
      </c>
      <c r="T381" s="4" t="s">
        <v>81</v>
      </c>
      <c r="U381" s="4" t="s">
        <v>349</v>
      </c>
      <c r="V381" s="4">
        <v>99</v>
      </c>
      <c r="W381" s="85">
        <v>46245</v>
      </c>
      <c r="X381" s="4" t="s">
        <v>2758</v>
      </c>
      <c r="Y381" s="4">
        <v>567069960</v>
      </c>
      <c r="Z381" s="4" t="s">
        <v>3238</v>
      </c>
      <c r="AA381" s="4" t="s">
        <v>3016</v>
      </c>
      <c r="AB381" s="4" t="s">
        <v>4289</v>
      </c>
    </row>
    <row r="382" spans="1:28">
      <c r="A382" s="4">
        <v>381</v>
      </c>
      <c r="B382" s="5">
        <v>12171158</v>
      </c>
      <c r="C382" s="5">
        <v>205608625</v>
      </c>
      <c r="D382" s="115" t="s">
        <v>2593</v>
      </c>
      <c r="E382" s="4" t="s">
        <v>2605</v>
      </c>
      <c r="F382" s="7" t="s">
        <v>82</v>
      </c>
      <c r="G382" s="7" t="s">
        <v>75</v>
      </c>
      <c r="H382" s="7" t="s">
        <v>76</v>
      </c>
      <c r="I382" s="6" t="s">
        <v>1790</v>
      </c>
      <c r="J382" s="7" t="s">
        <v>3</v>
      </c>
      <c r="K382" s="4" t="s">
        <v>10</v>
      </c>
      <c r="L382" s="4" t="s">
        <v>22</v>
      </c>
      <c r="M382" s="4" t="s">
        <v>4312</v>
      </c>
      <c r="N382" s="4"/>
      <c r="O382" s="89"/>
      <c r="P382" s="25">
        <v>45845</v>
      </c>
      <c r="Q382" s="7" t="s">
        <v>1106</v>
      </c>
      <c r="R382" s="90" t="s">
        <v>3253</v>
      </c>
      <c r="S382" s="6" t="s">
        <v>1795</v>
      </c>
      <c r="T382" s="4" t="s">
        <v>81</v>
      </c>
      <c r="U382" s="4" t="s">
        <v>107</v>
      </c>
      <c r="V382" s="4">
        <v>99</v>
      </c>
      <c r="W382" s="85">
        <v>45901</v>
      </c>
      <c r="X382" s="4" t="s">
        <v>1216</v>
      </c>
      <c r="Y382" s="4">
        <v>562157500</v>
      </c>
      <c r="Z382" s="4" t="s">
        <v>2615</v>
      </c>
      <c r="AA382" s="4" t="s">
        <v>85</v>
      </c>
      <c r="AB382" s="4" t="s">
        <v>4289</v>
      </c>
    </row>
    <row r="383" spans="1:28">
      <c r="A383" s="4">
        <v>382</v>
      </c>
      <c r="B383" s="95">
        <v>15364539</v>
      </c>
      <c r="C383" s="4">
        <v>206873552</v>
      </c>
      <c r="D383" s="115" t="s">
        <v>3514</v>
      </c>
      <c r="E383" s="4" t="s">
        <v>3484</v>
      </c>
      <c r="F383" s="7" t="s">
        <v>74</v>
      </c>
      <c r="G383" s="7" t="s">
        <v>90</v>
      </c>
      <c r="H383" s="7" t="s">
        <v>87</v>
      </c>
      <c r="I383" s="7" t="s">
        <v>1789</v>
      </c>
      <c r="J383" s="6" t="s">
        <v>3</v>
      </c>
      <c r="K383" s="6" t="s">
        <v>10</v>
      </c>
      <c r="L383" s="4" t="s">
        <v>24</v>
      </c>
      <c r="M383" s="4" t="s">
        <v>3320</v>
      </c>
      <c r="N383" s="4" t="s">
        <v>2584</v>
      </c>
      <c r="O383" s="89"/>
      <c r="P383" s="25">
        <v>46020</v>
      </c>
      <c r="Q383" s="4" t="s">
        <v>1106</v>
      </c>
      <c r="R383" s="4" t="s">
        <v>3252</v>
      </c>
      <c r="S383" s="4" t="s">
        <v>3478</v>
      </c>
      <c r="T383" s="4" t="s">
        <v>81</v>
      </c>
      <c r="U383" s="4"/>
      <c r="V383" s="4">
        <v>99</v>
      </c>
      <c r="W383" s="4"/>
      <c r="X383" s="4" t="s">
        <v>3698</v>
      </c>
      <c r="Y383" s="4">
        <v>566094710</v>
      </c>
      <c r="Z383" s="4" t="s">
        <v>3500</v>
      </c>
      <c r="AA383" s="4" t="s">
        <v>3016</v>
      </c>
      <c r="AB383" s="4">
        <v>0</v>
      </c>
    </row>
    <row r="384" spans="1:28">
      <c r="A384" s="4">
        <v>383</v>
      </c>
      <c r="B384" s="5">
        <v>14132009</v>
      </c>
      <c r="C384" s="5">
        <v>202218633</v>
      </c>
      <c r="D384" s="115" t="s">
        <v>1703</v>
      </c>
      <c r="E384" s="4" t="s">
        <v>1680</v>
      </c>
      <c r="F384" s="7" t="s">
        <v>74</v>
      </c>
      <c r="G384" s="7" t="s">
        <v>87</v>
      </c>
      <c r="H384" s="7" t="s">
        <v>75</v>
      </c>
      <c r="I384" s="6" t="s">
        <v>1790</v>
      </c>
      <c r="J384" s="7" t="s">
        <v>3</v>
      </c>
      <c r="K384" s="4" t="s">
        <v>10</v>
      </c>
      <c r="L384" s="4" t="s">
        <v>27</v>
      </c>
      <c r="M384" s="4" t="s">
        <v>4312</v>
      </c>
      <c r="N384" s="4" t="s">
        <v>2584</v>
      </c>
      <c r="O384" s="89"/>
      <c r="P384" s="25">
        <v>45586</v>
      </c>
      <c r="Q384" s="7" t="s">
        <v>1106</v>
      </c>
      <c r="R384" s="90" t="s">
        <v>3252</v>
      </c>
      <c r="S384" s="6" t="s">
        <v>1795</v>
      </c>
      <c r="T384" s="4" t="s">
        <v>81</v>
      </c>
      <c r="U384" s="4" t="s">
        <v>103</v>
      </c>
      <c r="V384" s="4">
        <v>99</v>
      </c>
      <c r="W384" s="85">
        <v>46316</v>
      </c>
      <c r="X384" s="4" t="s">
        <v>3690</v>
      </c>
      <c r="Y384" s="4">
        <v>588290191</v>
      </c>
      <c r="Z384" s="4">
        <v>0</v>
      </c>
      <c r="AA384" s="4" t="s">
        <v>85</v>
      </c>
      <c r="AB384" s="4" t="s">
        <v>4289</v>
      </c>
    </row>
    <row r="385" spans="1:28">
      <c r="A385" s="4">
        <v>384</v>
      </c>
      <c r="B385" s="5">
        <v>12464828</v>
      </c>
      <c r="C385" s="5">
        <v>206073369</v>
      </c>
      <c r="D385" s="115" t="s">
        <v>2886</v>
      </c>
      <c r="E385" s="4" t="s">
        <v>2905</v>
      </c>
      <c r="F385" s="7" t="s">
        <v>74</v>
      </c>
      <c r="G385" s="7" t="s">
        <v>75</v>
      </c>
      <c r="H385" s="7" t="s">
        <v>76</v>
      </c>
      <c r="I385" s="7" t="s">
        <v>1789</v>
      </c>
      <c r="J385" s="7" t="s">
        <v>3</v>
      </c>
      <c r="K385" s="4" t="s">
        <v>10</v>
      </c>
      <c r="L385" s="4" t="s">
        <v>24</v>
      </c>
      <c r="M385" s="4" t="s">
        <v>634</v>
      </c>
      <c r="N385" s="4" t="s">
        <v>2584</v>
      </c>
      <c r="O385" s="89"/>
      <c r="P385" s="25">
        <v>45922</v>
      </c>
      <c r="Q385" s="7" t="s">
        <v>1434</v>
      </c>
      <c r="R385" s="90" t="s">
        <v>3262</v>
      </c>
      <c r="S385" s="6" t="s">
        <v>1795</v>
      </c>
      <c r="T385" s="4" t="s">
        <v>92</v>
      </c>
      <c r="U385" s="4" t="s">
        <v>107</v>
      </c>
      <c r="V385" s="4">
        <v>99</v>
      </c>
      <c r="W385" s="85">
        <v>45983</v>
      </c>
      <c r="X385" s="4" t="s">
        <v>3690</v>
      </c>
      <c r="Y385" s="4"/>
      <c r="Z385" s="4"/>
      <c r="AA385" s="4" t="s">
        <v>85</v>
      </c>
      <c r="AB385" s="4" t="s">
        <v>4289</v>
      </c>
    </row>
    <row r="386" spans="1:28">
      <c r="A386" s="4">
        <v>385</v>
      </c>
      <c r="B386" s="95">
        <v>13584589</v>
      </c>
      <c r="C386" s="5">
        <v>206874115</v>
      </c>
      <c r="D386" s="115" t="s">
        <v>3424</v>
      </c>
      <c r="E386" s="4" t="s">
        <v>3378</v>
      </c>
      <c r="F386" s="7" t="s">
        <v>74</v>
      </c>
      <c r="G386" s="7" t="s">
        <v>90</v>
      </c>
      <c r="H386" s="7" t="s">
        <v>87</v>
      </c>
      <c r="I386" s="7" t="s">
        <v>1789</v>
      </c>
      <c r="J386" s="6" t="s">
        <v>3</v>
      </c>
      <c r="K386" s="6" t="s">
        <v>10</v>
      </c>
      <c r="L386" s="4" t="s">
        <v>22</v>
      </c>
      <c r="M386" s="4" t="s">
        <v>3320</v>
      </c>
      <c r="N386" s="4" t="s">
        <v>2584</v>
      </c>
      <c r="O386" s="89"/>
      <c r="P386" s="25">
        <v>46020</v>
      </c>
      <c r="Q386" s="7" t="s">
        <v>1106</v>
      </c>
      <c r="R386" s="7" t="s">
        <v>3257</v>
      </c>
      <c r="S386" s="6" t="s">
        <v>3478</v>
      </c>
      <c r="T386" s="4" t="s">
        <v>81</v>
      </c>
      <c r="U386" s="4"/>
      <c r="V386" s="4">
        <v>99</v>
      </c>
      <c r="W386" s="4"/>
      <c r="X386" s="4" t="s">
        <v>3290</v>
      </c>
      <c r="Y386" s="95">
        <v>564621901</v>
      </c>
      <c r="Z386" s="4" t="s">
        <v>3454</v>
      </c>
      <c r="AA386" s="4" t="s">
        <v>3016</v>
      </c>
      <c r="AB386" s="4" t="s">
        <v>4289</v>
      </c>
    </row>
    <row r="387" spans="1:28">
      <c r="A387" s="4">
        <v>386</v>
      </c>
      <c r="B387" s="95">
        <v>12796550</v>
      </c>
      <c r="C387" s="4">
        <v>206873567</v>
      </c>
      <c r="D387" s="115" t="s">
        <v>3511</v>
      </c>
      <c r="E387" s="4" t="s">
        <v>3481</v>
      </c>
      <c r="F387" s="7" t="s">
        <v>74</v>
      </c>
      <c r="G387" s="7" t="s">
        <v>94</v>
      </c>
      <c r="H387" s="7" t="s">
        <v>89</v>
      </c>
      <c r="I387" s="7" t="s">
        <v>1789</v>
      </c>
      <c r="J387" s="6" t="s">
        <v>3</v>
      </c>
      <c r="K387" s="6" t="s">
        <v>10</v>
      </c>
      <c r="L387" s="4" t="s">
        <v>24</v>
      </c>
      <c r="M387" s="4" t="s">
        <v>3320</v>
      </c>
      <c r="N387" s="4" t="s">
        <v>2584</v>
      </c>
      <c r="O387" s="89"/>
      <c r="P387" s="25">
        <v>46020</v>
      </c>
      <c r="Q387" s="7" t="s">
        <v>1106</v>
      </c>
      <c r="R387" s="90" t="s">
        <v>3253</v>
      </c>
      <c r="S387" s="4" t="s">
        <v>3478</v>
      </c>
      <c r="T387" s="4" t="s">
        <v>81</v>
      </c>
      <c r="U387" s="4"/>
      <c r="V387" s="4">
        <v>99</v>
      </c>
      <c r="W387" s="4"/>
      <c r="X387" s="4" t="s">
        <v>3688</v>
      </c>
      <c r="Y387" s="4">
        <v>531403241</v>
      </c>
      <c r="Z387" s="4" t="s">
        <v>3497</v>
      </c>
      <c r="AA387" s="4" t="s">
        <v>3167</v>
      </c>
      <c r="AB387" s="4">
        <v>0</v>
      </c>
    </row>
    <row r="388" spans="1:28">
      <c r="A388" s="4">
        <v>387</v>
      </c>
      <c r="B388" s="5">
        <v>13160463</v>
      </c>
      <c r="C388" s="5">
        <v>203737200</v>
      </c>
      <c r="D388" s="115" t="s">
        <v>323</v>
      </c>
      <c r="E388" s="4" t="s">
        <v>324</v>
      </c>
      <c r="F388" s="7" t="s">
        <v>74</v>
      </c>
      <c r="G388" s="7" t="s">
        <v>87</v>
      </c>
      <c r="H388" s="7" t="s">
        <v>75</v>
      </c>
      <c r="I388" s="6" t="s">
        <v>1790</v>
      </c>
      <c r="J388" s="7" t="s">
        <v>3</v>
      </c>
      <c r="K388" s="4" t="s">
        <v>10</v>
      </c>
      <c r="L388" s="4" t="s">
        <v>22</v>
      </c>
      <c r="M388" s="4" t="s">
        <v>3320</v>
      </c>
      <c r="N388" s="4" t="s">
        <v>2584</v>
      </c>
      <c r="O388" s="89"/>
      <c r="P388" s="25">
        <v>45502</v>
      </c>
      <c r="Q388" s="7" t="s">
        <v>1106</v>
      </c>
      <c r="R388" s="90" t="s">
        <v>3255</v>
      </c>
      <c r="S388" s="6" t="s">
        <v>1795</v>
      </c>
      <c r="T388" s="4" t="s">
        <v>81</v>
      </c>
      <c r="U388" s="4" t="s">
        <v>349</v>
      </c>
      <c r="V388" s="4">
        <v>99</v>
      </c>
      <c r="W388" s="85">
        <v>45558</v>
      </c>
      <c r="X388" s="4" t="s">
        <v>1216</v>
      </c>
      <c r="Y388" s="4">
        <v>554518736</v>
      </c>
      <c r="Z388" s="4" t="s">
        <v>1944</v>
      </c>
      <c r="AA388" s="4" t="s">
        <v>95</v>
      </c>
      <c r="AB388" s="4" t="s">
        <v>4289</v>
      </c>
    </row>
    <row r="389" spans="1:28" ht="14.5" customHeight="1">
      <c r="A389" s="4">
        <v>388</v>
      </c>
      <c r="B389" s="95">
        <v>13439643</v>
      </c>
      <c r="C389" s="5">
        <v>206873643</v>
      </c>
      <c r="D389" s="115" t="s">
        <v>3409</v>
      </c>
      <c r="E389" s="4" t="s">
        <v>3361</v>
      </c>
      <c r="F389" s="7" t="s">
        <v>74</v>
      </c>
      <c r="G389" s="7" t="s">
        <v>94</v>
      </c>
      <c r="H389" s="7" t="s">
        <v>89</v>
      </c>
      <c r="I389" s="7" t="s">
        <v>1789</v>
      </c>
      <c r="J389" s="6" t="s">
        <v>3</v>
      </c>
      <c r="K389" s="6" t="s">
        <v>10</v>
      </c>
      <c r="L389" s="4" t="s">
        <v>24</v>
      </c>
      <c r="M389" s="4" t="s">
        <v>3320</v>
      </c>
      <c r="N389" s="4" t="s">
        <v>2584</v>
      </c>
      <c r="O389" s="89"/>
      <c r="P389" s="25">
        <v>46020</v>
      </c>
      <c r="Q389" s="7" t="s">
        <v>1106</v>
      </c>
      <c r="R389" s="7" t="s">
        <v>3257</v>
      </c>
      <c r="S389" s="6" t="s">
        <v>3478</v>
      </c>
      <c r="T389" s="4" t="s">
        <v>81</v>
      </c>
      <c r="U389" s="4"/>
      <c r="V389" s="4">
        <v>99</v>
      </c>
      <c r="W389" s="4"/>
      <c r="X389" s="4" t="s">
        <v>3739</v>
      </c>
      <c r="Y389" s="95">
        <v>525723441</v>
      </c>
      <c r="Z389" s="4" t="s">
        <v>3438</v>
      </c>
      <c r="AA389" s="4" t="s">
        <v>3016</v>
      </c>
      <c r="AB389" s="4" t="s">
        <v>4289</v>
      </c>
    </row>
    <row r="390" spans="1:28">
      <c r="A390" s="4">
        <v>389</v>
      </c>
      <c r="B390" s="5">
        <v>14522538</v>
      </c>
      <c r="C390" s="5">
        <v>204246601</v>
      </c>
      <c r="D390" s="115" t="s">
        <v>1732</v>
      </c>
      <c r="E390" s="4" t="s">
        <v>1638</v>
      </c>
      <c r="F390" s="7" t="s">
        <v>82</v>
      </c>
      <c r="G390" s="7" t="s">
        <v>90</v>
      </c>
      <c r="H390" s="7" t="s">
        <v>87</v>
      </c>
      <c r="I390" s="6" t="s">
        <v>1790</v>
      </c>
      <c r="J390" s="7" t="s">
        <v>3</v>
      </c>
      <c r="K390" s="4" t="s">
        <v>10</v>
      </c>
      <c r="L390" s="4" t="s">
        <v>27</v>
      </c>
      <c r="M390" s="4" t="s">
        <v>4312</v>
      </c>
      <c r="N390" s="4" t="s">
        <v>2584</v>
      </c>
      <c r="O390" s="89"/>
      <c r="P390" s="25">
        <v>45579</v>
      </c>
      <c r="Q390" s="7" t="s">
        <v>1106</v>
      </c>
      <c r="R390" s="90" t="s">
        <v>3264</v>
      </c>
      <c r="S390" s="6" t="s">
        <v>1795</v>
      </c>
      <c r="T390" s="4" t="s">
        <v>92</v>
      </c>
      <c r="U390" s="4" t="s">
        <v>103</v>
      </c>
      <c r="V390" s="4">
        <v>99</v>
      </c>
      <c r="W390" s="85">
        <v>46309</v>
      </c>
      <c r="X390" s="4" t="s">
        <v>3703</v>
      </c>
      <c r="Y390" s="4">
        <v>542730086</v>
      </c>
      <c r="Z390" s="4" t="s">
        <v>1662</v>
      </c>
      <c r="AA390" s="4" t="s">
        <v>2271</v>
      </c>
      <c r="AB390" s="4" t="s">
        <v>4289</v>
      </c>
    </row>
    <row r="391" spans="1:28">
      <c r="A391" s="4">
        <v>390</v>
      </c>
      <c r="B391" s="95">
        <v>15213083</v>
      </c>
      <c r="C391" s="5">
        <v>206874042</v>
      </c>
      <c r="D391" s="115" t="s">
        <v>3416</v>
      </c>
      <c r="E391" s="4" t="s">
        <v>3370</v>
      </c>
      <c r="F391" s="7" t="s">
        <v>74</v>
      </c>
      <c r="G391" s="7" t="s">
        <v>90</v>
      </c>
      <c r="H391" s="7" t="s">
        <v>87</v>
      </c>
      <c r="I391" s="7" t="s">
        <v>1789</v>
      </c>
      <c r="J391" s="6" t="s">
        <v>3</v>
      </c>
      <c r="K391" s="6" t="s">
        <v>10</v>
      </c>
      <c r="L391" s="4" t="s">
        <v>22</v>
      </c>
      <c r="M391" s="4" t="s">
        <v>3320</v>
      </c>
      <c r="N391" s="4" t="s">
        <v>2584</v>
      </c>
      <c r="O391" s="89"/>
      <c r="P391" s="25">
        <v>46020</v>
      </c>
      <c r="Q391" s="7" t="s">
        <v>1106</v>
      </c>
      <c r="R391" s="90" t="s">
        <v>2586</v>
      </c>
      <c r="S391" s="6" t="s">
        <v>3478</v>
      </c>
      <c r="T391" s="4" t="s">
        <v>81</v>
      </c>
      <c r="U391" s="4"/>
      <c r="V391" s="4">
        <v>99</v>
      </c>
      <c r="W391" s="4"/>
      <c r="X391" s="4" t="s">
        <v>3290</v>
      </c>
      <c r="Y391" s="95">
        <v>544894524</v>
      </c>
      <c r="Z391" s="4" t="s">
        <v>3446</v>
      </c>
      <c r="AA391" s="4" t="s">
        <v>3016</v>
      </c>
      <c r="AB391" s="4" t="s">
        <v>4290</v>
      </c>
    </row>
    <row r="392" spans="1:28">
      <c r="A392" s="4">
        <v>391</v>
      </c>
      <c r="B392" s="5">
        <v>13922483</v>
      </c>
      <c r="C392" s="5">
        <v>206846115</v>
      </c>
      <c r="D392" s="115" t="s">
        <v>3314</v>
      </c>
      <c r="E392" s="5" t="s">
        <v>3283</v>
      </c>
      <c r="F392" s="7" t="s">
        <v>74</v>
      </c>
      <c r="G392" s="7" t="s">
        <v>75</v>
      </c>
      <c r="H392" s="7" t="s">
        <v>76</v>
      </c>
      <c r="I392" s="7" t="s">
        <v>1789</v>
      </c>
      <c r="J392" s="5" t="s">
        <v>3</v>
      </c>
      <c r="K392" s="5" t="s">
        <v>10</v>
      </c>
      <c r="L392" s="5" t="s">
        <v>22</v>
      </c>
      <c r="M392" s="5" t="s">
        <v>3320</v>
      </c>
      <c r="N392" s="5" t="s">
        <v>3289</v>
      </c>
      <c r="O392" s="89"/>
      <c r="P392" s="25">
        <v>46013</v>
      </c>
      <c r="Q392" s="5" t="s">
        <v>1106</v>
      </c>
      <c r="R392" s="4" t="s">
        <v>3262</v>
      </c>
      <c r="S392" s="5" t="s">
        <v>1795</v>
      </c>
      <c r="T392" s="5" t="s">
        <v>81</v>
      </c>
      <c r="U392" s="5"/>
      <c r="V392" s="5">
        <v>99</v>
      </c>
      <c r="W392" s="91">
        <v>45648</v>
      </c>
      <c r="X392" s="5" t="s">
        <v>3290</v>
      </c>
      <c r="Y392" s="5" t="s">
        <v>3295</v>
      </c>
      <c r="Z392" s="5" t="s">
        <v>3302</v>
      </c>
      <c r="AA392" s="4" t="s">
        <v>95</v>
      </c>
      <c r="AB392" s="4" t="s">
        <v>4290</v>
      </c>
    </row>
    <row r="393" spans="1:28">
      <c r="A393" s="4">
        <v>392</v>
      </c>
      <c r="B393" s="5">
        <v>13390442</v>
      </c>
      <c r="C393" s="5">
        <v>203816298</v>
      </c>
      <c r="D393" s="115" t="s">
        <v>731</v>
      </c>
      <c r="E393" s="4" t="s">
        <v>732</v>
      </c>
      <c r="F393" s="7" t="s">
        <v>82</v>
      </c>
      <c r="G393" s="7" t="s">
        <v>94</v>
      </c>
      <c r="H393" s="7" t="s">
        <v>89</v>
      </c>
      <c r="I393" s="6" t="s">
        <v>1790</v>
      </c>
      <c r="J393" s="7" t="s">
        <v>3</v>
      </c>
      <c r="K393" s="4" t="s">
        <v>10</v>
      </c>
      <c r="L393" s="4" t="s">
        <v>22</v>
      </c>
      <c r="M393" s="4" t="s">
        <v>634</v>
      </c>
      <c r="N393" s="4" t="s">
        <v>2584</v>
      </c>
      <c r="O393" s="89"/>
      <c r="P393" s="25">
        <v>45826</v>
      </c>
      <c r="Q393" s="7" t="s">
        <v>1106</v>
      </c>
      <c r="R393" s="90" t="s">
        <v>3264</v>
      </c>
      <c r="S393" s="6" t="s">
        <v>1795</v>
      </c>
      <c r="T393" s="4" t="s">
        <v>81</v>
      </c>
      <c r="U393" s="4" t="s">
        <v>107</v>
      </c>
      <c r="V393" s="4">
        <v>99</v>
      </c>
      <c r="W393" s="85">
        <v>45882</v>
      </c>
      <c r="X393" s="4" t="s">
        <v>1216</v>
      </c>
      <c r="Y393" s="4"/>
      <c r="Z393" s="4"/>
      <c r="AA393" s="4" t="s">
        <v>1203</v>
      </c>
      <c r="AB393" s="4" t="s">
        <v>4289</v>
      </c>
    </row>
    <row r="394" spans="1:28">
      <c r="A394" s="4">
        <v>393</v>
      </c>
      <c r="B394" s="5">
        <v>161848</v>
      </c>
      <c r="C394" s="5">
        <v>204246603</v>
      </c>
      <c r="D394" s="115" t="s">
        <v>1727</v>
      </c>
      <c r="E394" s="4" t="s">
        <v>1633</v>
      </c>
      <c r="F394" s="7" t="s">
        <v>74</v>
      </c>
      <c r="G394" s="7" t="s">
        <v>87</v>
      </c>
      <c r="H394" s="7" t="s">
        <v>75</v>
      </c>
      <c r="I394" s="6" t="s">
        <v>1790</v>
      </c>
      <c r="J394" s="7" t="s">
        <v>7</v>
      </c>
      <c r="K394" s="4" t="s">
        <v>10</v>
      </c>
      <c r="L394" s="4" t="s">
        <v>27</v>
      </c>
      <c r="M394" s="4" t="s">
        <v>4315</v>
      </c>
      <c r="N394" s="4" t="s">
        <v>2584</v>
      </c>
      <c r="O394" s="89"/>
      <c r="P394" s="25">
        <v>45579</v>
      </c>
      <c r="Q394" s="7" t="s">
        <v>7</v>
      </c>
      <c r="R394" s="90" t="s">
        <v>3254</v>
      </c>
      <c r="S394" s="6" t="s">
        <v>1795</v>
      </c>
      <c r="T394" s="4" t="s">
        <v>81</v>
      </c>
      <c r="U394" s="4" t="s">
        <v>112</v>
      </c>
      <c r="V394" s="4">
        <v>99</v>
      </c>
      <c r="W394" s="85">
        <v>46309</v>
      </c>
      <c r="X394" s="4" t="s">
        <v>3690</v>
      </c>
      <c r="Y394" s="4">
        <v>507416091</v>
      </c>
      <c r="Z394" s="4" t="s">
        <v>1657</v>
      </c>
      <c r="AA394" s="4" t="s">
        <v>85</v>
      </c>
      <c r="AB394" s="4" t="s">
        <v>4290</v>
      </c>
    </row>
    <row r="395" spans="1:28" ht="14.5" customHeight="1">
      <c r="A395" s="4">
        <v>394</v>
      </c>
      <c r="B395" s="5">
        <v>14018620</v>
      </c>
      <c r="C395" s="5">
        <v>205977115</v>
      </c>
      <c r="D395" s="115" t="s">
        <v>2818</v>
      </c>
      <c r="E395" s="4" t="s">
        <v>2819</v>
      </c>
      <c r="F395" s="7" t="s">
        <v>74</v>
      </c>
      <c r="G395" s="7" t="s">
        <v>94</v>
      </c>
      <c r="H395" s="7" t="s">
        <v>89</v>
      </c>
      <c r="I395" s="6" t="s">
        <v>1790</v>
      </c>
      <c r="J395" s="7" t="s">
        <v>3</v>
      </c>
      <c r="K395" s="4" t="s">
        <v>10</v>
      </c>
      <c r="L395" s="4" t="s">
        <v>22</v>
      </c>
      <c r="M395" s="4" t="s">
        <v>4312</v>
      </c>
      <c r="N395" s="4"/>
      <c r="O395" s="89"/>
      <c r="P395" s="25">
        <v>45915</v>
      </c>
      <c r="Q395" s="7" t="s">
        <v>1106</v>
      </c>
      <c r="R395" s="90" t="s">
        <v>3260</v>
      </c>
      <c r="S395" s="6" t="s">
        <v>1795</v>
      </c>
      <c r="T395" s="4" t="s">
        <v>81</v>
      </c>
      <c r="U395" s="4" t="s">
        <v>112</v>
      </c>
      <c r="V395" s="4">
        <v>99</v>
      </c>
      <c r="W395" s="85"/>
      <c r="X395" s="4"/>
      <c r="Y395" s="4"/>
      <c r="Z395" s="4"/>
      <c r="AA395" s="4" t="s">
        <v>95</v>
      </c>
      <c r="AB395" s="4" t="s">
        <v>4289</v>
      </c>
    </row>
    <row r="396" spans="1:28" ht="14.5" customHeight="1">
      <c r="A396" s="4">
        <v>395</v>
      </c>
      <c r="B396" s="5">
        <v>11277773</v>
      </c>
      <c r="C396" s="5">
        <v>206504129</v>
      </c>
      <c r="D396" s="115" t="s">
        <v>3230</v>
      </c>
      <c r="E396" s="4" t="s">
        <v>3237</v>
      </c>
      <c r="F396" s="7" t="s">
        <v>74</v>
      </c>
      <c r="G396" s="7" t="s">
        <v>75</v>
      </c>
      <c r="H396" s="7" t="s">
        <v>76</v>
      </c>
      <c r="I396" s="6" t="s">
        <v>1790</v>
      </c>
      <c r="J396" s="7" t="s">
        <v>3</v>
      </c>
      <c r="K396" s="4" t="s">
        <v>10</v>
      </c>
      <c r="L396" s="4" t="s">
        <v>22</v>
      </c>
      <c r="M396" s="4" t="s">
        <v>4312</v>
      </c>
      <c r="N396" s="4" t="s">
        <v>2584</v>
      </c>
      <c r="O396" s="89"/>
      <c r="P396" s="25">
        <v>45971</v>
      </c>
      <c r="Q396" s="7" t="s">
        <v>1106</v>
      </c>
      <c r="R396" s="4" t="s">
        <v>3261</v>
      </c>
      <c r="S396" s="6" t="s">
        <v>1795</v>
      </c>
      <c r="T396" s="4" t="s">
        <v>81</v>
      </c>
      <c r="U396" s="4" t="s">
        <v>349</v>
      </c>
      <c r="V396" s="4">
        <v>99</v>
      </c>
      <c r="W396" s="85">
        <v>46245</v>
      </c>
      <c r="X396" s="4" t="s">
        <v>2758</v>
      </c>
      <c r="Y396" s="4">
        <v>567070725</v>
      </c>
      <c r="Z396" s="4" t="s">
        <v>3244</v>
      </c>
      <c r="AA396" s="4" t="s">
        <v>3016</v>
      </c>
      <c r="AB396" s="4" t="s">
        <v>4289</v>
      </c>
    </row>
    <row r="397" spans="1:28">
      <c r="A397" s="4">
        <v>396</v>
      </c>
      <c r="B397" s="5">
        <v>15041621</v>
      </c>
      <c r="C397" s="5">
        <v>203521425</v>
      </c>
      <c r="D397" s="115" t="s">
        <v>206</v>
      </c>
      <c r="E397" s="4" t="s">
        <v>207</v>
      </c>
      <c r="F397" s="7" t="s">
        <v>74</v>
      </c>
      <c r="G397" s="7" t="s">
        <v>88</v>
      </c>
      <c r="H397" s="7" t="s">
        <v>94</v>
      </c>
      <c r="I397" s="6" t="s">
        <v>1788</v>
      </c>
      <c r="J397" s="7" t="s">
        <v>3</v>
      </c>
      <c r="K397" s="4" t="s">
        <v>10</v>
      </c>
      <c r="L397" s="4" t="s">
        <v>24</v>
      </c>
      <c r="M397" s="4" t="s">
        <v>634</v>
      </c>
      <c r="N397" s="4" t="s">
        <v>2584</v>
      </c>
      <c r="O397" s="89"/>
      <c r="P397" s="25">
        <v>45463</v>
      </c>
      <c r="Q397" s="7" t="s">
        <v>1434</v>
      </c>
      <c r="R397" s="90" t="s">
        <v>3264</v>
      </c>
      <c r="S397" s="6" t="s">
        <v>1795</v>
      </c>
      <c r="T397" s="4" t="s">
        <v>81</v>
      </c>
      <c r="U397" s="4" t="s">
        <v>103</v>
      </c>
      <c r="V397" s="4">
        <v>99</v>
      </c>
      <c r="W397" s="85">
        <v>45828</v>
      </c>
      <c r="X397" s="4" t="s">
        <v>3703</v>
      </c>
      <c r="Y397" s="4">
        <v>509238850</v>
      </c>
      <c r="Z397" s="4" t="s">
        <v>1945</v>
      </c>
      <c r="AA397" s="4" t="s">
        <v>85</v>
      </c>
      <c r="AB397" s="4" t="s">
        <v>4290</v>
      </c>
    </row>
    <row r="398" spans="1:28">
      <c r="A398" s="4">
        <v>397</v>
      </c>
      <c r="B398" s="5">
        <v>12542982</v>
      </c>
      <c r="C398" s="5">
        <v>203736254</v>
      </c>
      <c r="D398" s="115" t="s">
        <v>331</v>
      </c>
      <c r="E398" s="4" t="s">
        <v>332</v>
      </c>
      <c r="F398" s="7" t="s">
        <v>82</v>
      </c>
      <c r="G398" s="7" t="s">
        <v>90</v>
      </c>
      <c r="H398" s="7" t="s">
        <v>87</v>
      </c>
      <c r="I398" s="6" t="s">
        <v>1790</v>
      </c>
      <c r="J398" s="7" t="s">
        <v>7</v>
      </c>
      <c r="K398" s="4" t="s">
        <v>10</v>
      </c>
      <c r="L398" s="4" t="s">
        <v>22</v>
      </c>
      <c r="M398" s="4" t="s">
        <v>4315</v>
      </c>
      <c r="N398" s="4" t="s">
        <v>2584</v>
      </c>
      <c r="O398" s="89"/>
      <c r="P398" s="25">
        <v>45502</v>
      </c>
      <c r="Q398" s="7" t="s">
        <v>7</v>
      </c>
      <c r="R398" s="90" t="s">
        <v>3255</v>
      </c>
      <c r="S398" s="6" t="s">
        <v>1795</v>
      </c>
      <c r="T398" s="4" t="s">
        <v>81</v>
      </c>
      <c r="U398" s="4" t="s">
        <v>103</v>
      </c>
      <c r="V398" s="4">
        <v>99</v>
      </c>
      <c r="W398" s="85">
        <v>45558</v>
      </c>
      <c r="X398" s="4" t="s">
        <v>1216</v>
      </c>
      <c r="Y398" s="4">
        <v>554620305</v>
      </c>
      <c r="Z398" s="4" t="s">
        <v>1946</v>
      </c>
      <c r="AA398" s="4" t="s">
        <v>95</v>
      </c>
      <c r="AB398" s="4" t="s">
        <v>4290</v>
      </c>
    </row>
    <row r="399" spans="1:28">
      <c r="A399" s="4">
        <v>398</v>
      </c>
      <c r="B399" s="5">
        <v>13273009</v>
      </c>
      <c r="C399" s="5">
        <v>203800481</v>
      </c>
      <c r="D399" s="115" t="s">
        <v>660</v>
      </c>
      <c r="E399" s="4" t="s">
        <v>661</v>
      </c>
      <c r="F399" s="7" t="s">
        <v>74</v>
      </c>
      <c r="G399" s="7" t="s">
        <v>75</v>
      </c>
      <c r="H399" s="7" t="s">
        <v>76</v>
      </c>
      <c r="I399" s="6" t="s">
        <v>1790</v>
      </c>
      <c r="J399" s="7" t="s">
        <v>3</v>
      </c>
      <c r="K399" s="4" t="s">
        <v>10</v>
      </c>
      <c r="L399" s="4" t="s">
        <v>22</v>
      </c>
      <c r="M399" s="4" t="s">
        <v>634</v>
      </c>
      <c r="N399" s="4" t="s">
        <v>2584</v>
      </c>
      <c r="O399" s="89"/>
      <c r="P399" s="25">
        <v>45516</v>
      </c>
      <c r="Q399" s="7" t="s">
        <v>1106</v>
      </c>
      <c r="R399" s="90" t="s">
        <v>3253</v>
      </c>
      <c r="S399" s="6" t="s">
        <v>1795</v>
      </c>
      <c r="T399" s="4" t="s">
        <v>81</v>
      </c>
      <c r="U399" s="4" t="s">
        <v>107</v>
      </c>
      <c r="V399" s="4">
        <v>99</v>
      </c>
      <c r="W399" s="85">
        <v>45572</v>
      </c>
      <c r="X399" s="4" t="s">
        <v>1216</v>
      </c>
      <c r="Y399" s="4">
        <v>522125789</v>
      </c>
      <c r="Z399" s="4" t="s">
        <v>1947</v>
      </c>
      <c r="AA399" s="4" t="s">
        <v>95</v>
      </c>
      <c r="AB399" s="4" t="s">
        <v>4289</v>
      </c>
    </row>
    <row r="400" spans="1:28">
      <c r="A400" s="4">
        <v>399</v>
      </c>
      <c r="B400" s="5">
        <v>59885</v>
      </c>
      <c r="C400" s="5">
        <v>205977117</v>
      </c>
      <c r="D400" s="115" t="s">
        <v>2820</v>
      </c>
      <c r="E400" s="4" t="s">
        <v>2821</v>
      </c>
      <c r="F400" s="7" t="s">
        <v>74</v>
      </c>
      <c r="G400" s="7" t="s">
        <v>94</v>
      </c>
      <c r="H400" s="7" t="s">
        <v>89</v>
      </c>
      <c r="I400" s="6" t="s">
        <v>1790</v>
      </c>
      <c r="J400" s="7" t="s">
        <v>3</v>
      </c>
      <c r="K400" s="4" t="s">
        <v>10</v>
      </c>
      <c r="L400" s="4" t="s">
        <v>22</v>
      </c>
      <c r="M400" s="4" t="s">
        <v>3320</v>
      </c>
      <c r="N400" s="4"/>
      <c r="O400" s="89"/>
      <c r="P400" s="25">
        <v>45915</v>
      </c>
      <c r="Q400" s="7" t="s">
        <v>1106</v>
      </c>
      <c r="R400" s="4" t="s">
        <v>3264</v>
      </c>
      <c r="S400" s="6" t="s">
        <v>1795</v>
      </c>
      <c r="T400" s="4" t="s">
        <v>81</v>
      </c>
      <c r="U400" s="4" t="s">
        <v>349</v>
      </c>
      <c r="V400" s="4">
        <v>99</v>
      </c>
      <c r="W400" s="85"/>
      <c r="X400" s="4"/>
      <c r="Y400" s="4"/>
      <c r="Z400" s="4"/>
      <c r="AA400" s="4" t="s">
        <v>95</v>
      </c>
      <c r="AB400" s="4" t="s">
        <v>4289</v>
      </c>
    </row>
    <row r="401" spans="1:28">
      <c r="A401" s="4">
        <v>400</v>
      </c>
      <c r="B401" s="5">
        <v>12082938</v>
      </c>
      <c r="C401" s="5">
        <v>205236908</v>
      </c>
      <c r="D401" s="115" t="s">
        <v>2561</v>
      </c>
      <c r="E401" s="4" t="s">
        <v>2562</v>
      </c>
      <c r="F401" s="7" t="s">
        <v>74</v>
      </c>
      <c r="G401" s="7" t="s">
        <v>87</v>
      </c>
      <c r="H401" s="7" t="s">
        <v>75</v>
      </c>
      <c r="I401" s="6" t="s">
        <v>1790</v>
      </c>
      <c r="J401" s="7" t="s">
        <v>3</v>
      </c>
      <c r="K401" s="4" t="s">
        <v>10</v>
      </c>
      <c r="L401" s="4" t="s">
        <v>22</v>
      </c>
      <c r="M401" s="4" t="s">
        <v>634</v>
      </c>
      <c r="N401" s="4" t="s">
        <v>2583</v>
      </c>
      <c r="O401" s="89"/>
      <c r="P401" s="25">
        <v>45831</v>
      </c>
      <c r="Q401" s="7" t="s">
        <v>161</v>
      </c>
      <c r="R401" s="90" t="s">
        <v>3262</v>
      </c>
      <c r="S401" s="6" t="s">
        <v>1795</v>
      </c>
      <c r="T401" s="4" t="s">
        <v>81</v>
      </c>
      <c r="U401" s="4" t="s">
        <v>107</v>
      </c>
      <c r="V401" s="4">
        <v>99</v>
      </c>
      <c r="W401" s="85">
        <v>45887</v>
      </c>
      <c r="X401" s="4"/>
      <c r="Y401" s="4"/>
      <c r="Z401" s="4"/>
      <c r="AA401" s="4" t="s">
        <v>85</v>
      </c>
      <c r="AB401" s="4" t="s">
        <v>4289</v>
      </c>
    </row>
    <row r="402" spans="1:28">
      <c r="A402" s="4">
        <v>401</v>
      </c>
      <c r="B402" s="5">
        <v>14040291</v>
      </c>
      <c r="C402" s="5">
        <v>206846689</v>
      </c>
      <c r="D402" s="115" t="s">
        <v>3313</v>
      </c>
      <c r="E402" s="5" t="s">
        <v>3282</v>
      </c>
      <c r="F402" s="7" t="s">
        <v>82</v>
      </c>
      <c r="G402" s="7" t="s">
        <v>90</v>
      </c>
      <c r="H402" s="7" t="s">
        <v>87</v>
      </c>
      <c r="I402" s="7" t="s">
        <v>1789</v>
      </c>
      <c r="J402" s="5" t="s">
        <v>3</v>
      </c>
      <c r="K402" s="5" t="s">
        <v>10</v>
      </c>
      <c r="L402" s="5" t="s">
        <v>22</v>
      </c>
      <c r="M402" s="5" t="s">
        <v>3320</v>
      </c>
      <c r="N402" s="5" t="s">
        <v>3289</v>
      </c>
      <c r="O402" s="89"/>
      <c r="P402" s="25">
        <v>46013</v>
      </c>
      <c r="Q402" s="5" t="s">
        <v>1106</v>
      </c>
      <c r="R402" s="90" t="s">
        <v>2586</v>
      </c>
      <c r="S402" s="5" t="s">
        <v>1795</v>
      </c>
      <c r="T402" s="5" t="s">
        <v>81</v>
      </c>
      <c r="U402" s="5"/>
      <c r="V402" s="5">
        <v>99</v>
      </c>
      <c r="W402" s="91">
        <v>45648</v>
      </c>
      <c r="X402" s="5" t="s">
        <v>3290</v>
      </c>
      <c r="Y402" s="5" t="s">
        <v>3294</v>
      </c>
      <c r="Z402" s="5" t="s">
        <v>3301</v>
      </c>
      <c r="AA402" s="4" t="s">
        <v>95</v>
      </c>
      <c r="AB402" s="4" t="s">
        <v>4289</v>
      </c>
    </row>
    <row r="403" spans="1:28">
      <c r="A403" s="4">
        <v>402</v>
      </c>
      <c r="B403" s="5">
        <v>13054739</v>
      </c>
      <c r="C403" s="5">
        <v>206934195</v>
      </c>
      <c r="D403" s="115" t="s">
        <v>3955</v>
      </c>
      <c r="E403" s="4" t="s">
        <v>3956</v>
      </c>
      <c r="F403" s="7" t="s">
        <v>82</v>
      </c>
      <c r="G403" s="7" t="s">
        <v>94</v>
      </c>
      <c r="H403" s="7" t="s">
        <v>89</v>
      </c>
      <c r="I403" s="7" t="s">
        <v>1788</v>
      </c>
      <c r="J403" s="7" t="s">
        <v>3</v>
      </c>
      <c r="K403" s="7" t="s">
        <v>10</v>
      </c>
      <c r="L403" s="4" t="s">
        <v>23</v>
      </c>
      <c r="M403" s="4" t="s">
        <v>4312</v>
      </c>
      <c r="N403" s="4" t="s">
        <v>2584</v>
      </c>
      <c r="O403" s="89"/>
      <c r="P403" s="25">
        <v>46041</v>
      </c>
      <c r="Q403" s="7" t="s">
        <v>1106</v>
      </c>
      <c r="R403" s="90" t="s">
        <v>2586</v>
      </c>
      <c r="S403" s="7" t="s">
        <v>1795</v>
      </c>
      <c r="T403" s="4" t="s">
        <v>81</v>
      </c>
      <c r="U403" s="4" t="s">
        <v>349</v>
      </c>
      <c r="V403" s="4">
        <v>99</v>
      </c>
      <c r="W403" s="4"/>
      <c r="X403" s="4" t="s">
        <v>3902</v>
      </c>
      <c r="Y403" s="4" t="s">
        <v>3958</v>
      </c>
      <c r="Z403" s="4" t="s">
        <v>3957</v>
      </c>
      <c r="AA403" s="4" t="s">
        <v>3911</v>
      </c>
      <c r="AB403" s="4" t="e">
        <v>#N/A</v>
      </c>
    </row>
    <row r="404" spans="1:28">
      <c r="A404" s="4">
        <v>403</v>
      </c>
      <c r="B404" s="5">
        <v>15083780</v>
      </c>
      <c r="C404" s="5">
        <v>206791755</v>
      </c>
      <c r="D404" s="115" t="s">
        <v>3269</v>
      </c>
      <c r="E404" s="4" t="s">
        <v>3270</v>
      </c>
      <c r="F404" s="7" t="s">
        <v>82</v>
      </c>
      <c r="G404" s="7" t="s">
        <v>76</v>
      </c>
      <c r="H404" s="7" t="s">
        <v>88</v>
      </c>
      <c r="I404" s="7" t="s">
        <v>1789</v>
      </c>
      <c r="J404" s="7" t="s">
        <v>3</v>
      </c>
      <c r="K404" s="4" t="s">
        <v>10</v>
      </c>
      <c r="L404" s="4" t="s">
        <v>22</v>
      </c>
      <c r="M404" s="4" t="s">
        <v>4312</v>
      </c>
      <c r="N404" s="4"/>
      <c r="O404" s="89"/>
      <c r="P404" s="25">
        <v>45999</v>
      </c>
      <c r="Q404" s="7" t="s">
        <v>1106</v>
      </c>
      <c r="R404" s="4" t="s">
        <v>3258</v>
      </c>
      <c r="S404" s="6" t="s">
        <v>1795</v>
      </c>
      <c r="T404" s="4" t="s">
        <v>81</v>
      </c>
      <c r="U404" s="4" t="s">
        <v>349</v>
      </c>
      <c r="V404" s="4">
        <v>99</v>
      </c>
      <c r="W404" s="85"/>
      <c r="X404" s="4"/>
      <c r="Y404" s="4"/>
      <c r="Z404" s="4"/>
      <c r="AA404" s="4" t="s">
        <v>95</v>
      </c>
      <c r="AB404" s="4">
        <v>0</v>
      </c>
    </row>
    <row r="405" spans="1:28">
      <c r="A405" s="4">
        <v>404</v>
      </c>
      <c r="B405" s="5">
        <v>13005505</v>
      </c>
      <c r="C405" s="5">
        <v>203736255</v>
      </c>
      <c r="D405" s="115" t="s">
        <v>319</v>
      </c>
      <c r="E405" s="4" t="s">
        <v>320</v>
      </c>
      <c r="F405" s="7" t="s">
        <v>82</v>
      </c>
      <c r="G405" s="7" t="s">
        <v>89</v>
      </c>
      <c r="H405" s="7" t="s">
        <v>90</v>
      </c>
      <c r="I405" s="6" t="s">
        <v>1790</v>
      </c>
      <c r="J405" s="7" t="s">
        <v>3</v>
      </c>
      <c r="K405" s="4" t="s">
        <v>10</v>
      </c>
      <c r="L405" s="4" t="s">
        <v>22</v>
      </c>
      <c r="M405" s="4" t="s">
        <v>4312</v>
      </c>
      <c r="N405" s="4" t="s">
        <v>2584</v>
      </c>
      <c r="O405" s="89"/>
      <c r="P405" s="25">
        <v>45502</v>
      </c>
      <c r="Q405" s="7" t="s">
        <v>1106</v>
      </c>
      <c r="R405" s="90" t="s">
        <v>3253</v>
      </c>
      <c r="S405" s="6" t="s">
        <v>1795</v>
      </c>
      <c r="T405" s="4" t="s">
        <v>81</v>
      </c>
      <c r="U405" s="4" t="s">
        <v>107</v>
      </c>
      <c r="V405" s="4">
        <v>99</v>
      </c>
      <c r="W405" s="85">
        <v>45558</v>
      </c>
      <c r="X405" s="4" t="s">
        <v>1216</v>
      </c>
      <c r="Y405" s="4">
        <v>563027891</v>
      </c>
      <c r="Z405" s="4" t="s">
        <v>1948</v>
      </c>
      <c r="AA405" s="4" t="s">
        <v>95</v>
      </c>
      <c r="AB405" s="4" t="s">
        <v>4289</v>
      </c>
    </row>
    <row r="406" spans="1:28">
      <c r="A406" s="4">
        <v>405</v>
      </c>
      <c r="B406" s="5">
        <v>12173414</v>
      </c>
      <c r="C406" s="5">
        <v>204246163</v>
      </c>
      <c r="D406" s="115" t="s">
        <v>1734</v>
      </c>
      <c r="E406" s="4" t="s">
        <v>1640</v>
      </c>
      <c r="F406" s="7" t="s">
        <v>82</v>
      </c>
      <c r="G406" s="7" t="s">
        <v>88</v>
      </c>
      <c r="H406" s="7" t="s">
        <v>94</v>
      </c>
      <c r="I406" s="6" t="s">
        <v>1790</v>
      </c>
      <c r="J406" s="7" t="s">
        <v>3</v>
      </c>
      <c r="K406" s="4" t="s">
        <v>10</v>
      </c>
      <c r="L406" s="4" t="s">
        <v>27</v>
      </c>
      <c r="M406" s="4" t="s">
        <v>4312</v>
      </c>
      <c r="N406" s="4" t="s">
        <v>2584</v>
      </c>
      <c r="O406" s="89"/>
      <c r="P406" s="25">
        <v>45579</v>
      </c>
      <c r="Q406" s="7" t="s">
        <v>1106</v>
      </c>
      <c r="R406" s="90" t="s">
        <v>3254</v>
      </c>
      <c r="S406" s="6" t="s">
        <v>1795</v>
      </c>
      <c r="T406" s="4" t="s">
        <v>92</v>
      </c>
      <c r="U406" s="4" t="s">
        <v>107</v>
      </c>
      <c r="V406" s="4">
        <v>99</v>
      </c>
      <c r="W406" s="85">
        <v>46309</v>
      </c>
      <c r="X406" s="4" t="s">
        <v>3739</v>
      </c>
      <c r="Y406" s="4">
        <v>523512196</v>
      </c>
      <c r="Z406" s="4" t="s">
        <v>1664</v>
      </c>
      <c r="AA406" s="4" t="s">
        <v>1198</v>
      </c>
      <c r="AB406" s="4" t="s">
        <v>4289</v>
      </c>
    </row>
    <row r="407" spans="1:28">
      <c r="A407" s="4">
        <v>406</v>
      </c>
      <c r="B407" s="5">
        <v>14245506</v>
      </c>
      <c r="C407" s="5">
        <v>206846692</v>
      </c>
      <c r="D407" s="115" t="s">
        <v>3310</v>
      </c>
      <c r="E407" s="5" t="s">
        <v>3279</v>
      </c>
      <c r="F407" s="7" t="s">
        <v>74</v>
      </c>
      <c r="G407" s="7" t="s">
        <v>76</v>
      </c>
      <c r="H407" s="7" t="s">
        <v>88</v>
      </c>
      <c r="I407" s="7" t="s">
        <v>1789</v>
      </c>
      <c r="J407" s="5" t="s">
        <v>3</v>
      </c>
      <c r="K407" s="5" t="s">
        <v>10</v>
      </c>
      <c r="L407" s="5" t="s">
        <v>22</v>
      </c>
      <c r="M407" s="5" t="s">
        <v>3320</v>
      </c>
      <c r="N407" s="5" t="s">
        <v>3289</v>
      </c>
      <c r="O407" s="89"/>
      <c r="P407" s="25">
        <v>46013</v>
      </c>
      <c r="Q407" s="5" t="s">
        <v>1106</v>
      </c>
      <c r="R407" s="4" t="s">
        <v>3255</v>
      </c>
      <c r="S407" s="5" t="s">
        <v>1795</v>
      </c>
      <c r="T407" s="5" t="s">
        <v>81</v>
      </c>
      <c r="U407" s="5"/>
      <c r="V407" s="5">
        <v>99</v>
      </c>
      <c r="W407" s="91">
        <v>45648</v>
      </c>
      <c r="X407" s="5" t="s">
        <v>3290</v>
      </c>
      <c r="Y407" s="5" t="s">
        <v>3291</v>
      </c>
      <c r="Z407" s="5" t="s">
        <v>3298</v>
      </c>
      <c r="AA407" s="4" t="s">
        <v>95</v>
      </c>
      <c r="AB407" s="4" t="s">
        <v>4289</v>
      </c>
    </row>
    <row r="408" spans="1:28">
      <c r="A408" s="4">
        <v>407</v>
      </c>
      <c r="B408" s="5">
        <v>13572112</v>
      </c>
      <c r="C408" s="5">
        <v>206072876</v>
      </c>
      <c r="D408" s="115" t="s">
        <v>2881</v>
      </c>
      <c r="E408" s="4" t="s">
        <v>2902</v>
      </c>
      <c r="F408" s="7" t="s">
        <v>74</v>
      </c>
      <c r="G408" s="7" t="s">
        <v>76</v>
      </c>
      <c r="H408" s="7" t="s">
        <v>88</v>
      </c>
      <c r="I408" s="6" t="s">
        <v>1788</v>
      </c>
      <c r="J408" s="7" t="s">
        <v>3</v>
      </c>
      <c r="K408" s="4" t="s">
        <v>10</v>
      </c>
      <c r="L408" s="4" t="s">
        <v>24</v>
      </c>
      <c r="M408" s="4" t="s">
        <v>4312</v>
      </c>
      <c r="N408" s="4" t="s">
        <v>2584</v>
      </c>
      <c r="O408" s="89"/>
      <c r="P408" s="25">
        <v>45922</v>
      </c>
      <c r="Q408" s="7" t="s">
        <v>1106</v>
      </c>
      <c r="R408" s="90" t="s">
        <v>3252</v>
      </c>
      <c r="S408" s="6" t="s">
        <v>1795</v>
      </c>
      <c r="T408" s="4" t="s">
        <v>81</v>
      </c>
      <c r="U408" s="4" t="s">
        <v>3263</v>
      </c>
      <c r="V408" s="4">
        <v>99</v>
      </c>
      <c r="W408" s="85">
        <v>45983</v>
      </c>
      <c r="X408" s="4" t="s">
        <v>3690</v>
      </c>
      <c r="Y408" s="4"/>
      <c r="Z408" s="4"/>
      <c r="AA408" s="4" t="s">
        <v>85</v>
      </c>
      <c r="AB408" s="4" t="s">
        <v>4289</v>
      </c>
    </row>
    <row r="409" spans="1:28">
      <c r="A409" s="4">
        <v>408</v>
      </c>
      <c r="B409" s="5">
        <v>13935666</v>
      </c>
      <c r="C409" s="5">
        <v>203736329</v>
      </c>
      <c r="D409" s="115" t="s">
        <v>321</v>
      </c>
      <c r="E409" s="4" t="s">
        <v>322</v>
      </c>
      <c r="F409" s="7" t="s">
        <v>74</v>
      </c>
      <c r="G409" s="7" t="s">
        <v>90</v>
      </c>
      <c r="H409" s="7" t="s">
        <v>87</v>
      </c>
      <c r="I409" s="6" t="s">
        <v>1790</v>
      </c>
      <c r="J409" s="7" t="s">
        <v>3</v>
      </c>
      <c r="K409" s="4" t="s">
        <v>10</v>
      </c>
      <c r="L409" s="4" t="s">
        <v>22</v>
      </c>
      <c r="M409" s="4" t="s">
        <v>4312</v>
      </c>
      <c r="N409" s="4" t="s">
        <v>2584</v>
      </c>
      <c r="O409" s="89"/>
      <c r="P409" s="25">
        <v>45502</v>
      </c>
      <c r="Q409" s="7" t="s">
        <v>1106</v>
      </c>
      <c r="R409" s="90" t="s">
        <v>3264</v>
      </c>
      <c r="S409" s="6" t="s">
        <v>1795</v>
      </c>
      <c r="T409" s="4" t="s">
        <v>81</v>
      </c>
      <c r="U409" s="4" t="s">
        <v>107</v>
      </c>
      <c r="V409" s="4">
        <v>99</v>
      </c>
      <c r="W409" s="85">
        <v>45558</v>
      </c>
      <c r="X409" s="4" t="s">
        <v>1216</v>
      </c>
      <c r="Y409" s="4">
        <v>526798244</v>
      </c>
      <c r="Z409" s="4" t="s">
        <v>1949</v>
      </c>
      <c r="AA409" s="4" t="s">
        <v>95</v>
      </c>
      <c r="AB409" s="4" t="s">
        <v>4289</v>
      </c>
    </row>
    <row r="410" spans="1:28">
      <c r="A410" s="4">
        <v>409</v>
      </c>
      <c r="B410" s="5">
        <v>11069200</v>
      </c>
      <c r="C410" s="5">
        <v>205477624</v>
      </c>
      <c r="D410" s="115" t="s">
        <v>2563</v>
      </c>
      <c r="E410" s="4" t="s">
        <v>2564</v>
      </c>
      <c r="F410" s="7" t="s">
        <v>74</v>
      </c>
      <c r="G410" s="7" t="s">
        <v>75</v>
      </c>
      <c r="H410" s="7" t="s">
        <v>76</v>
      </c>
      <c r="I410" s="6" t="s">
        <v>1790</v>
      </c>
      <c r="J410" s="7" t="s">
        <v>3</v>
      </c>
      <c r="K410" s="4" t="s">
        <v>10</v>
      </c>
      <c r="L410" s="4" t="s">
        <v>22</v>
      </c>
      <c r="M410" s="4" t="s">
        <v>634</v>
      </c>
      <c r="N410" s="4" t="s">
        <v>2583</v>
      </c>
      <c r="O410" s="89"/>
      <c r="P410" s="25">
        <v>45831</v>
      </c>
      <c r="Q410" s="7" t="s">
        <v>161</v>
      </c>
      <c r="R410" s="90" t="s">
        <v>3260</v>
      </c>
      <c r="S410" s="6" t="s">
        <v>1795</v>
      </c>
      <c r="T410" s="4" t="s">
        <v>81</v>
      </c>
      <c r="U410" s="4" t="s">
        <v>107</v>
      </c>
      <c r="V410" s="4">
        <v>99</v>
      </c>
      <c r="W410" s="85">
        <v>45887</v>
      </c>
      <c r="X410" s="4"/>
      <c r="Y410" s="4"/>
      <c r="Z410" s="4"/>
      <c r="AA410" s="4" t="s">
        <v>85</v>
      </c>
      <c r="AB410" s="4" t="s">
        <v>4289</v>
      </c>
    </row>
    <row r="411" spans="1:28">
      <c r="A411" s="4">
        <v>410</v>
      </c>
      <c r="B411" s="5">
        <v>13822650</v>
      </c>
      <c r="C411" s="5">
        <v>203599606</v>
      </c>
      <c r="D411" s="115" t="s">
        <v>1275</v>
      </c>
      <c r="E411" s="4" t="s">
        <v>1276</v>
      </c>
      <c r="F411" s="7" t="s">
        <v>74</v>
      </c>
      <c r="G411" s="7" t="s">
        <v>75</v>
      </c>
      <c r="H411" s="7" t="s">
        <v>76</v>
      </c>
      <c r="I411" s="6" t="s">
        <v>1788</v>
      </c>
      <c r="J411" s="7" t="s">
        <v>3</v>
      </c>
      <c r="K411" s="4" t="s">
        <v>10</v>
      </c>
      <c r="L411" s="4" t="s">
        <v>24</v>
      </c>
      <c r="M411" s="4" t="s">
        <v>4312</v>
      </c>
      <c r="N411" s="4" t="s">
        <v>2584</v>
      </c>
      <c r="O411" s="89"/>
      <c r="P411" s="25">
        <v>45544</v>
      </c>
      <c r="Q411" s="7" t="s">
        <v>1106</v>
      </c>
      <c r="R411" s="90" t="s">
        <v>3260</v>
      </c>
      <c r="S411" s="6" t="s">
        <v>1795</v>
      </c>
      <c r="T411" s="4" t="s">
        <v>81</v>
      </c>
      <c r="U411" s="4" t="s">
        <v>349</v>
      </c>
      <c r="V411" s="4">
        <v>99</v>
      </c>
      <c r="W411" s="85">
        <v>45909</v>
      </c>
      <c r="X411" s="4" t="s">
        <v>3688</v>
      </c>
      <c r="Y411" s="4">
        <v>544848380</v>
      </c>
      <c r="Z411" s="4" t="s">
        <v>1950</v>
      </c>
      <c r="AA411" s="4" t="s">
        <v>85</v>
      </c>
      <c r="AB411" s="4" t="s">
        <v>4289</v>
      </c>
    </row>
    <row r="412" spans="1:28">
      <c r="A412" s="4">
        <v>411</v>
      </c>
      <c r="B412" s="5">
        <v>14234069</v>
      </c>
      <c r="C412" s="5">
        <v>202334276</v>
      </c>
      <c r="D412" s="115" t="s">
        <v>1668</v>
      </c>
      <c r="E412" s="4" t="s">
        <v>1669</v>
      </c>
      <c r="F412" s="7" t="s">
        <v>74</v>
      </c>
      <c r="G412" s="7" t="s">
        <v>75</v>
      </c>
      <c r="H412" s="7" t="s">
        <v>76</v>
      </c>
      <c r="I412" s="6" t="s">
        <v>1790</v>
      </c>
      <c r="J412" s="7" t="s">
        <v>3</v>
      </c>
      <c r="K412" s="4" t="s">
        <v>10</v>
      </c>
      <c r="L412" s="4" t="s">
        <v>27</v>
      </c>
      <c r="M412" s="4" t="s">
        <v>3320</v>
      </c>
      <c r="N412" s="4" t="s">
        <v>2584</v>
      </c>
      <c r="O412" s="89"/>
      <c r="P412" s="25">
        <v>45581</v>
      </c>
      <c r="Q412" s="7" t="s">
        <v>1106</v>
      </c>
      <c r="R412" s="90" t="s">
        <v>3253</v>
      </c>
      <c r="S412" s="6" t="s">
        <v>1795</v>
      </c>
      <c r="T412" s="4" t="s">
        <v>81</v>
      </c>
      <c r="U412" s="4" t="s">
        <v>107</v>
      </c>
      <c r="V412" s="4">
        <v>99</v>
      </c>
      <c r="W412" s="85">
        <v>46311</v>
      </c>
      <c r="X412" s="4" t="s">
        <v>3698</v>
      </c>
      <c r="Y412" s="4">
        <v>543910468</v>
      </c>
      <c r="Z412" s="4" t="s">
        <v>1671</v>
      </c>
      <c r="AA412" s="4" t="s">
        <v>85</v>
      </c>
      <c r="AB412" s="4" t="s">
        <v>4289</v>
      </c>
    </row>
    <row r="413" spans="1:28" ht="14.5" customHeight="1">
      <c r="A413" s="4">
        <v>412</v>
      </c>
      <c r="B413" s="5">
        <v>13642769</v>
      </c>
      <c r="C413" s="5">
        <v>203521525</v>
      </c>
      <c r="D413" s="115" t="s">
        <v>194</v>
      </c>
      <c r="E413" s="4" t="s">
        <v>195</v>
      </c>
      <c r="F413" s="7" t="s">
        <v>74</v>
      </c>
      <c r="G413" s="7" t="s">
        <v>75</v>
      </c>
      <c r="H413" s="7" t="s">
        <v>76</v>
      </c>
      <c r="I413" s="6" t="s">
        <v>1788</v>
      </c>
      <c r="J413" s="7" t="s">
        <v>3</v>
      </c>
      <c r="K413" s="4" t="s">
        <v>10</v>
      </c>
      <c r="L413" s="4" t="s">
        <v>24</v>
      </c>
      <c r="M413" s="4" t="s">
        <v>634</v>
      </c>
      <c r="N413" s="4" t="s">
        <v>2584</v>
      </c>
      <c r="O413" s="89"/>
      <c r="P413" s="25">
        <v>45463</v>
      </c>
      <c r="Q413" s="7" t="s">
        <v>1436</v>
      </c>
      <c r="R413" s="90" t="s">
        <v>3258</v>
      </c>
      <c r="S413" s="6" t="s">
        <v>1795</v>
      </c>
      <c r="T413" s="4" t="s">
        <v>81</v>
      </c>
      <c r="U413" s="4" t="s">
        <v>349</v>
      </c>
      <c r="V413" s="4">
        <v>99</v>
      </c>
      <c r="W413" s="85">
        <v>45828</v>
      </c>
      <c r="X413" s="4" t="s">
        <v>3703</v>
      </c>
      <c r="Y413" s="4">
        <v>564295323</v>
      </c>
      <c r="Z413" s="4" t="s">
        <v>1951</v>
      </c>
      <c r="AA413" s="4" t="s">
        <v>85</v>
      </c>
      <c r="AB413" s="4" t="s">
        <v>4289</v>
      </c>
    </row>
    <row r="414" spans="1:28">
      <c r="A414" s="4">
        <v>413</v>
      </c>
      <c r="B414" s="5">
        <v>12921419</v>
      </c>
      <c r="C414" s="5">
        <v>206073366</v>
      </c>
      <c r="D414" s="115" t="s">
        <v>2893</v>
      </c>
      <c r="E414" s="4" t="s">
        <v>2911</v>
      </c>
      <c r="F414" s="7" t="s">
        <v>74</v>
      </c>
      <c r="G414" s="7" t="s">
        <v>76</v>
      </c>
      <c r="H414" s="7" t="s">
        <v>88</v>
      </c>
      <c r="I414" s="6" t="s">
        <v>1788</v>
      </c>
      <c r="J414" s="7" t="s">
        <v>3</v>
      </c>
      <c r="K414" s="4" t="s">
        <v>10</v>
      </c>
      <c r="L414" s="4" t="s">
        <v>24</v>
      </c>
      <c r="M414" s="4" t="s">
        <v>3320</v>
      </c>
      <c r="N414" s="4" t="s">
        <v>2584</v>
      </c>
      <c r="O414" s="89"/>
      <c r="P414" s="25">
        <v>45922</v>
      </c>
      <c r="Q414" s="7" t="s">
        <v>1106</v>
      </c>
      <c r="R414" s="90" t="s">
        <v>3257</v>
      </c>
      <c r="S414" s="6" t="s">
        <v>1795</v>
      </c>
      <c r="T414" s="4" t="s">
        <v>81</v>
      </c>
      <c r="U414" s="4" t="s">
        <v>107</v>
      </c>
      <c r="V414" s="4">
        <v>99</v>
      </c>
      <c r="W414" s="85">
        <v>45983</v>
      </c>
      <c r="X414" s="4" t="s">
        <v>3703</v>
      </c>
      <c r="Y414" s="4"/>
      <c r="Z414" s="4"/>
      <c r="AA414" s="4" t="s">
        <v>85</v>
      </c>
      <c r="AB414" s="4" t="s">
        <v>4289</v>
      </c>
    </row>
    <row r="415" spans="1:28">
      <c r="A415" s="4">
        <v>414</v>
      </c>
      <c r="B415" s="5">
        <v>53473</v>
      </c>
      <c r="C415" s="5">
        <v>205608629</v>
      </c>
      <c r="D415" s="115" t="s">
        <v>2600</v>
      </c>
      <c r="E415" s="4" t="s">
        <v>2608</v>
      </c>
      <c r="F415" s="7" t="s">
        <v>82</v>
      </c>
      <c r="G415" s="7" t="s">
        <v>88</v>
      </c>
      <c r="H415" s="7" t="s">
        <v>94</v>
      </c>
      <c r="I415" s="6" t="s">
        <v>1790</v>
      </c>
      <c r="J415" s="7" t="s">
        <v>3</v>
      </c>
      <c r="K415" s="4" t="s">
        <v>10</v>
      </c>
      <c r="L415" s="4" t="s">
        <v>22</v>
      </c>
      <c r="M415" s="4" t="s">
        <v>4312</v>
      </c>
      <c r="N415" s="4"/>
      <c r="O415" s="89"/>
      <c r="P415" s="25">
        <v>45845</v>
      </c>
      <c r="Q415" s="7" t="s">
        <v>1106</v>
      </c>
      <c r="R415" s="90" t="s">
        <v>3264</v>
      </c>
      <c r="S415" s="6" t="s">
        <v>1795</v>
      </c>
      <c r="T415" s="4" t="s">
        <v>81</v>
      </c>
      <c r="U415" s="4" t="s">
        <v>132</v>
      </c>
      <c r="V415" s="4">
        <v>99</v>
      </c>
      <c r="W415" s="85">
        <v>45901</v>
      </c>
      <c r="X415" s="4" t="s">
        <v>1216</v>
      </c>
      <c r="Y415" s="4">
        <v>775716581</v>
      </c>
      <c r="Z415" s="4" t="s">
        <v>2622</v>
      </c>
      <c r="AA415" s="4" t="s">
        <v>95</v>
      </c>
      <c r="AB415" s="4" t="s">
        <v>4289</v>
      </c>
    </row>
    <row r="416" spans="1:28">
      <c r="A416" s="4">
        <v>415</v>
      </c>
      <c r="B416" s="5">
        <v>298880</v>
      </c>
      <c r="C416" s="5">
        <v>203521131</v>
      </c>
      <c r="D416" s="115" t="s">
        <v>220</v>
      </c>
      <c r="E416" s="4" t="s">
        <v>221</v>
      </c>
      <c r="F416" s="7" t="s">
        <v>74</v>
      </c>
      <c r="G416" s="7" t="s">
        <v>88</v>
      </c>
      <c r="H416" s="7" t="s">
        <v>94</v>
      </c>
      <c r="I416" s="6" t="s">
        <v>1788</v>
      </c>
      <c r="J416" s="7" t="s">
        <v>3</v>
      </c>
      <c r="K416" s="4" t="s">
        <v>10</v>
      </c>
      <c r="L416" s="4" t="s">
        <v>24</v>
      </c>
      <c r="M416" s="4" t="s">
        <v>4312</v>
      </c>
      <c r="N416" s="4" t="s">
        <v>2584</v>
      </c>
      <c r="O416" s="89"/>
      <c r="P416" s="25">
        <v>45463</v>
      </c>
      <c r="Q416" s="7" t="s">
        <v>1106</v>
      </c>
      <c r="R416" s="90" t="s">
        <v>3253</v>
      </c>
      <c r="S416" s="6" t="s">
        <v>1795</v>
      </c>
      <c r="T416" s="4" t="s">
        <v>81</v>
      </c>
      <c r="U416" s="4" t="s">
        <v>349</v>
      </c>
      <c r="V416" s="4">
        <v>99</v>
      </c>
      <c r="W416" s="85">
        <v>45828</v>
      </c>
      <c r="X416" s="4" t="s">
        <v>3703</v>
      </c>
      <c r="Y416" s="4">
        <v>552336573</v>
      </c>
      <c r="Z416" s="4" t="s">
        <v>1952</v>
      </c>
      <c r="AA416" s="4" t="s">
        <v>85</v>
      </c>
      <c r="AB416" s="4" t="s">
        <v>4289</v>
      </c>
    </row>
    <row r="417" spans="1:28" ht="14.5" customHeight="1">
      <c r="A417" s="4">
        <v>416</v>
      </c>
      <c r="B417" s="5">
        <v>11568637</v>
      </c>
      <c r="C417" s="4">
        <v>206953801</v>
      </c>
      <c r="D417" s="115" t="s">
        <v>4271</v>
      </c>
      <c r="E417" s="4" t="s">
        <v>4263</v>
      </c>
      <c r="F417" s="7" t="s">
        <v>74</v>
      </c>
      <c r="G417" s="7" t="s">
        <v>76</v>
      </c>
      <c r="H417" s="7" t="s">
        <v>88</v>
      </c>
      <c r="I417" s="7" t="s">
        <v>1790</v>
      </c>
      <c r="J417" s="109" t="s">
        <v>3</v>
      </c>
      <c r="K417" s="4" t="s">
        <v>10</v>
      </c>
      <c r="L417" s="113" t="s">
        <v>22</v>
      </c>
      <c r="M417" s="102" t="s">
        <v>4312</v>
      </c>
      <c r="N417" s="4" t="s">
        <v>2584</v>
      </c>
      <c r="O417" s="89"/>
      <c r="P417" s="25">
        <v>46051</v>
      </c>
      <c r="Q417" s="83" t="s">
        <v>1106</v>
      </c>
      <c r="R417" s="4" t="s">
        <v>3255</v>
      </c>
      <c r="S417" s="6" t="s">
        <v>1795</v>
      </c>
      <c r="T417" s="4" t="s">
        <v>81</v>
      </c>
      <c r="U417" s="4"/>
      <c r="V417" s="4">
        <v>99</v>
      </c>
      <c r="W417" s="85">
        <v>46107</v>
      </c>
      <c r="X417" s="4" t="s">
        <v>3290</v>
      </c>
      <c r="Y417" s="4">
        <v>565874548</v>
      </c>
      <c r="Z417" s="4" t="s">
        <v>4267</v>
      </c>
      <c r="AA417" s="4" t="s">
        <v>3016</v>
      </c>
      <c r="AB417" s="4" t="e">
        <v>#N/A</v>
      </c>
    </row>
    <row r="418" spans="1:28" ht="14.5" customHeight="1">
      <c r="A418" s="4">
        <v>417</v>
      </c>
      <c r="B418" s="5">
        <v>15062494</v>
      </c>
      <c r="C418" s="5">
        <v>204246608</v>
      </c>
      <c r="D418" s="115" t="s">
        <v>1718</v>
      </c>
      <c r="E418" s="4" t="s">
        <v>1624</v>
      </c>
      <c r="F418" s="7" t="s">
        <v>82</v>
      </c>
      <c r="G418" s="7" t="s">
        <v>76</v>
      </c>
      <c r="H418" s="7" t="s">
        <v>88</v>
      </c>
      <c r="I418" s="6" t="s">
        <v>1790</v>
      </c>
      <c r="J418" s="7" t="s">
        <v>3</v>
      </c>
      <c r="K418" s="4" t="s">
        <v>10</v>
      </c>
      <c r="L418" s="4" t="s">
        <v>27</v>
      </c>
      <c r="M418" s="4" t="s">
        <v>634</v>
      </c>
      <c r="N418" s="4" t="s">
        <v>2584</v>
      </c>
      <c r="O418" s="89"/>
      <c r="P418" s="25">
        <v>45579</v>
      </c>
      <c r="Q418" s="7" t="s">
        <v>1434</v>
      </c>
      <c r="R418" s="90" t="s">
        <v>3257</v>
      </c>
      <c r="S418" s="6" t="s">
        <v>1795</v>
      </c>
      <c r="T418" s="4" t="s">
        <v>81</v>
      </c>
      <c r="U418" s="4" t="s">
        <v>112</v>
      </c>
      <c r="V418" s="4">
        <v>99</v>
      </c>
      <c r="W418" s="85">
        <v>46309</v>
      </c>
      <c r="X418" s="4" t="s">
        <v>1200</v>
      </c>
      <c r="Y418" s="4">
        <v>558799732</v>
      </c>
      <c r="Z418" s="4" t="s">
        <v>1649</v>
      </c>
      <c r="AA418" s="4" t="s">
        <v>1207</v>
      </c>
      <c r="AB418" s="4" t="s">
        <v>4289</v>
      </c>
    </row>
    <row r="419" spans="1:28">
      <c r="A419" s="4">
        <v>418</v>
      </c>
      <c r="B419" s="5">
        <v>12586903</v>
      </c>
      <c r="C419" s="5">
        <v>204869083</v>
      </c>
      <c r="D419" s="115" t="s">
        <v>2298</v>
      </c>
      <c r="E419" s="4" t="s">
        <v>2299</v>
      </c>
      <c r="F419" s="7" t="s">
        <v>74</v>
      </c>
      <c r="G419" s="7" t="s">
        <v>75</v>
      </c>
      <c r="H419" s="7" t="s">
        <v>76</v>
      </c>
      <c r="I419" s="6" t="s">
        <v>1790</v>
      </c>
      <c r="J419" s="7" t="s">
        <v>3</v>
      </c>
      <c r="K419" s="4" t="s">
        <v>10</v>
      </c>
      <c r="L419" s="4" t="s">
        <v>27</v>
      </c>
      <c r="M419" s="4" t="s">
        <v>634</v>
      </c>
      <c r="N419" s="4" t="s">
        <v>2584</v>
      </c>
      <c r="O419" s="89"/>
      <c r="P419" s="25">
        <v>45691</v>
      </c>
      <c r="Q419" s="7" t="s">
        <v>1434</v>
      </c>
      <c r="R419" s="90" t="s">
        <v>3258</v>
      </c>
      <c r="S419" s="6" t="s">
        <v>1795</v>
      </c>
      <c r="T419" s="4" t="s">
        <v>92</v>
      </c>
      <c r="U419" s="4" t="s">
        <v>103</v>
      </c>
      <c r="V419" s="4">
        <v>99</v>
      </c>
      <c r="W419" s="85">
        <v>45747</v>
      </c>
      <c r="X419" s="4" t="s">
        <v>3688</v>
      </c>
      <c r="Y419" s="4" t="s">
        <v>2363</v>
      </c>
      <c r="Z419" s="4" t="s">
        <v>2385</v>
      </c>
      <c r="AA419" s="4" t="s">
        <v>1196</v>
      </c>
      <c r="AB419" s="4" t="s">
        <v>4289</v>
      </c>
    </row>
    <row r="420" spans="1:28" ht="14.5" customHeight="1">
      <c r="A420" s="4">
        <v>419</v>
      </c>
      <c r="B420" s="5">
        <v>13655451</v>
      </c>
      <c r="C420" s="5">
        <v>204241393</v>
      </c>
      <c r="D420" s="115" t="s">
        <v>1714</v>
      </c>
      <c r="E420" s="4" t="s">
        <v>1621</v>
      </c>
      <c r="F420" s="7" t="s">
        <v>74</v>
      </c>
      <c r="G420" s="7" t="s">
        <v>76</v>
      </c>
      <c r="H420" s="7" t="s">
        <v>88</v>
      </c>
      <c r="I420" s="6" t="s">
        <v>1790</v>
      </c>
      <c r="J420" s="7" t="s">
        <v>3</v>
      </c>
      <c r="K420" s="4" t="s">
        <v>10</v>
      </c>
      <c r="L420" s="4" t="s">
        <v>27</v>
      </c>
      <c r="M420" s="4" t="s">
        <v>4312</v>
      </c>
      <c r="N420" s="4" t="s">
        <v>2584</v>
      </c>
      <c r="O420" s="89"/>
      <c r="P420" s="25">
        <v>45579</v>
      </c>
      <c r="Q420" s="7" t="s">
        <v>1434</v>
      </c>
      <c r="R420" s="90" t="s">
        <v>3254</v>
      </c>
      <c r="S420" s="6" t="s">
        <v>1795</v>
      </c>
      <c r="T420" s="4" t="s">
        <v>92</v>
      </c>
      <c r="U420" s="4" t="s">
        <v>132</v>
      </c>
      <c r="V420" s="4">
        <v>99</v>
      </c>
      <c r="W420" s="85">
        <v>46309</v>
      </c>
      <c r="X420" s="4" t="s">
        <v>3698</v>
      </c>
      <c r="Y420" s="4">
        <v>556321417</v>
      </c>
      <c r="Z420" s="4" t="s">
        <v>1645</v>
      </c>
      <c r="AA420" s="4" t="s">
        <v>85</v>
      </c>
      <c r="AB420" s="4" t="s">
        <v>4289</v>
      </c>
    </row>
    <row r="421" spans="1:28">
      <c r="A421" s="4">
        <v>420</v>
      </c>
      <c r="B421" s="5">
        <v>12729612</v>
      </c>
      <c r="C421" s="5">
        <v>204246616</v>
      </c>
      <c r="D421" s="115" t="s">
        <v>1724</v>
      </c>
      <c r="E421" s="4" t="s">
        <v>1630</v>
      </c>
      <c r="F421" s="7" t="s">
        <v>82</v>
      </c>
      <c r="G421" s="7" t="s">
        <v>94</v>
      </c>
      <c r="H421" s="7" t="s">
        <v>89</v>
      </c>
      <c r="I421" s="6" t="s">
        <v>1790</v>
      </c>
      <c r="J421" s="7" t="s">
        <v>3</v>
      </c>
      <c r="K421" s="4" t="s">
        <v>10</v>
      </c>
      <c r="L421" s="4" t="s">
        <v>27</v>
      </c>
      <c r="M421" s="4" t="s">
        <v>4312</v>
      </c>
      <c r="N421" s="4" t="s">
        <v>2584</v>
      </c>
      <c r="O421" s="89"/>
      <c r="P421" s="25">
        <v>45579</v>
      </c>
      <c r="Q421" s="7" t="s">
        <v>1106</v>
      </c>
      <c r="R421" s="90" t="s">
        <v>3262</v>
      </c>
      <c r="S421" s="6" t="s">
        <v>1795</v>
      </c>
      <c r="T421" s="4" t="s">
        <v>92</v>
      </c>
      <c r="U421" s="4" t="s">
        <v>112</v>
      </c>
      <c r="V421" s="4">
        <v>99</v>
      </c>
      <c r="W421" s="85">
        <v>46309</v>
      </c>
      <c r="X421" s="4" t="s">
        <v>3698</v>
      </c>
      <c r="Y421" s="4">
        <v>581078997</v>
      </c>
      <c r="Z421" s="4" t="s">
        <v>1654</v>
      </c>
      <c r="AA421" s="4" t="s">
        <v>85</v>
      </c>
      <c r="AB421" s="4" t="s">
        <v>4289</v>
      </c>
    </row>
    <row r="422" spans="1:28" ht="14.5" customHeight="1">
      <c r="A422" s="4">
        <v>421</v>
      </c>
      <c r="B422" s="5">
        <v>12805181</v>
      </c>
      <c r="C422" s="5">
        <v>204246611</v>
      </c>
      <c r="D422" s="115" t="s">
        <v>1716</v>
      </c>
      <c r="E422" s="4" t="s">
        <v>1622</v>
      </c>
      <c r="F422" s="7" t="s">
        <v>74</v>
      </c>
      <c r="G422" s="7" t="s">
        <v>76</v>
      </c>
      <c r="H422" s="7" t="s">
        <v>88</v>
      </c>
      <c r="I422" s="6" t="s">
        <v>1790</v>
      </c>
      <c r="J422" s="7" t="s">
        <v>3</v>
      </c>
      <c r="K422" s="4" t="s">
        <v>10</v>
      </c>
      <c r="L422" s="4" t="s">
        <v>27</v>
      </c>
      <c r="M422" s="4" t="s">
        <v>634</v>
      </c>
      <c r="N422" s="4" t="s">
        <v>2584</v>
      </c>
      <c r="O422" s="89"/>
      <c r="P422" s="25">
        <v>45579</v>
      </c>
      <c r="Q422" s="7" t="s">
        <v>1434</v>
      </c>
      <c r="R422" s="90" t="s">
        <v>3264</v>
      </c>
      <c r="S422" s="6" t="s">
        <v>1795</v>
      </c>
      <c r="T422" s="4" t="s">
        <v>92</v>
      </c>
      <c r="U422" s="4" t="s">
        <v>103</v>
      </c>
      <c r="V422" s="4">
        <v>99</v>
      </c>
      <c r="W422" s="85">
        <v>46309</v>
      </c>
      <c r="X422" s="4" t="s">
        <v>3703</v>
      </c>
      <c r="Y422" s="4">
        <v>557724296</v>
      </c>
      <c r="Z422" s="4" t="s">
        <v>1647</v>
      </c>
      <c r="AA422" s="4" t="s">
        <v>85</v>
      </c>
      <c r="AB422" s="4" t="s">
        <v>4289</v>
      </c>
    </row>
    <row r="423" spans="1:28" ht="14.5" customHeight="1">
      <c r="A423" s="4">
        <v>422</v>
      </c>
      <c r="B423" s="5">
        <v>11067225</v>
      </c>
      <c r="C423" s="5">
        <v>206004604</v>
      </c>
      <c r="D423" s="115" t="s">
        <v>2822</v>
      </c>
      <c r="E423" s="4" t="s">
        <v>2823</v>
      </c>
      <c r="F423" s="7" t="s">
        <v>74</v>
      </c>
      <c r="G423" s="7" t="s">
        <v>76</v>
      </c>
      <c r="H423" s="7" t="s">
        <v>88</v>
      </c>
      <c r="I423" s="6" t="s">
        <v>1788</v>
      </c>
      <c r="J423" s="7" t="s">
        <v>3</v>
      </c>
      <c r="K423" s="4" t="s">
        <v>10</v>
      </c>
      <c r="L423" s="4" t="s">
        <v>24</v>
      </c>
      <c r="M423" s="4" t="s">
        <v>634</v>
      </c>
      <c r="N423" s="4"/>
      <c r="O423" s="89"/>
      <c r="P423" s="25">
        <v>45915</v>
      </c>
      <c r="Q423" s="7" t="s">
        <v>161</v>
      </c>
      <c r="R423" s="90" t="s">
        <v>3260</v>
      </c>
      <c r="S423" s="6" t="s">
        <v>1795</v>
      </c>
      <c r="T423" s="4" t="s">
        <v>92</v>
      </c>
      <c r="U423" s="4" t="s">
        <v>107</v>
      </c>
      <c r="V423" s="4">
        <v>99</v>
      </c>
      <c r="W423" s="85"/>
      <c r="X423" s="4"/>
      <c r="Y423" s="4"/>
      <c r="Z423" s="4"/>
      <c r="AA423" s="4" t="s">
        <v>95</v>
      </c>
      <c r="AB423" s="4" t="s">
        <v>4289</v>
      </c>
    </row>
    <row r="424" spans="1:28">
      <c r="A424" s="4">
        <v>423</v>
      </c>
      <c r="B424" s="5">
        <v>14158718</v>
      </c>
      <c r="C424" s="5">
        <v>206846703</v>
      </c>
      <c r="D424" s="115" t="s">
        <v>3309</v>
      </c>
      <c r="E424" s="5" t="s">
        <v>3278</v>
      </c>
      <c r="F424" s="7" t="s">
        <v>74</v>
      </c>
      <c r="G424" s="7" t="s">
        <v>75</v>
      </c>
      <c r="H424" s="7" t="s">
        <v>76</v>
      </c>
      <c r="I424" s="7" t="s">
        <v>1789</v>
      </c>
      <c r="J424" s="5" t="s">
        <v>3</v>
      </c>
      <c r="K424" s="5" t="s">
        <v>10</v>
      </c>
      <c r="L424" s="5" t="s">
        <v>22</v>
      </c>
      <c r="M424" s="5" t="s">
        <v>3320</v>
      </c>
      <c r="N424" s="5" t="s">
        <v>3289</v>
      </c>
      <c r="O424" s="89"/>
      <c r="P424" s="25">
        <v>46013</v>
      </c>
      <c r="Q424" s="5" t="s">
        <v>1106</v>
      </c>
      <c r="R424" s="4" t="s">
        <v>3264</v>
      </c>
      <c r="S424" s="5" t="s">
        <v>1795</v>
      </c>
      <c r="T424" s="5" t="s">
        <v>81</v>
      </c>
      <c r="U424" s="5"/>
      <c r="V424" s="5">
        <v>99</v>
      </c>
      <c r="W424" s="91">
        <v>45648</v>
      </c>
      <c r="X424" s="5" t="s">
        <v>3290</v>
      </c>
      <c r="Y424" s="5">
        <v>564896564</v>
      </c>
      <c r="Z424" s="5" t="s">
        <v>3297</v>
      </c>
      <c r="AA424" s="4" t="s">
        <v>95</v>
      </c>
      <c r="AB424" s="4" t="s">
        <v>4289</v>
      </c>
    </row>
    <row r="425" spans="1:28" ht="14.5" customHeight="1">
      <c r="A425" s="4">
        <v>424</v>
      </c>
      <c r="B425" s="5">
        <v>13039344</v>
      </c>
      <c r="C425" s="5">
        <v>204882795</v>
      </c>
      <c r="D425" s="115" t="s">
        <v>2300</v>
      </c>
      <c r="E425" s="4" t="s">
        <v>2301</v>
      </c>
      <c r="F425" s="7" t="s">
        <v>74</v>
      </c>
      <c r="G425" s="7" t="s">
        <v>88</v>
      </c>
      <c r="H425" s="7" t="s">
        <v>94</v>
      </c>
      <c r="I425" s="6" t="s">
        <v>1790</v>
      </c>
      <c r="J425" s="7" t="s">
        <v>3</v>
      </c>
      <c r="K425" s="4" t="s">
        <v>10</v>
      </c>
      <c r="L425" s="4" t="s">
        <v>22</v>
      </c>
      <c r="M425" s="4" t="s">
        <v>4312</v>
      </c>
      <c r="N425" s="4" t="s">
        <v>2584</v>
      </c>
      <c r="O425" s="89"/>
      <c r="P425" s="25">
        <v>45826</v>
      </c>
      <c r="Q425" s="7" t="s">
        <v>1106</v>
      </c>
      <c r="R425" s="90" t="s">
        <v>3257</v>
      </c>
      <c r="S425" s="6" t="s">
        <v>1795</v>
      </c>
      <c r="T425" s="4" t="s">
        <v>81</v>
      </c>
      <c r="U425" s="4" t="s">
        <v>112</v>
      </c>
      <c r="V425" s="4">
        <v>99</v>
      </c>
      <c r="W425" s="85">
        <v>45882</v>
      </c>
      <c r="X425" s="4" t="s">
        <v>1216</v>
      </c>
      <c r="Y425" s="4"/>
      <c r="Z425" s="4"/>
      <c r="AA425" s="4" t="s">
        <v>1203</v>
      </c>
      <c r="AB425" s="4" t="s">
        <v>4290</v>
      </c>
    </row>
    <row r="426" spans="1:28" ht="14.5" customHeight="1">
      <c r="A426" s="4">
        <v>425</v>
      </c>
      <c r="B426" s="5">
        <v>98397</v>
      </c>
      <c r="C426" s="5">
        <v>203737144</v>
      </c>
      <c r="D426" s="115" t="s">
        <v>325</v>
      </c>
      <c r="E426" s="4" t="s">
        <v>326</v>
      </c>
      <c r="F426" s="7" t="s">
        <v>74</v>
      </c>
      <c r="G426" s="7" t="s">
        <v>89</v>
      </c>
      <c r="H426" s="7" t="s">
        <v>90</v>
      </c>
      <c r="I426" s="6" t="s">
        <v>1788</v>
      </c>
      <c r="J426" s="7" t="s">
        <v>3</v>
      </c>
      <c r="K426" s="4" t="s">
        <v>10</v>
      </c>
      <c r="L426" s="4" t="s">
        <v>24</v>
      </c>
      <c r="M426" s="4" t="s">
        <v>4312</v>
      </c>
      <c r="N426" s="4" t="s">
        <v>2584</v>
      </c>
      <c r="O426" s="89"/>
      <c r="P426" s="25">
        <v>45502</v>
      </c>
      <c r="Q426" s="7" t="s">
        <v>1106</v>
      </c>
      <c r="R426" s="90" t="s">
        <v>3257</v>
      </c>
      <c r="S426" s="6" t="s">
        <v>1795</v>
      </c>
      <c r="T426" s="4" t="s">
        <v>81</v>
      </c>
      <c r="U426" s="4" t="s">
        <v>103</v>
      </c>
      <c r="V426" s="4">
        <v>99</v>
      </c>
      <c r="W426" s="85">
        <v>46232</v>
      </c>
      <c r="X426" s="4" t="s">
        <v>3698</v>
      </c>
      <c r="Y426" s="4">
        <v>557708825</v>
      </c>
      <c r="Z426" s="4" t="s">
        <v>1953</v>
      </c>
      <c r="AA426" s="4" t="s">
        <v>95</v>
      </c>
      <c r="AB426" s="4" t="s">
        <v>4289</v>
      </c>
    </row>
    <row r="427" spans="1:28" ht="14.5" customHeight="1">
      <c r="A427" s="4">
        <v>426</v>
      </c>
      <c r="B427" s="5">
        <v>12396573</v>
      </c>
      <c r="C427" s="5">
        <v>102434104</v>
      </c>
      <c r="D427" s="115" t="s">
        <v>247</v>
      </c>
      <c r="E427" s="4" t="s">
        <v>248</v>
      </c>
      <c r="F427" s="7" t="s">
        <v>74</v>
      </c>
      <c r="G427" s="7" t="s">
        <v>75</v>
      </c>
      <c r="H427" s="7" t="s">
        <v>76</v>
      </c>
      <c r="I427" s="6" t="s">
        <v>244</v>
      </c>
      <c r="J427" s="7" t="s">
        <v>3</v>
      </c>
      <c r="K427" s="4" t="s">
        <v>10</v>
      </c>
      <c r="L427" s="4" t="s">
        <v>21</v>
      </c>
      <c r="M427" s="4" t="s">
        <v>3320</v>
      </c>
      <c r="N427" s="4" t="s">
        <v>2583</v>
      </c>
      <c r="O427" s="89"/>
      <c r="P427" s="25">
        <v>42883</v>
      </c>
      <c r="Q427" s="7" t="s">
        <v>1435</v>
      </c>
      <c r="R427" s="90" t="s">
        <v>3258</v>
      </c>
      <c r="S427" s="6" t="s">
        <v>1795</v>
      </c>
      <c r="T427" s="4" t="s">
        <v>81</v>
      </c>
      <c r="U427" s="4" t="s">
        <v>107</v>
      </c>
      <c r="V427" s="4">
        <v>3</v>
      </c>
      <c r="W427" s="85"/>
      <c r="X427" s="4" t="s">
        <v>3473</v>
      </c>
      <c r="Y427" s="4">
        <v>0</v>
      </c>
      <c r="Z427" s="4" t="e">
        <v>#N/A</v>
      </c>
      <c r="AA427" s="4" t="s">
        <v>1194</v>
      </c>
      <c r="AB427" s="4" t="s">
        <v>4289</v>
      </c>
    </row>
    <row r="428" spans="1:28" ht="14.5" customHeight="1">
      <c r="A428" s="4">
        <v>427</v>
      </c>
      <c r="B428" s="5">
        <v>13143864</v>
      </c>
      <c r="C428" s="5">
        <v>204967153</v>
      </c>
      <c r="D428" s="115" t="s">
        <v>2462</v>
      </c>
      <c r="E428" s="4" t="s">
        <v>2463</v>
      </c>
      <c r="F428" s="7" t="s">
        <v>82</v>
      </c>
      <c r="G428" s="7" t="s">
        <v>89</v>
      </c>
      <c r="H428" s="7" t="s">
        <v>90</v>
      </c>
      <c r="I428" s="6" t="s">
        <v>1790</v>
      </c>
      <c r="J428" s="7" t="s">
        <v>3</v>
      </c>
      <c r="K428" s="4" t="s">
        <v>10</v>
      </c>
      <c r="L428" s="4" t="s">
        <v>22</v>
      </c>
      <c r="M428" s="4" t="s">
        <v>4312</v>
      </c>
      <c r="N428" s="4" t="s">
        <v>2584</v>
      </c>
      <c r="O428" s="89"/>
      <c r="P428" s="25">
        <v>45826</v>
      </c>
      <c r="Q428" s="7" t="s">
        <v>1106</v>
      </c>
      <c r="R428" s="90" t="s">
        <v>2586</v>
      </c>
      <c r="S428" s="6" t="s">
        <v>1795</v>
      </c>
      <c r="T428" s="4" t="s">
        <v>81</v>
      </c>
      <c r="U428" s="4" t="s">
        <v>112</v>
      </c>
      <c r="V428" s="4">
        <v>99</v>
      </c>
      <c r="W428" s="85">
        <v>45882</v>
      </c>
      <c r="X428" s="4" t="s">
        <v>1216</v>
      </c>
      <c r="Y428" s="4"/>
      <c r="Z428" s="4"/>
      <c r="AA428" s="4" t="s">
        <v>85</v>
      </c>
      <c r="AB428" s="4" t="s">
        <v>4290</v>
      </c>
    </row>
    <row r="429" spans="1:28">
      <c r="A429" s="4">
        <v>428</v>
      </c>
      <c r="B429" s="5">
        <v>14215662</v>
      </c>
      <c r="C429" s="5">
        <v>206015634</v>
      </c>
      <c r="D429" s="115" t="s">
        <v>2824</v>
      </c>
      <c r="E429" s="4" t="s">
        <v>2825</v>
      </c>
      <c r="F429" s="7" t="s">
        <v>74</v>
      </c>
      <c r="G429" s="7" t="s">
        <v>75</v>
      </c>
      <c r="H429" s="7" t="s">
        <v>76</v>
      </c>
      <c r="I429" s="6" t="s">
        <v>1788</v>
      </c>
      <c r="J429" s="7" t="s">
        <v>3</v>
      </c>
      <c r="K429" s="4" t="s">
        <v>10</v>
      </c>
      <c r="L429" s="4" t="s">
        <v>24</v>
      </c>
      <c r="M429" s="4" t="s">
        <v>3320</v>
      </c>
      <c r="N429" s="4"/>
      <c r="O429" s="89"/>
      <c r="P429" s="25">
        <v>45915</v>
      </c>
      <c r="Q429" s="7" t="s">
        <v>1436</v>
      </c>
      <c r="R429" s="90" t="s">
        <v>3255</v>
      </c>
      <c r="S429" s="6" t="s">
        <v>1795</v>
      </c>
      <c r="T429" s="4" t="s">
        <v>81</v>
      </c>
      <c r="U429" s="4" t="s">
        <v>112</v>
      </c>
      <c r="V429" s="4">
        <v>99</v>
      </c>
      <c r="W429" s="85"/>
      <c r="X429" s="4"/>
      <c r="Y429" s="4"/>
      <c r="Z429" s="4"/>
      <c r="AA429" s="4" t="s">
        <v>95</v>
      </c>
      <c r="AB429" s="4" t="s">
        <v>4290</v>
      </c>
    </row>
    <row r="430" spans="1:28">
      <c r="A430" s="4">
        <v>429</v>
      </c>
      <c r="B430" s="5">
        <v>12875689</v>
      </c>
      <c r="C430" s="5">
        <v>203736757</v>
      </c>
      <c r="D430" s="115" t="s">
        <v>277</v>
      </c>
      <c r="E430" s="4" t="s">
        <v>278</v>
      </c>
      <c r="F430" s="7" t="s">
        <v>74</v>
      </c>
      <c r="G430" s="7" t="s">
        <v>75</v>
      </c>
      <c r="H430" s="7" t="s">
        <v>76</v>
      </c>
      <c r="I430" s="6" t="s">
        <v>1790</v>
      </c>
      <c r="J430" s="7" t="s">
        <v>3</v>
      </c>
      <c r="K430" s="4" t="s">
        <v>10</v>
      </c>
      <c r="L430" s="4" t="s">
        <v>20</v>
      </c>
      <c r="M430" s="4" t="s">
        <v>3320</v>
      </c>
      <c r="N430" s="4" t="s">
        <v>2584</v>
      </c>
      <c r="O430" s="89"/>
      <c r="P430" s="25">
        <v>45502</v>
      </c>
      <c r="Q430" s="7" t="s">
        <v>1106</v>
      </c>
      <c r="R430" s="90" t="s">
        <v>3252</v>
      </c>
      <c r="S430" s="6" t="s">
        <v>1795</v>
      </c>
      <c r="T430" s="4" t="s">
        <v>81</v>
      </c>
      <c r="U430" s="4" t="s">
        <v>3263</v>
      </c>
      <c r="V430" s="4">
        <v>99</v>
      </c>
      <c r="W430" s="85">
        <v>46232</v>
      </c>
      <c r="X430" s="4" t="s">
        <v>3474</v>
      </c>
      <c r="Y430" s="4">
        <v>501932464</v>
      </c>
      <c r="Z430" s="4" t="s">
        <v>1954</v>
      </c>
      <c r="AA430" s="4" t="s">
        <v>1211</v>
      </c>
      <c r="AB430" s="4" t="s">
        <v>4289</v>
      </c>
    </row>
    <row r="431" spans="1:28">
      <c r="A431" s="4">
        <v>430</v>
      </c>
      <c r="B431" s="95">
        <v>15244837</v>
      </c>
      <c r="C431" s="5">
        <v>206874057</v>
      </c>
      <c r="D431" s="115" t="s">
        <v>3419</v>
      </c>
      <c r="E431" s="4" t="s">
        <v>3373</v>
      </c>
      <c r="F431" s="7" t="s">
        <v>82</v>
      </c>
      <c r="G431" s="7" t="s">
        <v>87</v>
      </c>
      <c r="H431" s="7" t="s">
        <v>75</v>
      </c>
      <c r="I431" s="7" t="s">
        <v>1789</v>
      </c>
      <c r="J431" s="6" t="s">
        <v>3</v>
      </c>
      <c r="K431" s="6" t="s">
        <v>10</v>
      </c>
      <c r="L431" s="4" t="s">
        <v>22</v>
      </c>
      <c r="M431" s="4" t="s">
        <v>3320</v>
      </c>
      <c r="N431" s="4" t="s">
        <v>2584</v>
      </c>
      <c r="O431" s="89"/>
      <c r="P431" s="25">
        <v>46020</v>
      </c>
      <c r="Q431" s="7" t="s">
        <v>1106</v>
      </c>
      <c r="R431" s="4" t="s">
        <v>3264</v>
      </c>
      <c r="S431" s="6" t="s">
        <v>3478</v>
      </c>
      <c r="T431" s="4" t="s">
        <v>81</v>
      </c>
      <c r="U431" s="4"/>
      <c r="V431" s="4">
        <v>99</v>
      </c>
      <c r="W431" s="4"/>
      <c r="X431" s="4" t="s">
        <v>3290</v>
      </c>
      <c r="Y431" s="95">
        <v>521860014</v>
      </c>
      <c r="Z431" s="4" t="s">
        <v>3449</v>
      </c>
      <c r="AA431" s="4" t="s">
        <v>3016</v>
      </c>
      <c r="AB431" s="4" t="s">
        <v>4289</v>
      </c>
    </row>
    <row r="432" spans="1:28">
      <c r="A432" s="4">
        <v>431</v>
      </c>
      <c r="B432" s="95">
        <v>14537467</v>
      </c>
      <c r="C432" s="5">
        <v>206874041</v>
      </c>
      <c r="D432" s="115" t="s">
        <v>3420</v>
      </c>
      <c r="E432" s="4" t="s">
        <v>3374</v>
      </c>
      <c r="F432" s="7" t="s">
        <v>74</v>
      </c>
      <c r="G432" s="7" t="s">
        <v>76</v>
      </c>
      <c r="H432" s="7" t="s">
        <v>88</v>
      </c>
      <c r="I432" s="7" t="s">
        <v>1789</v>
      </c>
      <c r="J432" s="6" t="s">
        <v>3</v>
      </c>
      <c r="K432" s="6" t="s">
        <v>10</v>
      </c>
      <c r="L432" s="4" t="s">
        <v>22</v>
      </c>
      <c r="M432" s="4" t="s">
        <v>3320</v>
      </c>
      <c r="N432" s="4" t="s">
        <v>2584</v>
      </c>
      <c r="O432" s="89"/>
      <c r="P432" s="25">
        <v>46020</v>
      </c>
      <c r="Q432" s="7" t="s">
        <v>1106</v>
      </c>
      <c r="R432" s="90" t="s">
        <v>3256</v>
      </c>
      <c r="S432" s="6" t="s">
        <v>3478</v>
      </c>
      <c r="T432" s="4" t="s">
        <v>81</v>
      </c>
      <c r="U432" s="4"/>
      <c r="V432" s="4">
        <v>99</v>
      </c>
      <c r="W432" s="4"/>
      <c r="X432" s="4" t="s">
        <v>3290</v>
      </c>
      <c r="Y432" s="95">
        <v>569250131</v>
      </c>
      <c r="Z432" s="4" t="s">
        <v>3450</v>
      </c>
      <c r="AA432" s="4" t="s">
        <v>3016</v>
      </c>
      <c r="AB432" s="4" t="s">
        <v>4289</v>
      </c>
    </row>
    <row r="433" spans="1:28">
      <c r="A433" s="4">
        <v>432</v>
      </c>
      <c r="B433" s="5">
        <v>11672443</v>
      </c>
      <c r="C433" s="5">
        <v>203736776</v>
      </c>
      <c r="D433" s="115" t="s">
        <v>279</v>
      </c>
      <c r="E433" s="4" t="s">
        <v>280</v>
      </c>
      <c r="F433" s="7" t="s">
        <v>82</v>
      </c>
      <c r="G433" s="7" t="s">
        <v>75</v>
      </c>
      <c r="H433" s="7" t="s">
        <v>76</v>
      </c>
      <c r="I433" s="6" t="s">
        <v>1790</v>
      </c>
      <c r="J433" s="7" t="s">
        <v>3</v>
      </c>
      <c r="K433" s="4" t="s">
        <v>10</v>
      </c>
      <c r="L433" s="4" t="s">
        <v>20</v>
      </c>
      <c r="M433" s="4" t="s">
        <v>4312</v>
      </c>
      <c r="N433" s="4" t="s">
        <v>2584</v>
      </c>
      <c r="O433" s="89"/>
      <c r="P433" s="25">
        <v>45502</v>
      </c>
      <c r="Q433" s="7" t="s">
        <v>1106</v>
      </c>
      <c r="R433" s="90" t="s">
        <v>3260</v>
      </c>
      <c r="S433" s="6" t="s">
        <v>1795</v>
      </c>
      <c r="T433" s="4" t="s">
        <v>81</v>
      </c>
      <c r="U433" s="4" t="s">
        <v>107</v>
      </c>
      <c r="V433" s="4">
        <v>99</v>
      </c>
      <c r="W433" s="85">
        <v>46232</v>
      </c>
      <c r="X433" s="4" t="s">
        <v>3474</v>
      </c>
      <c r="Y433" s="4">
        <v>568989317</v>
      </c>
      <c r="Z433" s="4" t="s">
        <v>1955</v>
      </c>
      <c r="AA433" s="4" t="s">
        <v>1202</v>
      </c>
      <c r="AB433" s="4" t="s">
        <v>4289</v>
      </c>
    </row>
    <row r="434" spans="1:28">
      <c r="A434" s="4">
        <v>433</v>
      </c>
      <c r="B434" s="5">
        <v>11746877</v>
      </c>
      <c r="C434" s="5">
        <v>204868850</v>
      </c>
      <c r="D434" s="115" t="s">
        <v>2303</v>
      </c>
      <c r="E434" s="4" t="s">
        <v>2304</v>
      </c>
      <c r="F434" s="7" t="s">
        <v>82</v>
      </c>
      <c r="G434" s="7" t="s">
        <v>88</v>
      </c>
      <c r="H434" s="7" t="s">
        <v>94</v>
      </c>
      <c r="I434" s="6" t="s">
        <v>1790</v>
      </c>
      <c r="J434" s="7" t="s">
        <v>3</v>
      </c>
      <c r="K434" s="4" t="s">
        <v>10</v>
      </c>
      <c r="L434" s="4" t="s">
        <v>27</v>
      </c>
      <c r="M434" s="4" t="s">
        <v>634</v>
      </c>
      <c r="N434" s="4" t="s">
        <v>2584</v>
      </c>
      <c r="O434" s="89"/>
      <c r="P434" s="25">
        <v>45691</v>
      </c>
      <c r="Q434" s="7" t="s">
        <v>1434</v>
      </c>
      <c r="R434" s="90" t="s">
        <v>3252</v>
      </c>
      <c r="S434" s="6" t="s">
        <v>1795</v>
      </c>
      <c r="T434" s="4" t="s">
        <v>81</v>
      </c>
      <c r="U434" s="4" t="s">
        <v>112</v>
      </c>
      <c r="V434" s="4">
        <v>99</v>
      </c>
      <c r="W434" s="85">
        <v>45747</v>
      </c>
      <c r="X434" s="4" t="s">
        <v>3698</v>
      </c>
      <c r="Y434" s="4" t="s">
        <v>2364</v>
      </c>
      <c r="Z434" s="4" t="s">
        <v>2387</v>
      </c>
      <c r="AA434" s="4" t="s">
        <v>1196</v>
      </c>
      <c r="AB434" s="4" t="s">
        <v>4289</v>
      </c>
    </row>
    <row r="435" spans="1:28">
      <c r="A435" s="4">
        <v>434</v>
      </c>
      <c r="B435" s="5">
        <v>14529894</v>
      </c>
      <c r="C435" s="5">
        <v>204246610</v>
      </c>
      <c r="D435" s="115" t="s">
        <v>1729</v>
      </c>
      <c r="E435" s="4" t="s">
        <v>1635</v>
      </c>
      <c r="F435" s="7" t="s">
        <v>82</v>
      </c>
      <c r="G435" s="7" t="s">
        <v>76</v>
      </c>
      <c r="H435" s="7" t="s">
        <v>88</v>
      </c>
      <c r="I435" s="6" t="s">
        <v>1790</v>
      </c>
      <c r="J435" s="7" t="s">
        <v>7</v>
      </c>
      <c r="K435" s="4" t="s">
        <v>10</v>
      </c>
      <c r="L435" s="4" t="s">
        <v>27</v>
      </c>
      <c r="M435" s="4" t="s">
        <v>4315</v>
      </c>
      <c r="N435" s="4" t="s">
        <v>2584</v>
      </c>
      <c r="O435" s="89"/>
      <c r="P435" s="25">
        <v>45579</v>
      </c>
      <c r="Q435" s="7" t="s">
        <v>7</v>
      </c>
      <c r="R435" s="90" t="s">
        <v>3253</v>
      </c>
      <c r="S435" s="6" t="s">
        <v>1795</v>
      </c>
      <c r="T435" s="4" t="s">
        <v>81</v>
      </c>
      <c r="U435" s="4" t="s">
        <v>107</v>
      </c>
      <c r="V435" s="4">
        <v>99</v>
      </c>
      <c r="W435" s="85">
        <v>46309</v>
      </c>
      <c r="X435" s="4" t="s">
        <v>3694</v>
      </c>
      <c r="Y435" s="4">
        <v>567253078</v>
      </c>
      <c r="Z435" s="4" t="s">
        <v>1659</v>
      </c>
      <c r="AA435" s="4" t="s">
        <v>85</v>
      </c>
      <c r="AB435" s="4" t="s">
        <v>4289</v>
      </c>
    </row>
    <row r="436" spans="1:28">
      <c r="A436" s="4">
        <v>435</v>
      </c>
      <c r="B436" s="5">
        <v>14521308</v>
      </c>
      <c r="C436" s="5">
        <v>109468376</v>
      </c>
      <c r="D436" s="115" t="s">
        <v>150</v>
      </c>
      <c r="E436" s="4" t="s">
        <v>151</v>
      </c>
      <c r="F436" s="7" t="s">
        <v>74</v>
      </c>
      <c r="G436" s="7" t="s">
        <v>94</v>
      </c>
      <c r="H436" s="7" t="s">
        <v>89</v>
      </c>
      <c r="I436" s="6" t="s">
        <v>244</v>
      </c>
      <c r="J436" s="7" t="s">
        <v>3</v>
      </c>
      <c r="K436" s="4" t="s">
        <v>10</v>
      </c>
      <c r="L436" s="4" t="s">
        <v>21</v>
      </c>
      <c r="M436" s="4" t="s">
        <v>4312</v>
      </c>
      <c r="N436" s="4" t="s">
        <v>2583</v>
      </c>
      <c r="O436" s="89"/>
      <c r="P436" s="25">
        <v>44812</v>
      </c>
      <c r="Q436" s="7" t="s">
        <v>1435</v>
      </c>
      <c r="R436" s="90" t="s">
        <v>3253</v>
      </c>
      <c r="S436" s="6" t="s">
        <v>1795</v>
      </c>
      <c r="T436" s="4" t="s">
        <v>81</v>
      </c>
      <c r="U436" s="4" t="s">
        <v>112</v>
      </c>
      <c r="V436" s="4">
        <v>3</v>
      </c>
      <c r="W436" s="85"/>
      <c r="X436" s="4" t="s">
        <v>3688</v>
      </c>
      <c r="Y436" s="4">
        <v>0</v>
      </c>
      <c r="Z436" s="4" t="e">
        <v>#N/A</v>
      </c>
      <c r="AA436" s="4" t="s">
        <v>1217</v>
      </c>
      <c r="AB436" s="4" t="s">
        <v>4289</v>
      </c>
    </row>
    <row r="437" spans="1:28">
      <c r="A437" s="4">
        <v>436</v>
      </c>
      <c r="B437" s="5">
        <v>13429934</v>
      </c>
      <c r="C437" s="5">
        <v>205986151</v>
      </c>
      <c r="D437" s="115" t="s">
        <v>2827</v>
      </c>
      <c r="E437" s="4" t="s">
        <v>2828</v>
      </c>
      <c r="F437" s="7" t="s">
        <v>82</v>
      </c>
      <c r="G437" s="7" t="s">
        <v>75</v>
      </c>
      <c r="H437" s="7" t="s">
        <v>76</v>
      </c>
      <c r="I437" s="6" t="s">
        <v>1790</v>
      </c>
      <c r="J437" s="7" t="s">
        <v>3</v>
      </c>
      <c r="K437" s="4" t="s">
        <v>10</v>
      </c>
      <c r="L437" s="4" t="s">
        <v>22</v>
      </c>
      <c r="M437" s="4" t="s">
        <v>3320</v>
      </c>
      <c r="N437" s="4"/>
      <c r="O437" s="89"/>
      <c r="P437" s="25">
        <v>45915</v>
      </c>
      <c r="Q437" s="7" t="s">
        <v>1106</v>
      </c>
      <c r="R437" s="90" t="s">
        <v>3255</v>
      </c>
      <c r="S437" s="6" t="s">
        <v>1795</v>
      </c>
      <c r="T437" s="4" t="s">
        <v>81</v>
      </c>
      <c r="U437" s="4" t="s">
        <v>112</v>
      </c>
      <c r="V437" s="4">
        <v>99</v>
      </c>
      <c r="W437" s="85"/>
      <c r="X437" s="4"/>
      <c r="Y437" s="4"/>
      <c r="Z437" s="4"/>
      <c r="AA437" s="4" t="s">
        <v>85</v>
      </c>
      <c r="AB437" s="4" t="s">
        <v>4289</v>
      </c>
    </row>
    <row r="438" spans="1:28" ht="14.5" customHeight="1">
      <c r="A438" s="4">
        <v>437</v>
      </c>
      <c r="B438" s="5">
        <v>13742678</v>
      </c>
      <c r="C438" s="5">
        <v>204246607</v>
      </c>
      <c r="D438" s="115" t="s">
        <v>1725</v>
      </c>
      <c r="E438" s="4" t="s">
        <v>1631</v>
      </c>
      <c r="F438" s="7" t="s">
        <v>82</v>
      </c>
      <c r="G438" s="7" t="s">
        <v>87</v>
      </c>
      <c r="H438" s="7" t="s">
        <v>75</v>
      </c>
      <c r="I438" s="6" t="s">
        <v>1790</v>
      </c>
      <c r="J438" s="7" t="s">
        <v>3</v>
      </c>
      <c r="K438" s="4" t="s">
        <v>10</v>
      </c>
      <c r="L438" s="4" t="s">
        <v>27</v>
      </c>
      <c r="M438" s="4" t="s">
        <v>4312</v>
      </c>
      <c r="N438" s="4" t="s">
        <v>2584</v>
      </c>
      <c r="O438" s="89"/>
      <c r="P438" s="25">
        <v>45579</v>
      </c>
      <c r="Q438" s="7" t="s">
        <v>1106</v>
      </c>
      <c r="R438" s="90" t="s">
        <v>3261</v>
      </c>
      <c r="S438" s="6" t="s">
        <v>1795</v>
      </c>
      <c r="T438" s="4" t="s">
        <v>81</v>
      </c>
      <c r="U438" s="4" t="s">
        <v>107</v>
      </c>
      <c r="V438" s="4">
        <v>99</v>
      </c>
      <c r="W438" s="85">
        <v>46309</v>
      </c>
      <c r="X438" s="4" t="s">
        <v>3694</v>
      </c>
      <c r="Y438" s="4">
        <v>527639385</v>
      </c>
      <c r="Z438" s="4" t="s">
        <v>1655</v>
      </c>
      <c r="AA438" s="4" t="s">
        <v>85</v>
      </c>
      <c r="AB438" s="4" t="s">
        <v>4289</v>
      </c>
    </row>
    <row r="439" spans="1:28">
      <c r="A439" s="4">
        <v>438</v>
      </c>
      <c r="B439" s="5">
        <v>14250349</v>
      </c>
      <c r="C439" s="5">
        <v>205608621</v>
      </c>
      <c r="D439" s="115" t="s">
        <v>2590</v>
      </c>
      <c r="E439" s="4" t="s">
        <v>2603</v>
      </c>
      <c r="F439" s="7" t="s">
        <v>74</v>
      </c>
      <c r="G439" s="7" t="s">
        <v>76</v>
      </c>
      <c r="H439" s="7" t="s">
        <v>88</v>
      </c>
      <c r="I439" s="6" t="s">
        <v>1790</v>
      </c>
      <c r="J439" s="7" t="s">
        <v>3</v>
      </c>
      <c r="K439" s="4" t="s">
        <v>10</v>
      </c>
      <c r="L439" s="4" t="s">
        <v>22</v>
      </c>
      <c r="M439" s="4" t="s">
        <v>4312</v>
      </c>
      <c r="N439" s="4"/>
      <c r="O439" s="89"/>
      <c r="P439" s="25">
        <v>45845</v>
      </c>
      <c r="Q439" s="7" t="s">
        <v>1106</v>
      </c>
      <c r="R439" s="90" t="s">
        <v>3255</v>
      </c>
      <c r="S439" s="6" t="s">
        <v>1795</v>
      </c>
      <c r="T439" s="4" t="s">
        <v>81</v>
      </c>
      <c r="U439" s="4" t="s">
        <v>107</v>
      </c>
      <c r="V439" s="4">
        <v>99</v>
      </c>
      <c r="W439" s="85">
        <v>45901</v>
      </c>
      <c r="X439" s="4" t="s">
        <v>1216</v>
      </c>
      <c r="Y439" s="4">
        <v>562157496</v>
      </c>
      <c r="Z439" s="4" t="s">
        <v>2612</v>
      </c>
      <c r="AA439" s="4" t="s">
        <v>85</v>
      </c>
      <c r="AB439" s="4" t="s">
        <v>4289</v>
      </c>
    </row>
    <row r="440" spans="1:28">
      <c r="A440" s="4">
        <v>439</v>
      </c>
      <c r="B440" s="5">
        <v>11416098</v>
      </c>
      <c r="C440" s="5">
        <v>205506107</v>
      </c>
      <c r="D440" s="115" t="s">
        <v>2565</v>
      </c>
      <c r="E440" s="4" t="s">
        <v>2566</v>
      </c>
      <c r="F440" s="7" t="s">
        <v>74</v>
      </c>
      <c r="G440" s="7" t="s">
        <v>76</v>
      </c>
      <c r="H440" s="7" t="s">
        <v>88</v>
      </c>
      <c r="I440" s="7" t="s">
        <v>1789</v>
      </c>
      <c r="J440" s="7" t="s">
        <v>3</v>
      </c>
      <c r="K440" s="4" t="s">
        <v>10</v>
      </c>
      <c r="L440" s="4" t="s">
        <v>23</v>
      </c>
      <c r="M440" s="4" t="s">
        <v>4312</v>
      </c>
      <c r="N440" s="4" t="s">
        <v>2584</v>
      </c>
      <c r="O440" s="89"/>
      <c r="P440" s="25">
        <v>45831</v>
      </c>
      <c r="Q440" s="7" t="s">
        <v>1106</v>
      </c>
      <c r="R440" s="90" t="s">
        <v>3258</v>
      </c>
      <c r="S440" s="6" t="s">
        <v>1795</v>
      </c>
      <c r="T440" s="4" t="s">
        <v>81</v>
      </c>
      <c r="U440" s="4" t="s">
        <v>349</v>
      </c>
      <c r="V440" s="4">
        <v>99</v>
      </c>
      <c r="W440" s="85">
        <v>45887</v>
      </c>
      <c r="X440" s="4"/>
      <c r="Y440" s="4"/>
      <c r="Z440" s="4"/>
      <c r="AA440" s="4" t="s">
        <v>1204</v>
      </c>
      <c r="AB440" s="4" t="s">
        <v>4289</v>
      </c>
    </row>
    <row r="441" spans="1:28">
      <c r="A441" s="4">
        <v>440</v>
      </c>
      <c r="B441" s="5">
        <v>13452229</v>
      </c>
      <c r="C441" s="5">
        <v>203881600</v>
      </c>
      <c r="D441" s="115" t="s">
        <v>1064</v>
      </c>
      <c r="E441" s="4" t="s">
        <v>1065</v>
      </c>
      <c r="F441" s="7" t="s">
        <v>82</v>
      </c>
      <c r="G441" s="7" t="s">
        <v>90</v>
      </c>
      <c r="H441" s="7" t="s">
        <v>87</v>
      </c>
      <c r="I441" s="6" t="s">
        <v>1788</v>
      </c>
      <c r="J441" s="7" t="s">
        <v>3</v>
      </c>
      <c r="K441" s="4" t="s">
        <v>10</v>
      </c>
      <c r="L441" s="4" t="s">
        <v>24</v>
      </c>
      <c r="M441" s="4" t="s">
        <v>4312</v>
      </c>
      <c r="N441" s="4" t="s">
        <v>2584</v>
      </c>
      <c r="O441" s="89"/>
      <c r="P441" s="25">
        <v>45530</v>
      </c>
      <c r="Q441" s="7" t="s">
        <v>1106</v>
      </c>
      <c r="R441" s="90" t="s">
        <v>3258</v>
      </c>
      <c r="S441" s="6" t="s">
        <v>1795</v>
      </c>
      <c r="T441" s="4" t="s">
        <v>81</v>
      </c>
      <c r="U441" s="4" t="s">
        <v>107</v>
      </c>
      <c r="V441" s="4">
        <v>99</v>
      </c>
      <c r="W441" s="85">
        <v>45895</v>
      </c>
      <c r="X441" s="4" t="s">
        <v>3694</v>
      </c>
      <c r="Y441" s="4">
        <v>547419980</v>
      </c>
      <c r="Z441" s="4" t="s">
        <v>1956</v>
      </c>
      <c r="AA441" s="4" t="s">
        <v>2270</v>
      </c>
      <c r="AB441" s="4" t="s">
        <v>4289</v>
      </c>
    </row>
    <row r="442" spans="1:28">
      <c r="A442" s="4">
        <v>441</v>
      </c>
      <c r="B442" s="5">
        <v>12182424</v>
      </c>
      <c r="C442" s="5">
        <v>206073365</v>
      </c>
      <c r="D442" s="115" t="s">
        <v>2889</v>
      </c>
      <c r="E442" s="4" t="s">
        <v>2907</v>
      </c>
      <c r="F442" s="7" t="s">
        <v>74</v>
      </c>
      <c r="G442" s="7" t="s">
        <v>90</v>
      </c>
      <c r="H442" s="7" t="s">
        <v>87</v>
      </c>
      <c r="I442" s="6" t="s">
        <v>1788</v>
      </c>
      <c r="J442" s="7" t="s">
        <v>3</v>
      </c>
      <c r="K442" s="4" t="s">
        <v>10</v>
      </c>
      <c r="L442" s="4" t="s">
        <v>24</v>
      </c>
      <c r="M442" s="4" t="s">
        <v>634</v>
      </c>
      <c r="N442" s="4" t="s">
        <v>2584</v>
      </c>
      <c r="O442" s="89"/>
      <c r="P442" s="25">
        <v>45922</v>
      </c>
      <c r="Q442" s="7" t="s">
        <v>1434</v>
      </c>
      <c r="R442" s="90" t="s">
        <v>3255</v>
      </c>
      <c r="S442" s="6" t="s">
        <v>1795</v>
      </c>
      <c r="T442" s="4" t="s">
        <v>92</v>
      </c>
      <c r="U442" s="4" t="s">
        <v>103</v>
      </c>
      <c r="V442" s="4">
        <v>99</v>
      </c>
      <c r="W442" s="85">
        <v>45983</v>
      </c>
      <c r="X442" s="4" t="s">
        <v>3474</v>
      </c>
      <c r="Y442" s="4"/>
      <c r="Z442" s="4"/>
      <c r="AA442" s="4" t="s">
        <v>85</v>
      </c>
      <c r="AB442" s="4" t="s">
        <v>4289</v>
      </c>
    </row>
    <row r="443" spans="1:28">
      <c r="A443" s="4">
        <v>442</v>
      </c>
      <c r="B443" s="5">
        <v>15195075</v>
      </c>
      <c r="C443" s="5">
        <v>206934198</v>
      </c>
      <c r="D443" s="115" t="s">
        <v>3912</v>
      </c>
      <c r="E443" s="4" t="s">
        <v>3897</v>
      </c>
      <c r="F443" s="7" t="s">
        <v>74</v>
      </c>
      <c r="G443" s="7" t="s">
        <v>76</v>
      </c>
      <c r="H443" s="7" t="s">
        <v>88</v>
      </c>
      <c r="I443" s="7" t="s">
        <v>1789</v>
      </c>
      <c r="J443" s="7" t="s">
        <v>3</v>
      </c>
      <c r="K443" s="4" t="s">
        <v>10</v>
      </c>
      <c r="L443" s="4" t="s">
        <v>23</v>
      </c>
      <c r="M443" s="4" t="s">
        <v>634</v>
      </c>
      <c r="N443" s="4" t="s">
        <v>2584</v>
      </c>
      <c r="O443" s="89"/>
      <c r="P443" s="25">
        <v>46041</v>
      </c>
      <c r="Q443" s="7" t="s">
        <v>161</v>
      </c>
      <c r="R443" s="4" t="s">
        <v>3260</v>
      </c>
      <c r="S443" s="6" t="s">
        <v>1795</v>
      </c>
      <c r="T443" s="4" t="s">
        <v>92</v>
      </c>
      <c r="U443" s="4"/>
      <c r="V443" s="4">
        <v>99</v>
      </c>
      <c r="W443" s="85">
        <v>46096</v>
      </c>
      <c r="X443" s="4" t="s">
        <v>3901</v>
      </c>
      <c r="Y443" s="4" t="s">
        <v>3903</v>
      </c>
      <c r="Z443" s="4" t="s">
        <v>3907</v>
      </c>
      <c r="AA443" s="4" t="s">
        <v>3911</v>
      </c>
      <c r="AB443" s="4" t="e">
        <v>#N/A</v>
      </c>
    </row>
    <row r="444" spans="1:28">
      <c r="A444" s="4">
        <v>443</v>
      </c>
      <c r="B444" s="95">
        <v>12945920</v>
      </c>
      <c r="C444" s="5">
        <v>206874046</v>
      </c>
      <c r="D444" s="115" t="s">
        <v>3414</v>
      </c>
      <c r="E444" s="4" t="s">
        <v>3368</v>
      </c>
      <c r="F444" s="7" t="s">
        <v>74</v>
      </c>
      <c r="G444" s="7" t="s">
        <v>76</v>
      </c>
      <c r="H444" s="7" t="s">
        <v>88</v>
      </c>
      <c r="I444" s="7" t="s">
        <v>1789</v>
      </c>
      <c r="J444" s="6" t="s">
        <v>3</v>
      </c>
      <c r="K444" s="6" t="s">
        <v>10</v>
      </c>
      <c r="L444" s="4" t="s">
        <v>22</v>
      </c>
      <c r="M444" s="4" t="s">
        <v>3320</v>
      </c>
      <c r="N444" s="4" t="s">
        <v>2584</v>
      </c>
      <c r="O444" s="89"/>
      <c r="P444" s="25">
        <v>46020</v>
      </c>
      <c r="Q444" s="7" t="s">
        <v>1106</v>
      </c>
      <c r="R444" s="90" t="s">
        <v>3256</v>
      </c>
      <c r="S444" s="6" t="s">
        <v>3478</v>
      </c>
      <c r="T444" s="4" t="s">
        <v>81</v>
      </c>
      <c r="U444" s="4"/>
      <c r="V444" s="4">
        <v>99</v>
      </c>
      <c r="W444" s="4"/>
      <c r="X444" s="4" t="s">
        <v>3290</v>
      </c>
      <c r="Y444" s="95">
        <v>506913580</v>
      </c>
      <c r="Z444" s="4" t="s">
        <v>3444</v>
      </c>
      <c r="AA444" s="4" t="s">
        <v>3016</v>
      </c>
      <c r="AB444" s="4" t="s">
        <v>4289</v>
      </c>
    </row>
    <row r="445" spans="1:28">
      <c r="A445" s="4">
        <v>444</v>
      </c>
      <c r="B445" s="95">
        <v>13929725</v>
      </c>
      <c r="C445" s="5">
        <v>206873657</v>
      </c>
      <c r="D445" s="115" t="s">
        <v>3407</v>
      </c>
      <c r="E445" s="4" t="s">
        <v>3359</v>
      </c>
      <c r="F445" s="7" t="s">
        <v>74</v>
      </c>
      <c r="G445" s="7" t="s">
        <v>76</v>
      </c>
      <c r="H445" s="7" t="s">
        <v>88</v>
      </c>
      <c r="I445" s="7" t="s">
        <v>1788</v>
      </c>
      <c r="J445" s="6" t="s">
        <v>3</v>
      </c>
      <c r="K445" s="6" t="s">
        <v>10</v>
      </c>
      <c r="L445" s="4" t="s">
        <v>24</v>
      </c>
      <c r="M445" s="4" t="s">
        <v>634</v>
      </c>
      <c r="N445" s="4" t="s">
        <v>2584</v>
      </c>
      <c r="O445" s="89"/>
      <c r="P445" s="25">
        <v>46020</v>
      </c>
      <c r="Q445" s="7" t="s">
        <v>1434</v>
      </c>
      <c r="R445" s="90" t="s">
        <v>3254</v>
      </c>
      <c r="S445" s="6" t="s">
        <v>3478</v>
      </c>
      <c r="T445" s="4" t="s">
        <v>92</v>
      </c>
      <c r="U445" s="4"/>
      <c r="V445" s="4">
        <v>99</v>
      </c>
      <c r="W445" s="4"/>
      <c r="X445" s="4" t="s">
        <v>3739</v>
      </c>
      <c r="Y445" s="95">
        <v>547725244</v>
      </c>
      <c r="Z445" s="4" t="s">
        <v>3436</v>
      </c>
      <c r="AA445" s="4" t="s">
        <v>3167</v>
      </c>
      <c r="AB445" s="4" t="s">
        <v>4289</v>
      </c>
    </row>
    <row r="446" spans="1:28" ht="14.5" customHeight="1">
      <c r="A446" s="4">
        <v>445</v>
      </c>
      <c r="B446" s="95">
        <v>13742340</v>
      </c>
      <c r="C446" s="5">
        <v>206873651</v>
      </c>
      <c r="D446" s="115" t="s">
        <v>3405</v>
      </c>
      <c r="E446" s="4" t="s">
        <v>3357</v>
      </c>
      <c r="F446" s="7" t="s">
        <v>74</v>
      </c>
      <c r="G446" s="7" t="s">
        <v>76</v>
      </c>
      <c r="H446" s="7" t="s">
        <v>88</v>
      </c>
      <c r="I446" s="7" t="s">
        <v>1789</v>
      </c>
      <c r="J446" s="6" t="s">
        <v>3</v>
      </c>
      <c r="K446" s="6" t="s">
        <v>10</v>
      </c>
      <c r="L446" s="4" t="s">
        <v>24</v>
      </c>
      <c r="M446" s="4" t="s">
        <v>634</v>
      </c>
      <c r="N446" s="4" t="s">
        <v>2584</v>
      </c>
      <c r="O446" s="89"/>
      <c r="P446" s="25">
        <v>46020</v>
      </c>
      <c r="Q446" s="7" t="s">
        <v>1434</v>
      </c>
      <c r="R446" s="4" t="s">
        <v>3260</v>
      </c>
      <c r="S446" s="6" t="s">
        <v>3478</v>
      </c>
      <c r="T446" s="4" t="s">
        <v>92</v>
      </c>
      <c r="U446" s="4"/>
      <c r="V446" s="4">
        <v>99</v>
      </c>
      <c r="W446" s="4"/>
      <c r="X446" s="4" t="s">
        <v>3690</v>
      </c>
      <c r="Y446" s="95">
        <v>564703898</v>
      </c>
      <c r="Z446" s="4" t="s">
        <v>3434</v>
      </c>
      <c r="AA446" s="4" t="s">
        <v>2273</v>
      </c>
      <c r="AB446" s="4" t="s">
        <v>4289</v>
      </c>
    </row>
    <row r="447" spans="1:28">
      <c r="A447" s="4">
        <v>446</v>
      </c>
      <c r="B447" s="5">
        <v>13597292</v>
      </c>
      <c r="C447" s="5">
        <v>205608623</v>
      </c>
      <c r="D447" s="115" t="s">
        <v>2592</v>
      </c>
      <c r="E447" s="4" t="s">
        <v>2604</v>
      </c>
      <c r="F447" s="7" t="s">
        <v>82</v>
      </c>
      <c r="G447" s="7" t="s">
        <v>76</v>
      </c>
      <c r="H447" s="7" t="s">
        <v>88</v>
      </c>
      <c r="I447" s="6" t="s">
        <v>1790</v>
      </c>
      <c r="J447" s="7" t="s">
        <v>3</v>
      </c>
      <c r="K447" s="4" t="s">
        <v>10</v>
      </c>
      <c r="L447" s="4" t="s">
        <v>22</v>
      </c>
      <c r="M447" s="4" t="s">
        <v>3320</v>
      </c>
      <c r="N447" s="4"/>
      <c r="O447" s="89"/>
      <c r="P447" s="25">
        <v>45845</v>
      </c>
      <c r="Q447" s="7" t="s">
        <v>1106</v>
      </c>
      <c r="R447" s="4" t="s">
        <v>3258</v>
      </c>
      <c r="S447" s="6" t="s">
        <v>1795</v>
      </c>
      <c r="T447" s="4" t="s">
        <v>81</v>
      </c>
      <c r="U447" s="4" t="s">
        <v>349</v>
      </c>
      <c r="V447" s="4">
        <v>99</v>
      </c>
      <c r="W447" s="85">
        <v>45901</v>
      </c>
      <c r="X447" s="4" t="s">
        <v>1216</v>
      </c>
      <c r="Y447" s="4">
        <v>562157499</v>
      </c>
      <c r="Z447" s="4" t="s">
        <v>2614</v>
      </c>
      <c r="AA447" s="4" t="s">
        <v>85</v>
      </c>
      <c r="AB447" s="4" t="s">
        <v>4290</v>
      </c>
    </row>
    <row r="448" spans="1:28" ht="14.5" customHeight="1">
      <c r="A448" s="4">
        <v>447</v>
      </c>
      <c r="B448" s="5">
        <v>11401371</v>
      </c>
      <c r="C448" s="5">
        <v>204883236</v>
      </c>
      <c r="D448" s="115" t="s">
        <v>2307</v>
      </c>
      <c r="E448" s="4" t="s">
        <v>2308</v>
      </c>
      <c r="F448" s="7" t="s">
        <v>82</v>
      </c>
      <c r="G448" s="7" t="s">
        <v>76</v>
      </c>
      <c r="H448" s="7" t="s">
        <v>88</v>
      </c>
      <c r="I448" s="7" t="s">
        <v>1789</v>
      </c>
      <c r="J448" s="7" t="s">
        <v>3</v>
      </c>
      <c r="K448" s="4" t="s">
        <v>10</v>
      </c>
      <c r="L448" s="4" t="s">
        <v>27</v>
      </c>
      <c r="M448" s="4" t="s">
        <v>634</v>
      </c>
      <c r="N448" s="4" t="s">
        <v>2584</v>
      </c>
      <c r="O448" s="89"/>
      <c r="P448" s="25">
        <v>45691</v>
      </c>
      <c r="Q448" s="7" t="s">
        <v>1434</v>
      </c>
      <c r="R448" s="90" t="s">
        <v>3257</v>
      </c>
      <c r="S448" s="6" t="s">
        <v>1795</v>
      </c>
      <c r="T448" s="4" t="s">
        <v>92</v>
      </c>
      <c r="U448" s="4" t="s">
        <v>103</v>
      </c>
      <c r="V448" s="4">
        <v>99</v>
      </c>
      <c r="W448" s="85">
        <v>45747</v>
      </c>
      <c r="X448" s="4" t="s">
        <v>3690</v>
      </c>
      <c r="Y448" s="4" t="s">
        <v>2365</v>
      </c>
      <c r="Z448" s="4" t="s">
        <v>2389</v>
      </c>
      <c r="AA448" s="4" t="s">
        <v>1198</v>
      </c>
      <c r="AB448" s="4" t="s">
        <v>4289</v>
      </c>
    </row>
    <row r="449" spans="1:28" ht="14.5" customHeight="1">
      <c r="A449" s="4">
        <v>448</v>
      </c>
      <c r="B449" s="5">
        <v>11036878</v>
      </c>
      <c r="C449" s="5">
        <v>206915008</v>
      </c>
      <c r="D449" s="115" t="s">
        <v>3878</v>
      </c>
      <c r="E449" s="4" t="s">
        <v>3879</v>
      </c>
      <c r="F449" s="7" t="s">
        <v>74</v>
      </c>
      <c r="G449" s="7" t="s">
        <v>76</v>
      </c>
      <c r="H449" s="7" t="s">
        <v>88</v>
      </c>
      <c r="I449" s="7" t="s">
        <v>1789</v>
      </c>
      <c r="J449" s="4" t="s">
        <v>3</v>
      </c>
      <c r="K449" s="4" t="s">
        <v>10</v>
      </c>
      <c r="L449" s="4" t="s">
        <v>22</v>
      </c>
      <c r="M449" s="4" t="s">
        <v>634</v>
      </c>
      <c r="N449" s="4" t="s">
        <v>2584</v>
      </c>
      <c r="O449" s="89"/>
      <c r="P449" s="25">
        <v>46034</v>
      </c>
      <c r="Q449" s="4" t="s">
        <v>1434</v>
      </c>
      <c r="R449" s="90" t="s">
        <v>2586</v>
      </c>
      <c r="S449" s="4" t="s">
        <v>1795</v>
      </c>
      <c r="T449" s="4" t="s">
        <v>81</v>
      </c>
      <c r="U449" s="4"/>
      <c r="V449" s="4">
        <v>99</v>
      </c>
      <c r="W449" s="4"/>
      <c r="X449" s="4" t="s">
        <v>3290</v>
      </c>
      <c r="Y449" s="4">
        <v>525422478</v>
      </c>
      <c r="Z449" s="4" t="s">
        <v>3880</v>
      </c>
      <c r="AA449" s="4" t="s">
        <v>3016</v>
      </c>
      <c r="AB449" s="4" t="e">
        <v>#N/A</v>
      </c>
    </row>
    <row r="450" spans="1:28">
      <c r="A450" s="4">
        <v>449</v>
      </c>
      <c r="B450" s="5">
        <v>14824252</v>
      </c>
      <c r="C450" s="5">
        <v>109749061</v>
      </c>
      <c r="D450" s="115" t="s">
        <v>143</v>
      </c>
      <c r="E450" s="4" t="s">
        <v>144</v>
      </c>
      <c r="F450" s="7" t="s">
        <v>74</v>
      </c>
      <c r="G450" s="7" t="s">
        <v>76</v>
      </c>
      <c r="H450" s="7" t="s">
        <v>88</v>
      </c>
      <c r="I450" s="6" t="s">
        <v>119</v>
      </c>
      <c r="J450" s="7" t="s">
        <v>3</v>
      </c>
      <c r="K450" s="4" t="s">
        <v>10</v>
      </c>
      <c r="L450" s="4" t="s">
        <v>21</v>
      </c>
      <c r="M450" s="4" t="s">
        <v>634</v>
      </c>
      <c r="N450" s="4" t="s">
        <v>2583</v>
      </c>
      <c r="O450" s="89"/>
      <c r="P450" s="25">
        <v>44831</v>
      </c>
      <c r="Q450" s="7" t="s">
        <v>161</v>
      </c>
      <c r="R450" s="90" t="s">
        <v>3252</v>
      </c>
      <c r="S450" s="6" t="s">
        <v>1795</v>
      </c>
      <c r="T450" s="4" t="s">
        <v>81</v>
      </c>
      <c r="U450" s="4" t="s">
        <v>107</v>
      </c>
      <c r="V450" s="4">
        <v>1</v>
      </c>
      <c r="W450" s="85"/>
      <c r="X450" s="4" t="s">
        <v>3688</v>
      </c>
      <c r="Y450" s="4">
        <v>0</v>
      </c>
      <c r="Z450" s="4" t="e">
        <v>#N/A</v>
      </c>
      <c r="AA450" s="4" t="s">
        <v>1194</v>
      </c>
      <c r="AB450" s="4" t="s">
        <v>4289</v>
      </c>
    </row>
    <row r="451" spans="1:28">
      <c r="A451" s="4">
        <v>450</v>
      </c>
      <c r="B451" s="5">
        <v>14451379</v>
      </c>
      <c r="C451" s="5">
        <v>204883085</v>
      </c>
      <c r="D451" s="115" t="s">
        <v>2309</v>
      </c>
      <c r="E451" s="4" t="s">
        <v>2310</v>
      </c>
      <c r="F451" s="7" t="s">
        <v>74</v>
      </c>
      <c r="G451" s="7" t="s">
        <v>88</v>
      </c>
      <c r="H451" s="7" t="s">
        <v>94</v>
      </c>
      <c r="I451" s="6" t="s">
        <v>1790</v>
      </c>
      <c r="J451" s="7" t="s">
        <v>3</v>
      </c>
      <c r="K451" s="4" t="s">
        <v>10</v>
      </c>
      <c r="L451" s="4" t="s">
        <v>27</v>
      </c>
      <c r="M451" s="4" t="s">
        <v>3320</v>
      </c>
      <c r="N451" s="4" t="s">
        <v>2584</v>
      </c>
      <c r="O451" s="89"/>
      <c r="P451" s="25">
        <v>45691</v>
      </c>
      <c r="Q451" s="7" t="s">
        <v>1106</v>
      </c>
      <c r="R451" s="90" t="s">
        <v>3257</v>
      </c>
      <c r="S451" s="6" t="s">
        <v>1795</v>
      </c>
      <c r="T451" s="4" t="s">
        <v>92</v>
      </c>
      <c r="U451" s="4" t="s">
        <v>103</v>
      </c>
      <c r="V451" s="4">
        <v>99</v>
      </c>
      <c r="W451" s="85">
        <v>45747</v>
      </c>
      <c r="X451" s="4" t="s">
        <v>3698</v>
      </c>
      <c r="Y451" s="4" t="s">
        <v>2366</v>
      </c>
      <c r="Z451" s="4" t="s">
        <v>2390</v>
      </c>
      <c r="AA451" s="4" t="s">
        <v>1196</v>
      </c>
      <c r="AB451" s="4" t="s">
        <v>4289</v>
      </c>
    </row>
    <row r="452" spans="1:28">
      <c r="A452" s="4">
        <v>451</v>
      </c>
      <c r="B452" s="5">
        <v>12165342</v>
      </c>
      <c r="C452" s="5">
        <v>102207617</v>
      </c>
      <c r="D452" s="115" t="s">
        <v>245</v>
      </c>
      <c r="E452" s="4" t="s">
        <v>246</v>
      </c>
      <c r="F452" s="7" t="s">
        <v>74</v>
      </c>
      <c r="G452" s="7" t="s">
        <v>89</v>
      </c>
      <c r="H452" s="7" t="s">
        <v>90</v>
      </c>
      <c r="I452" s="6" t="s">
        <v>244</v>
      </c>
      <c r="J452" s="7" t="s">
        <v>3</v>
      </c>
      <c r="K452" s="4" t="s">
        <v>10</v>
      </c>
      <c r="L452" s="4" t="s">
        <v>21</v>
      </c>
      <c r="M452" s="4" t="s">
        <v>634</v>
      </c>
      <c r="N452" s="4" t="s">
        <v>2583</v>
      </c>
      <c r="O452" s="89"/>
      <c r="P452" s="25">
        <v>42868</v>
      </c>
      <c r="Q452" s="7" t="s">
        <v>1435</v>
      </c>
      <c r="R452" s="90" t="s">
        <v>3255</v>
      </c>
      <c r="S452" s="6" t="s">
        <v>1795</v>
      </c>
      <c r="T452" s="4" t="s">
        <v>92</v>
      </c>
      <c r="U452" s="4" t="s">
        <v>103</v>
      </c>
      <c r="V452" s="4">
        <v>3</v>
      </c>
      <c r="W452" s="85"/>
      <c r="X452" s="4" t="s">
        <v>3688</v>
      </c>
      <c r="Y452" s="4">
        <v>0</v>
      </c>
      <c r="Z452" s="4" t="e">
        <v>#N/A</v>
      </c>
      <c r="AA452" s="4" t="s">
        <v>2269</v>
      </c>
      <c r="AB452" s="4" t="s">
        <v>4289</v>
      </c>
    </row>
    <row r="453" spans="1:28">
      <c r="A453" s="4">
        <v>452</v>
      </c>
      <c r="B453" s="5">
        <v>15309575</v>
      </c>
      <c r="C453" s="5">
        <v>204967049</v>
      </c>
      <c r="D453" s="115" t="s">
        <v>2433</v>
      </c>
      <c r="E453" s="4" t="s">
        <v>2434</v>
      </c>
      <c r="F453" s="7" t="s">
        <v>74</v>
      </c>
      <c r="G453" s="7" t="s">
        <v>75</v>
      </c>
      <c r="H453" s="7" t="s">
        <v>76</v>
      </c>
      <c r="I453" s="6" t="s">
        <v>1790</v>
      </c>
      <c r="J453" s="7" t="s">
        <v>3</v>
      </c>
      <c r="K453" s="4" t="s">
        <v>10</v>
      </c>
      <c r="L453" s="4" t="s">
        <v>22</v>
      </c>
      <c r="M453" s="4" t="s">
        <v>3320</v>
      </c>
      <c r="N453" s="4" t="s">
        <v>2584</v>
      </c>
      <c r="O453" s="89"/>
      <c r="P453" s="25">
        <v>45826</v>
      </c>
      <c r="Q453" s="7" t="s">
        <v>1106</v>
      </c>
      <c r="R453" s="90" t="s">
        <v>3264</v>
      </c>
      <c r="S453" s="6" t="s">
        <v>1795</v>
      </c>
      <c r="T453" s="4" t="s">
        <v>81</v>
      </c>
      <c r="U453" s="4" t="s">
        <v>3263</v>
      </c>
      <c r="V453" s="4">
        <v>99</v>
      </c>
      <c r="W453" s="85">
        <v>45882</v>
      </c>
      <c r="X453" s="4" t="s">
        <v>1216</v>
      </c>
      <c r="Y453" s="4"/>
      <c r="Z453" s="4"/>
      <c r="AA453" s="4" t="s">
        <v>85</v>
      </c>
      <c r="AB453" s="4" t="s">
        <v>4289</v>
      </c>
    </row>
    <row r="454" spans="1:28" ht="14.5" customHeight="1">
      <c r="A454" s="4">
        <v>453</v>
      </c>
      <c r="B454" s="5">
        <v>13241950</v>
      </c>
      <c r="C454" s="5">
        <v>203881597</v>
      </c>
      <c r="D454" s="115" t="s">
        <v>1060</v>
      </c>
      <c r="E454" s="4" t="s">
        <v>1061</v>
      </c>
      <c r="F454" s="7" t="s">
        <v>82</v>
      </c>
      <c r="G454" s="7" t="s">
        <v>90</v>
      </c>
      <c r="H454" s="7" t="s">
        <v>87</v>
      </c>
      <c r="I454" s="6" t="s">
        <v>1788</v>
      </c>
      <c r="J454" s="7" t="s">
        <v>3</v>
      </c>
      <c r="K454" s="4" t="s">
        <v>10</v>
      </c>
      <c r="L454" s="4" t="s">
        <v>24</v>
      </c>
      <c r="M454" s="4" t="s">
        <v>3320</v>
      </c>
      <c r="N454" s="4" t="s">
        <v>2584</v>
      </c>
      <c r="O454" s="89"/>
      <c r="P454" s="25">
        <v>45530</v>
      </c>
      <c r="Q454" s="7" t="s">
        <v>1106</v>
      </c>
      <c r="R454" s="90" t="s">
        <v>3256</v>
      </c>
      <c r="S454" s="6" t="s">
        <v>1795</v>
      </c>
      <c r="T454" s="4" t="s">
        <v>81</v>
      </c>
      <c r="U454" s="4" t="s">
        <v>349</v>
      </c>
      <c r="V454" s="4">
        <v>99</v>
      </c>
      <c r="W454" s="85">
        <v>45895</v>
      </c>
      <c r="X454" s="4" t="s">
        <v>3694</v>
      </c>
      <c r="Y454" s="4">
        <v>524072348</v>
      </c>
      <c r="Z454" s="4" t="s">
        <v>1958</v>
      </c>
      <c r="AA454" s="4" t="s">
        <v>1196</v>
      </c>
      <c r="AB454" s="4" t="s">
        <v>4289</v>
      </c>
    </row>
    <row r="455" spans="1:28" ht="14.5" customHeight="1">
      <c r="A455" s="4">
        <v>454</v>
      </c>
      <c r="B455" s="5">
        <v>43293</v>
      </c>
      <c r="C455" s="5">
        <v>203881599</v>
      </c>
      <c r="D455" s="115" t="s">
        <v>1062</v>
      </c>
      <c r="E455" s="4" t="s">
        <v>1063</v>
      </c>
      <c r="F455" s="7" t="s">
        <v>82</v>
      </c>
      <c r="G455" s="7" t="s">
        <v>76</v>
      </c>
      <c r="H455" s="7" t="s">
        <v>88</v>
      </c>
      <c r="I455" s="6" t="s">
        <v>1788</v>
      </c>
      <c r="J455" s="7" t="s">
        <v>3</v>
      </c>
      <c r="K455" s="4" t="s">
        <v>10</v>
      </c>
      <c r="L455" s="4" t="s">
        <v>24</v>
      </c>
      <c r="M455" s="4" t="s">
        <v>3320</v>
      </c>
      <c r="N455" s="4" t="s">
        <v>2584</v>
      </c>
      <c r="O455" s="89"/>
      <c r="P455" s="25">
        <v>45530</v>
      </c>
      <c r="Q455" s="7" t="s">
        <v>1106</v>
      </c>
      <c r="R455" s="90" t="s">
        <v>3257</v>
      </c>
      <c r="S455" s="6" t="s">
        <v>1795</v>
      </c>
      <c r="T455" s="4" t="s">
        <v>92</v>
      </c>
      <c r="U455" s="4" t="s">
        <v>349</v>
      </c>
      <c r="V455" s="4">
        <v>99</v>
      </c>
      <c r="W455" s="85">
        <v>45895</v>
      </c>
      <c r="X455" s="4" t="s">
        <v>3690</v>
      </c>
      <c r="Y455" s="4">
        <v>586303711</v>
      </c>
      <c r="Z455" s="4" t="s">
        <v>1959</v>
      </c>
      <c r="AA455" s="4" t="s">
        <v>85</v>
      </c>
      <c r="AB455" s="4" t="s">
        <v>4289</v>
      </c>
    </row>
    <row r="456" spans="1:28">
      <c r="A456" s="4">
        <v>455</v>
      </c>
      <c r="B456" s="5">
        <v>234047</v>
      </c>
      <c r="C456" s="5">
        <v>204869096</v>
      </c>
      <c r="D456" s="115" t="s">
        <v>2311</v>
      </c>
      <c r="E456" s="4" t="s">
        <v>2312</v>
      </c>
      <c r="F456" s="7" t="s">
        <v>74</v>
      </c>
      <c r="G456" s="7" t="s">
        <v>88</v>
      </c>
      <c r="H456" s="7" t="s">
        <v>94</v>
      </c>
      <c r="I456" s="6" t="s">
        <v>1790</v>
      </c>
      <c r="J456" s="7" t="s">
        <v>3</v>
      </c>
      <c r="K456" s="4" t="s">
        <v>10</v>
      </c>
      <c r="L456" s="4" t="s">
        <v>27</v>
      </c>
      <c r="M456" s="4" t="s">
        <v>3320</v>
      </c>
      <c r="N456" s="4" t="s">
        <v>2584</v>
      </c>
      <c r="O456" s="89"/>
      <c r="P456" s="25">
        <v>45691</v>
      </c>
      <c r="Q456" s="7" t="s">
        <v>1106</v>
      </c>
      <c r="R456" s="90" t="s">
        <v>3258</v>
      </c>
      <c r="S456" s="6" t="s">
        <v>1795</v>
      </c>
      <c r="T456" s="4" t="s">
        <v>92</v>
      </c>
      <c r="U456" s="4" t="s">
        <v>103</v>
      </c>
      <c r="V456" s="4">
        <v>99</v>
      </c>
      <c r="W456" s="85">
        <v>45747</v>
      </c>
      <c r="X456" s="4" t="s">
        <v>3690</v>
      </c>
      <c r="Y456" s="4" t="s">
        <v>2367</v>
      </c>
      <c r="Z456" s="4" t="s">
        <v>2391</v>
      </c>
      <c r="AA456" s="4" t="s">
        <v>1198</v>
      </c>
      <c r="AB456" s="4" t="s">
        <v>4289</v>
      </c>
    </row>
    <row r="457" spans="1:28">
      <c r="A457" s="4">
        <v>456</v>
      </c>
      <c r="B457" s="5">
        <v>14809884</v>
      </c>
      <c r="C457" s="5">
        <v>204869088</v>
      </c>
      <c r="D457" s="115" t="s">
        <v>2313</v>
      </c>
      <c r="E457" s="4" t="s">
        <v>2314</v>
      </c>
      <c r="F457" s="7" t="s">
        <v>74</v>
      </c>
      <c r="G457" s="7" t="s">
        <v>75</v>
      </c>
      <c r="H457" s="7" t="s">
        <v>76</v>
      </c>
      <c r="I457" s="6" t="s">
        <v>1790</v>
      </c>
      <c r="J457" s="7" t="s">
        <v>3</v>
      </c>
      <c r="K457" s="4" t="s">
        <v>10</v>
      </c>
      <c r="L457" s="4" t="s">
        <v>27</v>
      </c>
      <c r="M457" s="4" t="s">
        <v>634</v>
      </c>
      <c r="N457" s="4" t="s">
        <v>2584</v>
      </c>
      <c r="O457" s="89"/>
      <c r="P457" s="25">
        <v>45691</v>
      </c>
      <c r="Q457" s="7" t="s">
        <v>1434</v>
      </c>
      <c r="R457" s="90" t="s">
        <v>3256</v>
      </c>
      <c r="S457" s="6" t="s">
        <v>1795</v>
      </c>
      <c r="T457" s="4" t="s">
        <v>81</v>
      </c>
      <c r="U457" s="4" t="s">
        <v>103</v>
      </c>
      <c r="V457" s="4">
        <v>99</v>
      </c>
      <c r="W457" s="85">
        <v>45747</v>
      </c>
      <c r="X457" s="4" t="s">
        <v>3690</v>
      </c>
      <c r="Y457" s="4" t="s">
        <v>2368</v>
      </c>
      <c r="Z457" s="4" t="s">
        <v>2392</v>
      </c>
      <c r="AA457" s="4" t="s">
        <v>1198</v>
      </c>
      <c r="AB457" s="4" t="s">
        <v>4289</v>
      </c>
    </row>
    <row r="458" spans="1:28">
      <c r="A458" s="4">
        <v>457</v>
      </c>
      <c r="B458" s="5">
        <v>12188725</v>
      </c>
      <c r="C458" s="5">
        <v>203521523</v>
      </c>
      <c r="D458" s="115" t="s">
        <v>196</v>
      </c>
      <c r="E458" s="4" t="s">
        <v>197</v>
      </c>
      <c r="F458" s="7" t="s">
        <v>74</v>
      </c>
      <c r="G458" s="7" t="s">
        <v>94</v>
      </c>
      <c r="H458" s="7" t="s">
        <v>89</v>
      </c>
      <c r="I458" s="6" t="s">
        <v>1788</v>
      </c>
      <c r="J458" s="7" t="s">
        <v>3</v>
      </c>
      <c r="K458" s="4" t="s">
        <v>10</v>
      </c>
      <c r="L458" s="4" t="s">
        <v>24</v>
      </c>
      <c r="M458" s="4" t="s">
        <v>634</v>
      </c>
      <c r="N458" s="4" t="s">
        <v>2583</v>
      </c>
      <c r="O458" s="89"/>
      <c r="P458" s="25">
        <v>45463</v>
      </c>
      <c r="Q458" s="7" t="s">
        <v>1433</v>
      </c>
      <c r="R458" s="90" t="s">
        <v>3261</v>
      </c>
      <c r="S458" s="6" t="s">
        <v>1795</v>
      </c>
      <c r="T458" s="4" t="s">
        <v>92</v>
      </c>
      <c r="U458" s="4" t="s">
        <v>349</v>
      </c>
      <c r="V458" s="4">
        <v>99</v>
      </c>
      <c r="W458" s="85">
        <v>45828</v>
      </c>
      <c r="X458" s="4" t="s">
        <v>3703</v>
      </c>
      <c r="Y458" s="4">
        <v>583054220</v>
      </c>
      <c r="Z458" s="4" t="s">
        <v>1960</v>
      </c>
      <c r="AA458" s="4" t="s">
        <v>85</v>
      </c>
      <c r="AB458" s="4" t="s">
        <v>4289</v>
      </c>
    </row>
    <row r="459" spans="1:28">
      <c r="A459" s="4">
        <v>458</v>
      </c>
      <c r="B459" s="95">
        <v>12962467</v>
      </c>
      <c r="C459" s="5">
        <v>206874059</v>
      </c>
      <c r="D459" s="115" t="s">
        <v>3366</v>
      </c>
      <c r="E459" s="4" t="s">
        <v>3367</v>
      </c>
      <c r="F459" s="7" t="s">
        <v>74</v>
      </c>
      <c r="G459" s="7" t="s">
        <v>76</v>
      </c>
      <c r="H459" s="7" t="s">
        <v>88</v>
      </c>
      <c r="I459" s="7" t="s">
        <v>1789</v>
      </c>
      <c r="J459" s="6" t="s">
        <v>3</v>
      </c>
      <c r="K459" s="6" t="s">
        <v>10</v>
      </c>
      <c r="L459" s="4" t="s">
        <v>22</v>
      </c>
      <c r="M459" s="4" t="s">
        <v>3320</v>
      </c>
      <c r="N459" s="4" t="s">
        <v>2584</v>
      </c>
      <c r="O459" s="89"/>
      <c r="P459" s="25">
        <v>46020</v>
      </c>
      <c r="Q459" s="7" t="s">
        <v>1106</v>
      </c>
      <c r="R459" s="7" t="s">
        <v>3257</v>
      </c>
      <c r="S459" s="6" t="s">
        <v>3478</v>
      </c>
      <c r="T459" s="4" t="s">
        <v>81</v>
      </c>
      <c r="U459" s="4"/>
      <c r="V459" s="4">
        <v>99</v>
      </c>
      <c r="W459" s="4"/>
      <c r="X459" s="4" t="s">
        <v>3290</v>
      </c>
      <c r="Y459" s="95">
        <v>545203258</v>
      </c>
      <c r="Z459" s="4" t="s">
        <v>3443</v>
      </c>
      <c r="AA459" s="4" t="s">
        <v>3016</v>
      </c>
      <c r="AB459" s="4" t="s">
        <v>4290</v>
      </c>
    </row>
    <row r="460" spans="1:28">
      <c r="A460" s="4">
        <v>459</v>
      </c>
      <c r="B460" s="5">
        <v>14885273</v>
      </c>
      <c r="C460" s="5">
        <v>204252239</v>
      </c>
      <c r="D460" s="115" t="s">
        <v>1738</v>
      </c>
      <c r="E460" s="4" t="s">
        <v>1644</v>
      </c>
      <c r="F460" s="7" t="s">
        <v>74</v>
      </c>
      <c r="G460" s="7" t="s">
        <v>87</v>
      </c>
      <c r="H460" s="7" t="s">
        <v>75</v>
      </c>
      <c r="I460" s="6" t="s">
        <v>1790</v>
      </c>
      <c r="J460" s="7" t="s">
        <v>3</v>
      </c>
      <c r="K460" s="4" t="s">
        <v>10</v>
      </c>
      <c r="L460" s="4" t="s">
        <v>27</v>
      </c>
      <c r="M460" s="4" t="s">
        <v>634</v>
      </c>
      <c r="N460" s="4" t="s">
        <v>2584</v>
      </c>
      <c r="O460" s="89"/>
      <c r="P460" s="25">
        <v>45579</v>
      </c>
      <c r="Q460" s="7" t="s">
        <v>1106</v>
      </c>
      <c r="R460" s="90" t="s">
        <v>2586</v>
      </c>
      <c r="S460" s="6" t="s">
        <v>1795</v>
      </c>
      <c r="T460" s="4" t="s">
        <v>92</v>
      </c>
      <c r="U460" s="4" t="s">
        <v>107</v>
      </c>
      <c r="V460" s="4">
        <v>99</v>
      </c>
      <c r="W460" s="85">
        <v>46309</v>
      </c>
      <c r="X460" s="4" t="s">
        <v>3688</v>
      </c>
      <c r="Y460" s="4">
        <v>563304762</v>
      </c>
      <c r="Z460" s="4" t="s">
        <v>1667</v>
      </c>
      <c r="AA460" s="4" t="s">
        <v>85</v>
      </c>
      <c r="AB460" s="4" t="s">
        <v>4289</v>
      </c>
    </row>
    <row r="461" spans="1:28">
      <c r="A461" s="4">
        <v>460</v>
      </c>
      <c r="B461" s="5">
        <v>13234264</v>
      </c>
      <c r="C461" s="5">
        <v>206934437</v>
      </c>
      <c r="D461" s="115" t="s">
        <v>3913</v>
      </c>
      <c r="E461" s="4" t="s">
        <v>3898</v>
      </c>
      <c r="F461" s="7" t="s">
        <v>74</v>
      </c>
      <c r="G461" s="7" t="s">
        <v>76</v>
      </c>
      <c r="H461" s="7" t="s">
        <v>88</v>
      </c>
      <c r="I461" s="7" t="s">
        <v>1789</v>
      </c>
      <c r="J461" s="7" t="s">
        <v>3</v>
      </c>
      <c r="K461" s="4" t="s">
        <v>10</v>
      </c>
      <c r="L461" s="4" t="s">
        <v>23</v>
      </c>
      <c r="M461" s="4" t="s">
        <v>4312</v>
      </c>
      <c r="N461" s="4" t="s">
        <v>2584</v>
      </c>
      <c r="O461" s="89"/>
      <c r="P461" s="25">
        <v>46041</v>
      </c>
      <c r="Q461" s="7" t="s">
        <v>1106</v>
      </c>
      <c r="R461" s="90" t="s">
        <v>3256</v>
      </c>
      <c r="S461" s="6" t="s">
        <v>1795</v>
      </c>
      <c r="T461" s="4" t="s">
        <v>92</v>
      </c>
      <c r="U461" s="4"/>
      <c r="V461" s="4">
        <v>99</v>
      </c>
      <c r="W461" s="85">
        <v>46096</v>
      </c>
      <c r="X461" s="4" t="s">
        <v>3901</v>
      </c>
      <c r="Y461" s="4" t="s">
        <v>3904</v>
      </c>
      <c r="Z461" s="4" t="s">
        <v>3908</v>
      </c>
      <c r="AA461" s="4" t="s">
        <v>3911</v>
      </c>
      <c r="AB461" s="4" t="e">
        <v>#N/A</v>
      </c>
    </row>
    <row r="462" spans="1:28">
      <c r="A462" s="4">
        <v>461</v>
      </c>
      <c r="B462" s="5">
        <v>250660</v>
      </c>
      <c r="C462" s="5">
        <v>203881596</v>
      </c>
      <c r="D462" s="115" t="s">
        <v>1054</v>
      </c>
      <c r="E462" s="4" t="s">
        <v>1055</v>
      </c>
      <c r="F462" s="7" t="s">
        <v>74</v>
      </c>
      <c r="G462" s="7" t="s">
        <v>88</v>
      </c>
      <c r="H462" s="7" t="s">
        <v>94</v>
      </c>
      <c r="I462" s="6" t="s">
        <v>1788</v>
      </c>
      <c r="J462" s="7" t="s">
        <v>3</v>
      </c>
      <c r="K462" s="4" t="s">
        <v>10</v>
      </c>
      <c r="L462" s="4" t="s">
        <v>24</v>
      </c>
      <c r="M462" s="4" t="s">
        <v>3320</v>
      </c>
      <c r="N462" s="4" t="s">
        <v>2584</v>
      </c>
      <c r="O462" s="89"/>
      <c r="P462" s="25">
        <v>45530</v>
      </c>
      <c r="Q462" s="7" t="s">
        <v>1106</v>
      </c>
      <c r="R462" s="90" t="s">
        <v>3254</v>
      </c>
      <c r="S462" s="6" t="s">
        <v>1795</v>
      </c>
      <c r="T462" s="4" t="s">
        <v>81</v>
      </c>
      <c r="U462" s="4" t="s">
        <v>112</v>
      </c>
      <c r="V462" s="4">
        <v>99</v>
      </c>
      <c r="W462" s="85">
        <v>45895</v>
      </c>
      <c r="X462" s="4" t="s">
        <v>3690</v>
      </c>
      <c r="Y462" s="4">
        <v>524483724</v>
      </c>
      <c r="Z462" s="4" t="s">
        <v>1961</v>
      </c>
      <c r="AA462" s="4" t="s">
        <v>85</v>
      </c>
      <c r="AB462" s="4" t="s">
        <v>4289</v>
      </c>
    </row>
    <row r="463" spans="1:28">
      <c r="A463" s="4">
        <v>462</v>
      </c>
      <c r="B463" s="5">
        <v>11255875</v>
      </c>
      <c r="C463" s="5">
        <v>204869092</v>
      </c>
      <c r="D463" s="115" t="s">
        <v>2315</v>
      </c>
      <c r="E463" s="4" t="s">
        <v>2316</v>
      </c>
      <c r="F463" s="7" t="s">
        <v>74</v>
      </c>
      <c r="G463" s="7" t="s">
        <v>75</v>
      </c>
      <c r="H463" s="7" t="s">
        <v>76</v>
      </c>
      <c r="I463" s="6" t="s">
        <v>1790</v>
      </c>
      <c r="J463" s="7" t="s">
        <v>3</v>
      </c>
      <c r="K463" s="4" t="s">
        <v>10</v>
      </c>
      <c r="L463" s="4" t="s">
        <v>27</v>
      </c>
      <c r="M463" s="4" t="s">
        <v>634</v>
      </c>
      <c r="N463" s="4" t="s">
        <v>2584</v>
      </c>
      <c r="O463" s="89"/>
      <c r="P463" s="25">
        <v>45691</v>
      </c>
      <c r="Q463" s="7" t="s">
        <v>1434</v>
      </c>
      <c r="R463" s="90" t="s">
        <v>3260</v>
      </c>
      <c r="S463" s="6" t="s">
        <v>1795</v>
      </c>
      <c r="T463" s="4" t="s">
        <v>92</v>
      </c>
      <c r="U463" s="4" t="s">
        <v>103</v>
      </c>
      <c r="V463" s="4">
        <v>99</v>
      </c>
      <c r="W463" s="85">
        <v>45747</v>
      </c>
      <c r="X463" s="4" t="s">
        <v>3690</v>
      </c>
      <c r="Y463" s="4" t="s">
        <v>2369</v>
      </c>
      <c r="Z463" s="4" t="s">
        <v>2393</v>
      </c>
      <c r="AA463" s="4" t="s">
        <v>1198</v>
      </c>
      <c r="AB463" s="4" t="s">
        <v>4289</v>
      </c>
    </row>
    <row r="464" spans="1:28">
      <c r="A464" s="4">
        <v>463</v>
      </c>
      <c r="B464" s="5">
        <v>311430</v>
      </c>
      <c r="C464" s="5">
        <v>204883247</v>
      </c>
      <c r="D464" s="115" t="s">
        <v>2317</v>
      </c>
      <c r="E464" s="4" t="s">
        <v>2318</v>
      </c>
      <c r="F464" s="7" t="s">
        <v>74</v>
      </c>
      <c r="G464" s="7" t="s">
        <v>94</v>
      </c>
      <c r="H464" s="7" t="s">
        <v>89</v>
      </c>
      <c r="I464" s="6" t="s">
        <v>1790</v>
      </c>
      <c r="J464" s="7" t="s">
        <v>3</v>
      </c>
      <c r="K464" s="4" t="s">
        <v>10</v>
      </c>
      <c r="L464" s="4" t="s">
        <v>27</v>
      </c>
      <c r="M464" s="4" t="s">
        <v>634</v>
      </c>
      <c r="N464" s="4" t="s">
        <v>2584</v>
      </c>
      <c r="O464" s="89"/>
      <c r="P464" s="25">
        <v>45691</v>
      </c>
      <c r="Q464" s="7" t="s">
        <v>1434</v>
      </c>
      <c r="R464" s="90" t="s">
        <v>3264</v>
      </c>
      <c r="S464" s="6" t="s">
        <v>1795</v>
      </c>
      <c r="T464" s="4" t="s">
        <v>92</v>
      </c>
      <c r="U464" s="4" t="s">
        <v>107</v>
      </c>
      <c r="V464" s="4">
        <v>99</v>
      </c>
      <c r="W464" s="85">
        <v>45747</v>
      </c>
      <c r="X464" s="4" t="s">
        <v>3703</v>
      </c>
      <c r="Y464" s="4" t="s">
        <v>2370</v>
      </c>
      <c r="Z464" s="4" t="s">
        <v>2394</v>
      </c>
      <c r="AA464" s="4" t="s">
        <v>1198</v>
      </c>
      <c r="AB464" s="4" t="s">
        <v>4289</v>
      </c>
    </row>
    <row r="465" spans="1:28">
      <c r="A465" s="4">
        <v>464</v>
      </c>
      <c r="B465" s="5">
        <v>11910781</v>
      </c>
      <c r="C465" s="5">
        <v>204868854</v>
      </c>
      <c r="D465" s="115" t="s">
        <v>2319</v>
      </c>
      <c r="E465" s="4" t="s">
        <v>2320</v>
      </c>
      <c r="F465" s="7" t="s">
        <v>74</v>
      </c>
      <c r="G465" s="7" t="s">
        <v>76</v>
      </c>
      <c r="H465" s="7" t="s">
        <v>88</v>
      </c>
      <c r="I465" s="6" t="s">
        <v>1790</v>
      </c>
      <c r="J465" s="7" t="s">
        <v>3</v>
      </c>
      <c r="K465" s="4" t="s">
        <v>10</v>
      </c>
      <c r="L465" s="4" t="s">
        <v>27</v>
      </c>
      <c r="M465" s="4" t="s">
        <v>3320</v>
      </c>
      <c r="N465" s="4" t="s">
        <v>2584</v>
      </c>
      <c r="O465" s="89"/>
      <c r="P465" s="25">
        <v>45691</v>
      </c>
      <c r="Q465" s="7" t="s">
        <v>1106</v>
      </c>
      <c r="R465" s="90" t="s">
        <v>3264</v>
      </c>
      <c r="S465" s="6" t="s">
        <v>1795</v>
      </c>
      <c r="T465" s="4" t="s">
        <v>81</v>
      </c>
      <c r="U465" s="4" t="s">
        <v>107</v>
      </c>
      <c r="V465" s="4">
        <v>99</v>
      </c>
      <c r="W465" s="85">
        <v>45747</v>
      </c>
      <c r="X465" s="4" t="s">
        <v>3698</v>
      </c>
      <c r="Y465" s="4" t="s">
        <v>2371</v>
      </c>
      <c r="Z465" s="4" t="s">
        <v>2395</v>
      </c>
      <c r="AA465" s="4" t="s">
        <v>85</v>
      </c>
      <c r="AB465" s="4" t="s">
        <v>4289</v>
      </c>
    </row>
    <row r="466" spans="1:28">
      <c r="A466" s="4">
        <v>465</v>
      </c>
      <c r="B466" s="5">
        <v>14258953</v>
      </c>
      <c r="C466" s="5">
        <v>203521526</v>
      </c>
      <c r="D466" s="115" t="s">
        <v>198</v>
      </c>
      <c r="E466" s="4" t="s">
        <v>199</v>
      </c>
      <c r="F466" s="7" t="s">
        <v>74</v>
      </c>
      <c r="G466" s="7" t="s">
        <v>94</v>
      </c>
      <c r="H466" s="7" t="s">
        <v>89</v>
      </c>
      <c r="I466" s="6" t="s">
        <v>1788</v>
      </c>
      <c r="J466" s="7" t="s">
        <v>3</v>
      </c>
      <c r="K466" s="4" t="s">
        <v>10</v>
      </c>
      <c r="L466" s="4" t="s">
        <v>24</v>
      </c>
      <c r="M466" s="4" t="s">
        <v>634</v>
      </c>
      <c r="N466" s="4" t="s">
        <v>2583</v>
      </c>
      <c r="O466" s="89"/>
      <c r="P466" s="25">
        <v>45463</v>
      </c>
      <c r="Q466" s="7" t="s">
        <v>1433</v>
      </c>
      <c r="R466" s="90" t="s">
        <v>3253</v>
      </c>
      <c r="S466" s="6" t="s">
        <v>1795</v>
      </c>
      <c r="T466" s="4" t="s">
        <v>81</v>
      </c>
      <c r="U466" s="4" t="s">
        <v>349</v>
      </c>
      <c r="V466" s="4">
        <v>99</v>
      </c>
      <c r="W466" s="85">
        <v>45828</v>
      </c>
      <c r="X466" s="4" t="s">
        <v>3703</v>
      </c>
      <c r="Y466" s="4">
        <v>542481432</v>
      </c>
      <c r="Z466" s="4" t="s">
        <v>1962</v>
      </c>
      <c r="AA466" s="4" t="s">
        <v>85</v>
      </c>
      <c r="AB466" s="4" t="s">
        <v>4289</v>
      </c>
    </row>
    <row r="467" spans="1:28">
      <c r="A467" s="4">
        <v>466</v>
      </c>
      <c r="B467" s="5">
        <v>11547905</v>
      </c>
      <c r="C467" s="5">
        <v>203521132</v>
      </c>
      <c r="D467" s="115" t="s">
        <v>222</v>
      </c>
      <c r="E467" s="4" t="s">
        <v>223</v>
      </c>
      <c r="F467" s="7" t="s">
        <v>74</v>
      </c>
      <c r="G467" s="7" t="s">
        <v>94</v>
      </c>
      <c r="H467" s="7" t="s">
        <v>89</v>
      </c>
      <c r="I467" s="6" t="s">
        <v>1788</v>
      </c>
      <c r="J467" s="7" t="s">
        <v>3</v>
      </c>
      <c r="K467" s="4" t="s">
        <v>10</v>
      </c>
      <c r="L467" s="4" t="s">
        <v>24</v>
      </c>
      <c r="M467" s="4" t="s">
        <v>634</v>
      </c>
      <c r="N467" s="4" t="s">
        <v>2584</v>
      </c>
      <c r="O467" s="89"/>
      <c r="P467" s="25">
        <v>45463</v>
      </c>
      <c r="Q467" s="7" t="s">
        <v>1106</v>
      </c>
      <c r="R467" s="90" t="s">
        <v>3256</v>
      </c>
      <c r="S467" s="6" t="s">
        <v>1795</v>
      </c>
      <c r="T467" s="4" t="s">
        <v>81</v>
      </c>
      <c r="U467" s="4" t="s">
        <v>349</v>
      </c>
      <c r="V467" s="4">
        <v>99</v>
      </c>
      <c r="W467" s="85">
        <v>45828</v>
      </c>
      <c r="X467" s="4" t="s">
        <v>3703</v>
      </c>
      <c r="Y467" s="4">
        <v>557147195</v>
      </c>
      <c r="Z467" s="4" t="s">
        <v>1963</v>
      </c>
      <c r="AA467" s="4" t="s">
        <v>85</v>
      </c>
      <c r="AB467" s="4" t="s">
        <v>4289</v>
      </c>
    </row>
    <row r="468" spans="1:28">
      <c r="A468" s="4">
        <v>467</v>
      </c>
      <c r="B468" s="5">
        <v>15390173</v>
      </c>
      <c r="C468" s="5">
        <v>203800381</v>
      </c>
      <c r="D468" s="115" t="s">
        <v>651</v>
      </c>
      <c r="E468" s="4" t="s">
        <v>652</v>
      </c>
      <c r="F468" s="7" t="s">
        <v>74</v>
      </c>
      <c r="G468" s="7" t="s">
        <v>94</v>
      </c>
      <c r="H468" s="7" t="s">
        <v>89</v>
      </c>
      <c r="I468" s="6" t="s">
        <v>1790</v>
      </c>
      <c r="J468" s="7" t="s">
        <v>3</v>
      </c>
      <c r="K468" s="4" t="s">
        <v>10</v>
      </c>
      <c r="L468" s="4" t="s">
        <v>22</v>
      </c>
      <c r="M468" s="4" t="s">
        <v>634</v>
      </c>
      <c r="N468" s="4" t="s">
        <v>2583</v>
      </c>
      <c r="O468" s="89"/>
      <c r="P468" s="25">
        <v>45516</v>
      </c>
      <c r="Q468" s="7" t="s">
        <v>161</v>
      </c>
      <c r="R468" s="90" t="s">
        <v>3260</v>
      </c>
      <c r="S468" s="6" t="s">
        <v>1795</v>
      </c>
      <c r="T468" s="4" t="s">
        <v>81</v>
      </c>
      <c r="U468" s="4" t="s">
        <v>3263</v>
      </c>
      <c r="V468" s="4">
        <v>99</v>
      </c>
      <c r="W468" s="85">
        <v>45572</v>
      </c>
      <c r="X468" s="4" t="s">
        <v>1216</v>
      </c>
      <c r="Y468" s="4">
        <v>554668018</v>
      </c>
      <c r="Z468" s="4" t="s">
        <v>1964</v>
      </c>
      <c r="AA468" s="4" t="s">
        <v>95</v>
      </c>
      <c r="AB468" s="4" t="s">
        <v>4290</v>
      </c>
    </row>
    <row r="469" spans="1:28">
      <c r="A469" s="4">
        <v>468</v>
      </c>
      <c r="B469" s="5">
        <v>13934911</v>
      </c>
      <c r="C469" s="5">
        <v>203736777</v>
      </c>
      <c r="D469" s="115" t="s">
        <v>283</v>
      </c>
      <c r="E469" s="4" t="s">
        <v>284</v>
      </c>
      <c r="F469" s="7" t="s">
        <v>82</v>
      </c>
      <c r="G469" s="7" t="s">
        <v>89</v>
      </c>
      <c r="H469" s="7" t="s">
        <v>90</v>
      </c>
      <c r="I469" s="6" t="s">
        <v>1790</v>
      </c>
      <c r="J469" s="7" t="s">
        <v>3</v>
      </c>
      <c r="K469" s="4" t="s">
        <v>10</v>
      </c>
      <c r="L469" s="4" t="s">
        <v>20</v>
      </c>
      <c r="M469" s="4" t="s">
        <v>4312</v>
      </c>
      <c r="N469" s="4" t="s">
        <v>2584</v>
      </c>
      <c r="O469" s="89"/>
      <c r="P469" s="25">
        <v>45502</v>
      </c>
      <c r="Q469" s="7" t="s">
        <v>1106</v>
      </c>
      <c r="R469" s="90" t="s">
        <v>3260</v>
      </c>
      <c r="S469" s="6" t="s">
        <v>1795</v>
      </c>
      <c r="T469" s="4" t="s">
        <v>81</v>
      </c>
      <c r="U469" s="4" t="s">
        <v>103</v>
      </c>
      <c r="V469" s="4">
        <v>99</v>
      </c>
      <c r="W469" s="85">
        <v>46232</v>
      </c>
      <c r="X469" s="4" t="s">
        <v>3690</v>
      </c>
      <c r="Y469" s="4">
        <v>557148104</v>
      </c>
      <c r="Z469" s="4" t="s">
        <v>1965</v>
      </c>
      <c r="AA469" s="4" t="s">
        <v>1211</v>
      </c>
      <c r="AB469" s="4" t="s">
        <v>4289</v>
      </c>
    </row>
    <row r="470" spans="1:28" ht="14.5" customHeight="1">
      <c r="A470" s="4">
        <v>469</v>
      </c>
      <c r="B470" s="5">
        <v>14168448</v>
      </c>
      <c r="C470" s="4">
        <v>206953970</v>
      </c>
      <c r="D470" s="115" t="s">
        <v>4273</v>
      </c>
      <c r="E470" s="4" t="s">
        <v>4265</v>
      </c>
      <c r="F470" s="7" t="s">
        <v>82</v>
      </c>
      <c r="G470" s="7" t="s">
        <v>94</v>
      </c>
      <c r="H470" s="7" t="s">
        <v>89</v>
      </c>
      <c r="I470" s="6" t="s">
        <v>1790</v>
      </c>
      <c r="J470" s="109" t="s">
        <v>3</v>
      </c>
      <c r="K470" s="4" t="s">
        <v>10</v>
      </c>
      <c r="L470" s="111" t="s">
        <v>22</v>
      </c>
      <c r="M470" s="102" t="s">
        <v>4312</v>
      </c>
      <c r="N470" s="4" t="s">
        <v>2584</v>
      </c>
      <c r="O470" s="89"/>
      <c r="P470" s="25">
        <v>46051</v>
      </c>
      <c r="Q470" s="83" t="s">
        <v>1106</v>
      </c>
      <c r="R470" s="90" t="s">
        <v>3256</v>
      </c>
      <c r="S470" s="6" t="s">
        <v>1795</v>
      </c>
      <c r="T470" s="4" t="s">
        <v>81</v>
      </c>
      <c r="U470" s="4"/>
      <c r="V470" s="4">
        <v>99</v>
      </c>
      <c r="W470" s="85">
        <v>46780</v>
      </c>
      <c r="X470" s="4" t="s">
        <v>3290</v>
      </c>
      <c r="Y470" s="4">
        <v>588213180</v>
      </c>
      <c r="Z470" s="4" t="s">
        <v>4269</v>
      </c>
      <c r="AA470" s="4" t="s">
        <v>3016</v>
      </c>
      <c r="AB470" s="4" t="e">
        <v>#N/A</v>
      </c>
    </row>
    <row r="471" spans="1:28" ht="14.5" customHeight="1">
      <c r="A471" s="4">
        <v>470</v>
      </c>
      <c r="B471" s="95">
        <v>14046343</v>
      </c>
      <c r="C471" s="5">
        <v>206873867</v>
      </c>
      <c r="D471" s="115" t="s">
        <v>3422</v>
      </c>
      <c r="E471" s="4" t="s">
        <v>3376</v>
      </c>
      <c r="F471" s="7" t="s">
        <v>82</v>
      </c>
      <c r="G471" s="7" t="s">
        <v>88</v>
      </c>
      <c r="H471" s="7" t="s">
        <v>94</v>
      </c>
      <c r="I471" s="7" t="s">
        <v>1789</v>
      </c>
      <c r="J471" s="6" t="s">
        <v>3</v>
      </c>
      <c r="K471" s="6" t="s">
        <v>10</v>
      </c>
      <c r="L471" s="4" t="s">
        <v>22</v>
      </c>
      <c r="M471" s="4" t="s">
        <v>3320</v>
      </c>
      <c r="N471" s="4" t="s">
        <v>2584</v>
      </c>
      <c r="O471" s="89"/>
      <c r="P471" s="25">
        <v>46020</v>
      </c>
      <c r="Q471" s="7" t="s">
        <v>1106</v>
      </c>
      <c r="R471" s="4" t="s">
        <v>3261</v>
      </c>
      <c r="S471" s="6" t="s">
        <v>3478</v>
      </c>
      <c r="T471" s="4" t="s">
        <v>81</v>
      </c>
      <c r="U471" s="4"/>
      <c r="V471" s="4">
        <v>99</v>
      </c>
      <c r="W471" s="4"/>
      <c r="X471" s="4" t="s">
        <v>3290</v>
      </c>
      <c r="Y471" s="95">
        <v>543766592</v>
      </c>
      <c r="Z471" s="4" t="s">
        <v>3452</v>
      </c>
      <c r="AA471" s="4" t="s">
        <v>3016</v>
      </c>
      <c r="AB471" s="4" t="s">
        <v>4289</v>
      </c>
    </row>
    <row r="472" spans="1:28">
      <c r="A472" s="4">
        <v>471</v>
      </c>
      <c r="B472" s="5">
        <v>11670059</v>
      </c>
      <c r="C472" s="5">
        <v>203468399</v>
      </c>
      <c r="D472" s="115" t="s">
        <v>192</v>
      </c>
      <c r="E472" s="4" t="s">
        <v>193</v>
      </c>
      <c r="F472" s="7" t="s">
        <v>74</v>
      </c>
      <c r="G472" s="7" t="s">
        <v>76</v>
      </c>
      <c r="H472" s="7" t="s">
        <v>88</v>
      </c>
      <c r="I472" s="6" t="s">
        <v>1788</v>
      </c>
      <c r="J472" s="7" t="s">
        <v>3</v>
      </c>
      <c r="K472" s="4" t="s">
        <v>10</v>
      </c>
      <c r="L472" s="4" t="s">
        <v>24</v>
      </c>
      <c r="M472" s="4" t="s">
        <v>4312</v>
      </c>
      <c r="N472" s="4" t="s">
        <v>2583</v>
      </c>
      <c r="O472" s="89"/>
      <c r="P472" s="25">
        <v>45456</v>
      </c>
      <c r="Q472" s="7" t="s">
        <v>1433</v>
      </c>
      <c r="R472" s="90" t="s">
        <v>3252</v>
      </c>
      <c r="S472" s="6" t="s">
        <v>1795</v>
      </c>
      <c r="T472" s="4" t="s">
        <v>81</v>
      </c>
      <c r="U472" s="4" t="s">
        <v>107</v>
      </c>
      <c r="V472" s="4">
        <v>99</v>
      </c>
      <c r="W472" s="85">
        <v>45821</v>
      </c>
      <c r="X472" s="4" t="s">
        <v>3703</v>
      </c>
      <c r="Y472" s="4">
        <v>582690980</v>
      </c>
      <c r="Z472" s="4" t="s">
        <v>1966</v>
      </c>
      <c r="AA472" s="4" t="s">
        <v>85</v>
      </c>
      <c r="AB472" s="4" t="s">
        <v>4290</v>
      </c>
    </row>
    <row r="473" spans="1:28">
      <c r="A473" s="4">
        <v>472</v>
      </c>
      <c r="B473" s="5">
        <v>15268038</v>
      </c>
      <c r="C473" s="5">
        <v>203736772</v>
      </c>
      <c r="D473" s="115" t="s">
        <v>285</v>
      </c>
      <c r="E473" s="4" t="s">
        <v>286</v>
      </c>
      <c r="F473" s="7" t="s">
        <v>74</v>
      </c>
      <c r="G473" s="7" t="s">
        <v>88</v>
      </c>
      <c r="H473" s="7" t="s">
        <v>94</v>
      </c>
      <c r="I473" s="6" t="s">
        <v>1790</v>
      </c>
      <c r="J473" s="7" t="s">
        <v>3</v>
      </c>
      <c r="K473" s="4" t="s">
        <v>10</v>
      </c>
      <c r="L473" s="4" t="s">
        <v>20</v>
      </c>
      <c r="M473" s="4" t="s">
        <v>3320</v>
      </c>
      <c r="N473" s="4" t="s">
        <v>2584</v>
      </c>
      <c r="O473" s="89"/>
      <c r="P473" s="25">
        <v>45502</v>
      </c>
      <c r="Q473" s="7" t="s">
        <v>1106</v>
      </c>
      <c r="R473" s="90" t="s">
        <v>2586</v>
      </c>
      <c r="S473" s="6" t="s">
        <v>1795</v>
      </c>
      <c r="T473" s="4" t="s">
        <v>81</v>
      </c>
      <c r="U473" s="4" t="s">
        <v>103</v>
      </c>
      <c r="V473" s="4">
        <v>99</v>
      </c>
      <c r="W473" s="85">
        <v>46232</v>
      </c>
      <c r="X473" s="4" t="s">
        <v>1216</v>
      </c>
      <c r="Y473" s="4">
        <v>551364908</v>
      </c>
      <c r="Z473" s="4" t="s">
        <v>1967</v>
      </c>
      <c r="AA473" s="4" t="s">
        <v>1194</v>
      </c>
      <c r="AB473" s="4" t="s">
        <v>4290</v>
      </c>
    </row>
    <row r="474" spans="1:28" ht="14.5" customHeight="1">
      <c r="A474" s="4">
        <v>473</v>
      </c>
      <c r="B474" s="5">
        <v>13683186</v>
      </c>
      <c r="C474" s="5">
        <v>204246604</v>
      </c>
      <c r="D474" s="115" t="s">
        <v>1730</v>
      </c>
      <c r="E474" s="4" t="s">
        <v>1636</v>
      </c>
      <c r="F474" s="7" t="s">
        <v>74</v>
      </c>
      <c r="G474" s="7" t="s">
        <v>90</v>
      </c>
      <c r="H474" s="7" t="s">
        <v>87</v>
      </c>
      <c r="I474" s="6" t="s">
        <v>1790</v>
      </c>
      <c r="J474" s="7" t="s">
        <v>7</v>
      </c>
      <c r="K474" s="4" t="s">
        <v>10</v>
      </c>
      <c r="L474" s="4" t="s">
        <v>27</v>
      </c>
      <c r="M474" s="4" t="s">
        <v>4315</v>
      </c>
      <c r="N474" s="4" t="s">
        <v>2584</v>
      </c>
      <c r="O474" s="89"/>
      <c r="P474" s="25">
        <v>45579</v>
      </c>
      <c r="Q474" s="7" t="s">
        <v>7</v>
      </c>
      <c r="R474" s="90" t="s">
        <v>3258</v>
      </c>
      <c r="S474" s="6" t="s">
        <v>1795</v>
      </c>
      <c r="T474" s="4" t="s">
        <v>81</v>
      </c>
      <c r="U474" s="4" t="s">
        <v>103</v>
      </c>
      <c r="V474" s="4">
        <v>99</v>
      </c>
      <c r="W474" s="85">
        <v>46309</v>
      </c>
      <c r="X474" s="4" t="s">
        <v>3690</v>
      </c>
      <c r="Y474" s="4">
        <v>527871558</v>
      </c>
      <c r="Z474" s="4" t="s">
        <v>1660</v>
      </c>
      <c r="AA474" s="4" t="s">
        <v>85</v>
      </c>
      <c r="AB474" s="4" t="s">
        <v>4290</v>
      </c>
    </row>
    <row r="475" spans="1:28">
      <c r="A475" s="4">
        <v>474</v>
      </c>
      <c r="B475" s="5">
        <v>11598997</v>
      </c>
      <c r="C475" s="5">
        <v>203709595</v>
      </c>
      <c r="D475" s="115" t="s">
        <v>265</v>
      </c>
      <c r="E475" s="4" t="s">
        <v>266</v>
      </c>
      <c r="F475" s="7" t="s">
        <v>82</v>
      </c>
      <c r="G475" s="7" t="s">
        <v>94</v>
      </c>
      <c r="H475" s="7" t="s">
        <v>89</v>
      </c>
      <c r="I475" s="6" t="s">
        <v>1790</v>
      </c>
      <c r="J475" s="7" t="s">
        <v>3</v>
      </c>
      <c r="K475" s="4" t="s">
        <v>10</v>
      </c>
      <c r="L475" s="4" t="s">
        <v>20</v>
      </c>
      <c r="M475" s="4" t="s">
        <v>3320</v>
      </c>
      <c r="N475" s="4" t="s">
        <v>2584</v>
      </c>
      <c r="O475" s="89"/>
      <c r="P475" s="25">
        <v>45495</v>
      </c>
      <c r="Q475" s="7" t="s">
        <v>1106</v>
      </c>
      <c r="R475" s="90" t="s">
        <v>3252</v>
      </c>
      <c r="S475" s="6" t="s">
        <v>1795</v>
      </c>
      <c r="T475" s="4" t="s">
        <v>81</v>
      </c>
      <c r="U475" s="4" t="s">
        <v>107</v>
      </c>
      <c r="V475" s="4">
        <v>99</v>
      </c>
      <c r="W475" s="85">
        <v>46225</v>
      </c>
      <c r="X475" s="4" t="s">
        <v>3474</v>
      </c>
      <c r="Y475" s="4">
        <v>589966750</v>
      </c>
      <c r="Z475" s="4" t="s">
        <v>1968</v>
      </c>
      <c r="AA475" s="4" t="s">
        <v>1194</v>
      </c>
      <c r="AB475" s="4" t="s">
        <v>4290</v>
      </c>
    </row>
    <row r="476" spans="1:28">
      <c r="A476" s="4">
        <v>475</v>
      </c>
      <c r="B476" s="5">
        <v>14876388</v>
      </c>
      <c r="C476" s="5">
        <v>204882806</v>
      </c>
      <c r="D476" s="115" t="s">
        <v>2321</v>
      </c>
      <c r="E476" s="4" t="s">
        <v>2322</v>
      </c>
      <c r="F476" s="7" t="s">
        <v>74</v>
      </c>
      <c r="G476" s="7" t="s">
        <v>88</v>
      </c>
      <c r="H476" s="7" t="s">
        <v>94</v>
      </c>
      <c r="I476" s="6" t="s">
        <v>1790</v>
      </c>
      <c r="J476" s="7" t="s">
        <v>3</v>
      </c>
      <c r="K476" s="4" t="s">
        <v>10</v>
      </c>
      <c r="L476" s="4" t="s">
        <v>22</v>
      </c>
      <c r="M476" s="4" t="s">
        <v>3320</v>
      </c>
      <c r="N476" s="4" t="s">
        <v>2584</v>
      </c>
      <c r="O476" s="89"/>
      <c r="P476" s="25">
        <v>45691</v>
      </c>
      <c r="Q476" s="7" t="s">
        <v>1106</v>
      </c>
      <c r="R476" s="90" t="s">
        <v>3254</v>
      </c>
      <c r="S476" s="6" t="s">
        <v>1795</v>
      </c>
      <c r="T476" s="4" t="s">
        <v>81</v>
      </c>
      <c r="U476" s="4" t="s">
        <v>107</v>
      </c>
      <c r="V476" s="4">
        <v>99</v>
      </c>
      <c r="W476" s="85">
        <v>45747</v>
      </c>
      <c r="X476" s="4" t="s">
        <v>1216</v>
      </c>
      <c r="Y476" s="4">
        <v>556557415</v>
      </c>
      <c r="Z476" s="4" t="s">
        <v>2396</v>
      </c>
      <c r="AA476" s="4" t="s">
        <v>85</v>
      </c>
      <c r="AB476" s="4" t="s">
        <v>4290</v>
      </c>
    </row>
    <row r="477" spans="1:28">
      <c r="A477" s="4">
        <v>476</v>
      </c>
      <c r="B477" s="5">
        <v>12879059</v>
      </c>
      <c r="C477" s="5">
        <v>204967150</v>
      </c>
      <c r="D477" s="115" t="s">
        <v>2468</v>
      </c>
      <c r="E477" s="4" t="s">
        <v>2469</v>
      </c>
      <c r="F477" s="7" t="s">
        <v>74</v>
      </c>
      <c r="G477" s="7" t="s">
        <v>90</v>
      </c>
      <c r="H477" s="7" t="s">
        <v>87</v>
      </c>
      <c r="I477" s="6" t="s">
        <v>1790</v>
      </c>
      <c r="J477" s="7" t="s">
        <v>3</v>
      </c>
      <c r="K477" s="4" t="s">
        <v>10</v>
      </c>
      <c r="L477" s="4" t="s">
        <v>22</v>
      </c>
      <c r="M477" s="4" t="s">
        <v>3320</v>
      </c>
      <c r="N477" s="4" t="s">
        <v>2584</v>
      </c>
      <c r="O477" s="89"/>
      <c r="P477" s="25">
        <v>45826</v>
      </c>
      <c r="Q477" s="7" t="s">
        <v>1106</v>
      </c>
      <c r="R477" s="90" t="s">
        <v>3252</v>
      </c>
      <c r="S477" s="6" t="s">
        <v>1795</v>
      </c>
      <c r="T477" s="4" t="s">
        <v>81</v>
      </c>
      <c r="U477" s="4" t="s">
        <v>3263</v>
      </c>
      <c r="V477" s="4">
        <v>99</v>
      </c>
      <c r="W477" s="85">
        <v>45882</v>
      </c>
      <c r="X477" s="4" t="s">
        <v>1216</v>
      </c>
      <c r="Y477" s="4"/>
      <c r="Z477" s="4"/>
      <c r="AA477" s="4" t="s">
        <v>85</v>
      </c>
      <c r="AB477" s="4" t="s">
        <v>4290</v>
      </c>
    </row>
    <row r="478" spans="1:28" ht="14.5" customHeight="1">
      <c r="A478" s="4">
        <v>477</v>
      </c>
      <c r="B478" s="5">
        <v>11217835</v>
      </c>
      <c r="C478" s="5">
        <v>203816300</v>
      </c>
      <c r="D478" s="115" t="s">
        <v>740</v>
      </c>
      <c r="E478" s="4" t="s">
        <v>741</v>
      </c>
      <c r="F478" s="7" t="s">
        <v>82</v>
      </c>
      <c r="G478" s="7" t="s">
        <v>90</v>
      </c>
      <c r="H478" s="7" t="s">
        <v>87</v>
      </c>
      <c r="I478" s="7" t="s">
        <v>1789</v>
      </c>
      <c r="J478" s="7" t="s">
        <v>7</v>
      </c>
      <c r="K478" s="4" t="s">
        <v>10</v>
      </c>
      <c r="L478" s="4" t="s">
        <v>22</v>
      </c>
      <c r="M478" s="4" t="s">
        <v>4315</v>
      </c>
      <c r="N478" s="4" t="s">
        <v>2584</v>
      </c>
      <c r="O478" s="89"/>
      <c r="P478" s="25">
        <v>45524</v>
      </c>
      <c r="Q478" s="7" t="s">
        <v>7</v>
      </c>
      <c r="R478" s="90" t="s">
        <v>3254</v>
      </c>
      <c r="S478" s="6" t="s">
        <v>1795</v>
      </c>
      <c r="T478" s="4" t="s">
        <v>81</v>
      </c>
      <c r="U478" s="4" t="s">
        <v>107</v>
      </c>
      <c r="V478" s="4">
        <v>99</v>
      </c>
      <c r="W478" s="85">
        <v>45580</v>
      </c>
      <c r="X478" s="4" t="s">
        <v>1216</v>
      </c>
      <c r="Y478" s="4">
        <v>564476531</v>
      </c>
      <c r="Z478" s="4" t="s">
        <v>1969</v>
      </c>
      <c r="AA478" s="4" t="s">
        <v>95</v>
      </c>
      <c r="AB478" s="4" t="s">
        <v>4289</v>
      </c>
    </row>
    <row r="479" spans="1:28" ht="14.5" customHeight="1">
      <c r="A479" s="4">
        <v>478</v>
      </c>
      <c r="B479" s="5">
        <v>13026609</v>
      </c>
      <c r="C479" s="5">
        <v>203735944</v>
      </c>
      <c r="D479" s="115" t="s">
        <v>341</v>
      </c>
      <c r="E479" s="4" t="s">
        <v>342</v>
      </c>
      <c r="F479" s="7" t="s">
        <v>74</v>
      </c>
      <c r="G479" s="7" t="s">
        <v>76</v>
      </c>
      <c r="H479" s="7" t="s">
        <v>88</v>
      </c>
      <c r="I479" s="6" t="s">
        <v>1790</v>
      </c>
      <c r="J479" s="7" t="s">
        <v>3</v>
      </c>
      <c r="K479" s="4" t="s">
        <v>10</v>
      </c>
      <c r="L479" s="4" t="s">
        <v>22</v>
      </c>
      <c r="M479" s="4" t="s">
        <v>3320</v>
      </c>
      <c r="N479" s="4" t="s">
        <v>2584</v>
      </c>
      <c r="O479" s="89"/>
      <c r="P479" s="25">
        <v>45502</v>
      </c>
      <c r="Q479" s="7" t="s">
        <v>1106</v>
      </c>
      <c r="R479" s="90" t="s">
        <v>3256</v>
      </c>
      <c r="S479" s="6" t="s">
        <v>1795</v>
      </c>
      <c r="T479" s="4" t="s">
        <v>81</v>
      </c>
      <c r="U479" s="4" t="s">
        <v>103</v>
      </c>
      <c r="V479" s="4">
        <v>99</v>
      </c>
      <c r="W479" s="85">
        <v>45558</v>
      </c>
      <c r="X479" s="4" t="s">
        <v>1216</v>
      </c>
      <c r="Y479" s="4">
        <v>559096847</v>
      </c>
      <c r="Z479" s="4" t="s">
        <v>1970</v>
      </c>
      <c r="AA479" s="4" t="s">
        <v>95</v>
      </c>
      <c r="AB479" s="4" t="s">
        <v>4289</v>
      </c>
    </row>
    <row r="480" spans="1:28" ht="14.5" customHeight="1">
      <c r="A480" s="4">
        <v>479</v>
      </c>
      <c r="B480" s="5">
        <v>11300840</v>
      </c>
      <c r="C480" s="5">
        <v>203736755</v>
      </c>
      <c r="D480" s="115" t="s">
        <v>287</v>
      </c>
      <c r="E480" s="4" t="s">
        <v>288</v>
      </c>
      <c r="F480" s="7" t="s">
        <v>74</v>
      </c>
      <c r="G480" s="7" t="s">
        <v>88</v>
      </c>
      <c r="H480" s="7" t="s">
        <v>94</v>
      </c>
      <c r="I480" s="6" t="s">
        <v>1790</v>
      </c>
      <c r="J480" s="7" t="s">
        <v>3</v>
      </c>
      <c r="K480" s="4" t="s">
        <v>10</v>
      </c>
      <c r="L480" s="4" t="s">
        <v>20</v>
      </c>
      <c r="M480" s="4" t="s">
        <v>3320</v>
      </c>
      <c r="N480" s="4" t="s">
        <v>2584</v>
      </c>
      <c r="O480" s="89"/>
      <c r="P480" s="25">
        <v>45502</v>
      </c>
      <c r="Q480" s="7" t="s">
        <v>1106</v>
      </c>
      <c r="R480" s="90" t="s">
        <v>3256</v>
      </c>
      <c r="S480" s="6" t="s">
        <v>1795</v>
      </c>
      <c r="T480" s="4" t="s">
        <v>81</v>
      </c>
      <c r="U480" s="4" t="s">
        <v>3263</v>
      </c>
      <c r="V480" s="4">
        <v>99</v>
      </c>
      <c r="W480" s="85">
        <v>46232</v>
      </c>
      <c r="X480" s="4" t="s">
        <v>3474</v>
      </c>
      <c r="Y480" s="4">
        <v>509051889</v>
      </c>
      <c r="Z480" s="4" t="s">
        <v>1971</v>
      </c>
      <c r="AA480" s="4" t="s">
        <v>1208</v>
      </c>
      <c r="AB480" s="4" t="s">
        <v>4289</v>
      </c>
    </row>
    <row r="481" spans="1:28">
      <c r="A481" s="4">
        <v>480</v>
      </c>
      <c r="B481" s="95">
        <v>13175279</v>
      </c>
      <c r="C481" s="5">
        <v>206873871</v>
      </c>
      <c r="D481" s="115" t="s">
        <v>3423</v>
      </c>
      <c r="E481" s="4" t="s">
        <v>3377</v>
      </c>
      <c r="F481" s="7" t="s">
        <v>74</v>
      </c>
      <c r="G481" s="7" t="s">
        <v>90</v>
      </c>
      <c r="H481" s="7" t="s">
        <v>87</v>
      </c>
      <c r="I481" s="7" t="s">
        <v>1789</v>
      </c>
      <c r="J481" s="6" t="s">
        <v>3</v>
      </c>
      <c r="K481" s="6" t="s">
        <v>10</v>
      </c>
      <c r="L481" s="4" t="s">
        <v>22</v>
      </c>
      <c r="M481" s="4" t="s">
        <v>3320</v>
      </c>
      <c r="N481" s="4" t="s">
        <v>2584</v>
      </c>
      <c r="O481" s="89"/>
      <c r="P481" s="25">
        <v>46020</v>
      </c>
      <c r="Q481" s="7" t="s">
        <v>1106</v>
      </c>
      <c r="R481" s="90" t="s">
        <v>3256</v>
      </c>
      <c r="S481" s="6" t="s">
        <v>3478</v>
      </c>
      <c r="T481" s="4" t="s">
        <v>81</v>
      </c>
      <c r="U481" s="4"/>
      <c r="V481" s="4">
        <v>99</v>
      </c>
      <c r="W481" s="4"/>
      <c r="X481" s="4" t="s">
        <v>3290</v>
      </c>
      <c r="Y481" s="95">
        <v>5287658358</v>
      </c>
      <c r="Z481" s="4" t="s">
        <v>3453</v>
      </c>
      <c r="AA481" s="4" t="s">
        <v>3016</v>
      </c>
      <c r="AB481" s="4" t="s">
        <v>4289</v>
      </c>
    </row>
    <row r="482" spans="1:28">
      <c r="A482" s="4">
        <v>481</v>
      </c>
      <c r="B482" s="5">
        <v>12657688</v>
      </c>
      <c r="C482" s="5">
        <v>204890367</v>
      </c>
      <c r="D482" s="115" t="s">
        <v>2323</v>
      </c>
      <c r="E482" s="4" t="s">
        <v>2324</v>
      </c>
      <c r="F482" s="7" t="s">
        <v>74</v>
      </c>
      <c r="G482" s="7" t="s">
        <v>89</v>
      </c>
      <c r="H482" s="7" t="s">
        <v>90</v>
      </c>
      <c r="I482" s="6" t="s">
        <v>1790</v>
      </c>
      <c r="J482" s="7" t="s">
        <v>3</v>
      </c>
      <c r="K482" s="4" t="s">
        <v>10</v>
      </c>
      <c r="L482" s="4" t="s">
        <v>22</v>
      </c>
      <c r="M482" s="4" t="s">
        <v>3320</v>
      </c>
      <c r="N482" s="4" t="s">
        <v>2584</v>
      </c>
      <c r="O482" s="89"/>
      <c r="P482" s="25">
        <v>45826</v>
      </c>
      <c r="Q482" s="7" t="s">
        <v>1106</v>
      </c>
      <c r="R482" s="90" t="s">
        <v>3257</v>
      </c>
      <c r="S482" s="6" t="s">
        <v>1795</v>
      </c>
      <c r="T482" s="4" t="s">
        <v>81</v>
      </c>
      <c r="U482" s="4" t="s">
        <v>112</v>
      </c>
      <c r="V482" s="4">
        <v>99</v>
      </c>
      <c r="W482" s="85">
        <v>45882</v>
      </c>
      <c r="X482" s="4" t="s">
        <v>1216</v>
      </c>
      <c r="Y482" s="4"/>
      <c r="Z482" s="4"/>
      <c r="AA482" s="4" t="s">
        <v>85</v>
      </c>
      <c r="AB482" s="4" t="s">
        <v>4289</v>
      </c>
    </row>
    <row r="483" spans="1:28">
      <c r="A483" s="4">
        <v>482</v>
      </c>
      <c r="B483" s="5">
        <v>13616140</v>
      </c>
      <c r="C483" s="5">
        <v>201633155</v>
      </c>
      <c r="D483" s="115" t="s">
        <v>367</v>
      </c>
      <c r="E483" s="4" t="s">
        <v>368</v>
      </c>
      <c r="F483" s="7" t="s">
        <v>74</v>
      </c>
      <c r="G483" s="7" t="s">
        <v>90</v>
      </c>
      <c r="H483" s="7" t="s">
        <v>87</v>
      </c>
      <c r="I483" s="6" t="s">
        <v>1790</v>
      </c>
      <c r="J483" s="7" t="s">
        <v>3</v>
      </c>
      <c r="K483" s="4" t="s">
        <v>10</v>
      </c>
      <c r="L483" s="4" t="s">
        <v>27</v>
      </c>
      <c r="M483" s="4" t="s">
        <v>634</v>
      </c>
      <c r="N483" s="4" t="s">
        <v>2584</v>
      </c>
      <c r="O483" s="89"/>
      <c r="P483" s="25">
        <v>45581</v>
      </c>
      <c r="Q483" s="7" t="s">
        <v>1106</v>
      </c>
      <c r="R483" s="90" t="s">
        <v>3257</v>
      </c>
      <c r="S483" s="6" t="s">
        <v>1795</v>
      </c>
      <c r="T483" s="4" t="s">
        <v>81</v>
      </c>
      <c r="U483" s="4" t="s">
        <v>103</v>
      </c>
      <c r="V483" s="4">
        <v>99</v>
      </c>
      <c r="W483" s="85">
        <v>46311</v>
      </c>
      <c r="X483" s="4" t="s">
        <v>3474</v>
      </c>
      <c r="Y483" s="4">
        <v>566326373</v>
      </c>
      <c r="Z483" s="4" t="s">
        <v>1972</v>
      </c>
      <c r="AA483" s="4" t="s">
        <v>127</v>
      </c>
      <c r="AB483" s="4" t="s">
        <v>4290</v>
      </c>
    </row>
    <row r="484" spans="1:28">
      <c r="A484" s="4">
        <v>483</v>
      </c>
      <c r="B484" s="5">
        <v>12074995</v>
      </c>
      <c r="C484" s="5">
        <v>103986189</v>
      </c>
      <c r="D484" s="115" t="s">
        <v>137</v>
      </c>
      <c r="E484" s="4" t="s">
        <v>138</v>
      </c>
      <c r="F484" s="7" t="s">
        <v>82</v>
      </c>
      <c r="G484" s="7" t="s">
        <v>76</v>
      </c>
      <c r="H484" s="7" t="s">
        <v>88</v>
      </c>
      <c r="I484" s="6" t="s">
        <v>244</v>
      </c>
      <c r="J484" s="7" t="s">
        <v>3</v>
      </c>
      <c r="K484" s="4" t="s">
        <v>10</v>
      </c>
      <c r="L484" s="4" t="s">
        <v>21</v>
      </c>
      <c r="M484" s="4" t="s">
        <v>3320</v>
      </c>
      <c r="N484" s="4" t="s">
        <v>2583</v>
      </c>
      <c r="O484" s="89"/>
      <c r="P484" s="25">
        <v>44782</v>
      </c>
      <c r="Q484" s="7" t="s">
        <v>1433</v>
      </c>
      <c r="R484" s="90" t="s">
        <v>3256</v>
      </c>
      <c r="S484" s="6" t="s">
        <v>1795</v>
      </c>
      <c r="T484" s="4" t="s">
        <v>81</v>
      </c>
      <c r="U484" s="4" t="s">
        <v>1193</v>
      </c>
      <c r="V484" s="4">
        <v>3</v>
      </c>
      <c r="W484" s="85"/>
      <c r="X484" s="4" t="s">
        <v>3657</v>
      </c>
      <c r="Y484" s="4">
        <v>0</v>
      </c>
      <c r="Z484" s="4" t="e">
        <v>#N/A</v>
      </c>
      <c r="AA484" s="4" t="s">
        <v>127</v>
      </c>
      <c r="AB484" s="4" t="s">
        <v>4290</v>
      </c>
    </row>
    <row r="485" spans="1:28">
      <c r="A485" s="4">
        <v>484</v>
      </c>
      <c r="B485" s="5">
        <v>14655090</v>
      </c>
      <c r="C485" s="5">
        <v>204967148</v>
      </c>
      <c r="D485" s="115" t="s">
        <v>2466</v>
      </c>
      <c r="E485" s="4" t="s">
        <v>2467</v>
      </c>
      <c r="F485" s="7" t="s">
        <v>82</v>
      </c>
      <c r="G485" s="7" t="s">
        <v>89</v>
      </c>
      <c r="H485" s="7" t="s">
        <v>90</v>
      </c>
      <c r="I485" s="7" t="s">
        <v>1789</v>
      </c>
      <c r="J485" s="7" t="s">
        <v>3</v>
      </c>
      <c r="K485" s="4" t="s">
        <v>10</v>
      </c>
      <c r="L485" s="4" t="s">
        <v>22</v>
      </c>
      <c r="M485" s="4" t="s">
        <v>3320</v>
      </c>
      <c r="N485" s="4" t="s">
        <v>2584</v>
      </c>
      <c r="O485" s="89"/>
      <c r="P485" s="25">
        <v>45826</v>
      </c>
      <c r="Q485" s="7" t="s">
        <v>1106</v>
      </c>
      <c r="R485" s="90" t="s">
        <v>3262</v>
      </c>
      <c r="S485" s="6" t="s">
        <v>1795</v>
      </c>
      <c r="T485" s="4" t="s">
        <v>81</v>
      </c>
      <c r="U485" s="4" t="s">
        <v>112</v>
      </c>
      <c r="V485" s="4">
        <v>99</v>
      </c>
      <c r="W485" s="85">
        <v>45882</v>
      </c>
      <c r="X485" s="4" t="s">
        <v>1216</v>
      </c>
      <c r="Y485" s="4"/>
      <c r="Z485" s="4"/>
      <c r="AA485" s="4" t="s">
        <v>85</v>
      </c>
      <c r="AB485" s="4" t="s">
        <v>4290</v>
      </c>
    </row>
    <row r="486" spans="1:28">
      <c r="A486" s="4">
        <v>485</v>
      </c>
      <c r="B486" s="5">
        <v>121958</v>
      </c>
      <c r="C486" s="5">
        <v>203813080</v>
      </c>
      <c r="D486" s="115" t="s">
        <v>702</v>
      </c>
      <c r="E486" s="4" t="s">
        <v>703</v>
      </c>
      <c r="F486" s="7" t="s">
        <v>82</v>
      </c>
      <c r="G486" s="7" t="s">
        <v>90</v>
      </c>
      <c r="H486" s="7" t="s">
        <v>87</v>
      </c>
      <c r="I486" s="6" t="s">
        <v>1790</v>
      </c>
      <c r="J486" s="7" t="s">
        <v>3</v>
      </c>
      <c r="K486" s="4" t="s">
        <v>10</v>
      </c>
      <c r="L486" s="4" t="s">
        <v>20</v>
      </c>
      <c r="M486" s="4" t="s">
        <v>3320</v>
      </c>
      <c r="N486" s="4" t="s">
        <v>2584</v>
      </c>
      <c r="O486" s="89"/>
      <c r="P486" s="25">
        <v>45517</v>
      </c>
      <c r="Q486" s="7" t="s">
        <v>1106</v>
      </c>
      <c r="R486" s="90" t="s">
        <v>3257</v>
      </c>
      <c r="S486" s="6" t="s">
        <v>1795</v>
      </c>
      <c r="T486" s="4" t="s">
        <v>1199</v>
      </c>
      <c r="U486" s="4" t="s">
        <v>103</v>
      </c>
      <c r="V486" s="4">
        <v>99</v>
      </c>
      <c r="W486" s="85">
        <v>46247</v>
      </c>
      <c r="X486" s="4" t="s">
        <v>3474</v>
      </c>
      <c r="Y486" s="4">
        <v>563261577</v>
      </c>
      <c r="Z486" s="4" t="s">
        <v>1973</v>
      </c>
      <c r="AA486" s="4" t="s">
        <v>1194</v>
      </c>
      <c r="AB486" s="4" t="s">
        <v>4290</v>
      </c>
    </row>
    <row r="487" spans="1:28">
      <c r="A487" s="4">
        <v>486</v>
      </c>
      <c r="B487" s="5">
        <v>13445954</v>
      </c>
      <c r="C487" s="5">
        <v>206846697</v>
      </c>
      <c r="D487" s="115" t="s">
        <v>3308</v>
      </c>
      <c r="E487" s="5" t="s">
        <v>3277</v>
      </c>
      <c r="F487" s="7" t="s">
        <v>74</v>
      </c>
      <c r="G487" s="7" t="s">
        <v>75</v>
      </c>
      <c r="H487" s="7" t="s">
        <v>76</v>
      </c>
      <c r="I487" s="7" t="s">
        <v>1789</v>
      </c>
      <c r="J487" s="5" t="s">
        <v>3</v>
      </c>
      <c r="K487" s="5" t="s">
        <v>10</v>
      </c>
      <c r="L487" s="5" t="s">
        <v>22</v>
      </c>
      <c r="M487" s="5" t="s">
        <v>3320</v>
      </c>
      <c r="N487" s="5" t="s">
        <v>3289</v>
      </c>
      <c r="O487" s="89"/>
      <c r="P487" s="25">
        <v>46013</v>
      </c>
      <c r="Q487" s="5" t="s">
        <v>1106</v>
      </c>
      <c r="R487" s="90" t="s">
        <v>3253</v>
      </c>
      <c r="S487" s="5" t="s">
        <v>1795</v>
      </c>
      <c r="T487" s="5" t="s">
        <v>81</v>
      </c>
      <c r="U487" s="5"/>
      <c r="V487" s="5">
        <v>99</v>
      </c>
      <c r="W487" s="91">
        <v>45648</v>
      </c>
      <c r="X487" s="5" t="s">
        <v>3290</v>
      </c>
      <c r="Y487" s="5">
        <v>568475676</v>
      </c>
      <c r="Z487" s="5" t="s">
        <v>3296</v>
      </c>
      <c r="AA487" s="4" t="s">
        <v>95</v>
      </c>
      <c r="AB487" s="4" t="s">
        <v>4289</v>
      </c>
    </row>
    <row r="488" spans="1:28" ht="14.5" customHeight="1">
      <c r="A488" s="4">
        <v>487</v>
      </c>
      <c r="B488" s="5">
        <v>11654973</v>
      </c>
      <c r="C488" s="5">
        <v>204883234</v>
      </c>
      <c r="D488" s="115" t="s">
        <v>2325</v>
      </c>
      <c r="E488" s="4" t="s">
        <v>2326</v>
      </c>
      <c r="F488" s="7" t="s">
        <v>74</v>
      </c>
      <c r="G488" s="7" t="s">
        <v>94</v>
      </c>
      <c r="H488" s="7" t="s">
        <v>89</v>
      </c>
      <c r="I488" s="6" t="s">
        <v>1790</v>
      </c>
      <c r="J488" s="7" t="s">
        <v>3</v>
      </c>
      <c r="K488" s="4" t="s">
        <v>10</v>
      </c>
      <c r="L488" s="4" t="s">
        <v>27</v>
      </c>
      <c r="M488" s="4" t="s">
        <v>634</v>
      </c>
      <c r="N488" s="4" t="s">
        <v>2584</v>
      </c>
      <c r="O488" s="89"/>
      <c r="P488" s="25">
        <v>45691</v>
      </c>
      <c r="Q488" s="7" t="s">
        <v>1434</v>
      </c>
      <c r="R488" s="90" t="s">
        <v>3264</v>
      </c>
      <c r="S488" s="6" t="s">
        <v>1795</v>
      </c>
      <c r="T488" s="4" t="s">
        <v>92</v>
      </c>
      <c r="U488" s="4" t="s">
        <v>103</v>
      </c>
      <c r="V488" s="4">
        <v>99</v>
      </c>
      <c r="W488" s="85">
        <v>45747</v>
      </c>
      <c r="X488" s="4" t="s">
        <v>3690</v>
      </c>
      <c r="Y488" s="4" t="s">
        <v>2372</v>
      </c>
      <c r="Z488" s="4" t="s">
        <v>2397</v>
      </c>
      <c r="AA488" s="4" t="s">
        <v>1198</v>
      </c>
      <c r="AB488" s="4" t="s">
        <v>4289</v>
      </c>
    </row>
    <row r="489" spans="1:28">
      <c r="A489" s="4">
        <v>488</v>
      </c>
      <c r="B489" s="5">
        <v>12925789</v>
      </c>
      <c r="C489" s="5">
        <v>203851274</v>
      </c>
      <c r="D489" s="115" t="s">
        <v>833</v>
      </c>
      <c r="E489" s="4" t="s">
        <v>834</v>
      </c>
      <c r="F489" s="7" t="s">
        <v>74</v>
      </c>
      <c r="G489" s="7" t="s">
        <v>94</v>
      </c>
      <c r="H489" s="7" t="s">
        <v>89</v>
      </c>
      <c r="I489" s="6" t="s">
        <v>2484</v>
      </c>
      <c r="J489" s="7" t="s">
        <v>3</v>
      </c>
      <c r="K489" s="4" t="s">
        <v>10</v>
      </c>
      <c r="L489" s="4" t="s">
        <v>20</v>
      </c>
      <c r="M489" s="4" t="s">
        <v>634</v>
      </c>
      <c r="N489" s="4" t="s">
        <v>2584</v>
      </c>
      <c r="O489" s="89"/>
      <c r="P489" s="25">
        <v>45524</v>
      </c>
      <c r="Q489" s="7" t="s">
        <v>1106</v>
      </c>
      <c r="R489" s="90" t="s">
        <v>3260</v>
      </c>
      <c r="S489" s="6" t="s">
        <v>1795</v>
      </c>
      <c r="T489" s="4" t="s">
        <v>81</v>
      </c>
      <c r="U489" s="4" t="s">
        <v>112</v>
      </c>
      <c r="V489" s="4">
        <v>99</v>
      </c>
      <c r="W489" s="85">
        <v>46254</v>
      </c>
      <c r="X489" s="4" t="s">
        <v>3494</v>
      </c>
      <c r="Y489" s="4">
        <v>562840121</v>
      </c>
      <c r="Z489" s="4" t="s">
        <v>1974</v>
      </c>
      <c r="AA489" s="4" t="s">
        <v>1194</v>
      </c>
      <c r="AB489" s="4" t="s">
        <v>4289</v>
      </c>
    </row>
    <row r="490" spans="1:28">
      <c r="A490" s="4">
        <v>489</v>
      </c>
      <c r="B490" s="5">
        <v>12046726</v>
      </c>
      <c r="C490" s="5">
        <v>205495599</v>
      </c>
      <c r="D490" s="115" t="s">
        <v>2568</v>
      </c>
      <c r="E490" s="4" t="s">
        <v>2569</v>
      </c>
      <c r="F490" s="7" t="s">
        <v>74</v>
      </c>
      <c r="G490" s="7" t="s">
        <v>94</v>
      </c>
      <c r="H490" s="7" t="s">
        <v>89</v>
      </c>
      <c r="I490" s="7" t="s">
        <v>1789</v>
      </c>
      <c r="J490" s="7" t="s">
        <v>3</v>
      </c>
      <c r="K490" s="4" t="s">
        <v>10</v>
      </c>
      <c r="L490" s="4" t="s">
        <v>23</v>
      </c>
      <c r="M490" s="4" t="s">
        <v>634</v>
      </c>
      <c r="N490" s="4" t="s">
        <v>2583</v>
      </c>
      <c r="O490" s="89"/>
      <c r="P490" s="25">
        <v>45831</v>
      </c>
      <c r="Q490" s="7" t="s">
        <v>161</v>
      </c>
      <c r="R490" s="90" t="s">
        <v>3260</v>
      </c>
      <c r="S490" s="6" t="s">
        <v>1795</v>
      </c>
      <c r="T490" s="4" t="s">
        <v>92</v>
      </c>
      <c r="U490" s="4" t="s">
        <v>112</v>
      </c>
      <c r="V490" s="4">
        <v>99</v>
      </c>
      <c r="W490" s="85">
        <v>45887</v>
      </c>
      <c r="X490" s="4"/>
      <c r="Y490" s="4"/>
      <c r="Z490" s="4"/>
      <c r="AA490" s="4" t="s">
        <v>1204</v>
      </c>
      <c r="AB490" s="4" t="s">
        <v>4289</v>
      </c>
    </row>
    <row r="491" spans="1:28" ht="14.5" customHeight="1">
      <c r="A491" s="4">
        <v>490</v>
      </c>
      <c r="B491" s="5">
        <v>14306317</v>
      </c>
      <c r="C491" s="5">
        <v>203737250</v>
      </c>
      <c r="D491" s="115" t="s">
        <v>289</v>
      </c>
      <c r="E491" s="4" t="s">
        <v>290</v>
      </c>
      <c r="F491" s="7" t="s">
        <v>82</v>
      </c>
      <c r="G491" s="7" t="s">
        <v>90</v>
      </c>
      <c r="H491" s="7" t="s">
        <v>87</v>
      </c>
      <c r="I491" s="6" t="s">
        <v>1790</v>
      </c>
      <c r="J491" s="7" t="s">
        <v>3</v>
      </c>
      <c r="K491" s="4" t="s">
        <v>10</v>
      </c>
      <c r="L491" s="4" t="s">
        <v>22</v>
      </c>
      <c r="M491" s="4" t="s">
        <v>3320</v>
      </c>
      <c r="N491" s="4" t="s">
        <v>2584</v>
      </c>
      <c r="O491" s="89"/>
      <c r="P491" s="25">
        <v>45502</v>
      </c>
      <c r="Q491" s="7" t="s">
        <v>1106</v>
      </c>
      <c r="R491" s="90" t="s">
        <v>3264</v>
      </c>
      <c r="S491" s="6" t="s">
        <v>1795</v>
      </c>
      <c r="T491" s="4" t="s">
        <v>81</v>
      </c>
      <c r="U491" s="4" t="s">
        <v>112</v>
      </c>
      <c r="V491" s="4">
        <v>99</v>
      </c>
      <c r="W491" s="85">
        <v>45558</v>
      </c>
      <c r="X491" s="4" t="s">
        <v>1216</v>
      </c>
      <c r="Y491" s="4" t="s">
        <v>1975</v>
      </c>
      <c r="Z491" s="4" t="s">
        <v>1976</v>
      </c>
      <c r="AA491" s="4" t="s">
        <v>95</v>
      </c>
      <c r="AB491" s="4" t="s">
        <v>4290</v>
      </c>
    </row>
    <row r="492" spans="1:28">
      <c r="A492" s="4">
        <v>491</v>
      </c>
      <c r="B492" s="5">
        <v>13230789</v>
      </c>
      <c r="C492" s="5">
        <v>204967146</v>
      </c>
      <c r="D492" s="115" t="s">
        <v>2464</v>
      </c>
      <c r="E492" s="4" t="s">
        <v>2465</v>
      </c>
      <c r="F492" s="7" t="s">
        <v>82</v>
      </c>
      <c r="G492" s="7" t="s">
        <v>76</v>
      </c>
      <c r="H492" s="7" t="s">
        <v>88</v>
      </c>
      <c r="I492" s="7" t="s">
        <v>1789</v>
      </c>
      <c r="J492" s="7" t="s">
        <v>3</v>
      </c>
      <c r="K492" s="4" t="s">
        <v>10</v>
      </c>
      <c r="L492" s="4" t="s">
        <v>22</v>
      </c>
      <c r="M492" s="4" t="s">
        <v>3320</v>
      </c>
      <c r="N492" s="4" t="s">
        <v>2584</v>
      </c>
      <c r="O492" s="89"/>
      <c r="P492" s="25">
        <v>45826</v>
      </c>
      <c r="Q492" s="7" t="s">
        <v>1106</v>
      </c>
      <c r="R492" s="90" t="s">
        <v>3255</v>
      </c>
      <c r="S492" s="6" t="s">
        <v>1795</v>
      </c>
      <c r="T492" s="4" t="s">
        <v>81</v>
      </c>
      <c r="U492" s="4" t="s">
        <v>112</v>
      </c>
      <c r="V492" s="4">
        <v>99</v>
      </c>
      <c r="W492" s="85">
        <v>45882</v>
      </c>
      <c r="X492" s="4" t="s">
        <v>1216</v>
      </c>
      <c r="Y492" s="4"/>
      <c r="Z492" s="4"/>
      <c r="AA492" s="4" t="s">
        <v>85</v>
      </c>
      <c r="AB492" s="4" t="s">
        <v>4290</v>
      </c>
    </row>
    <row r="493" spans="1:28">
      <c r="A493" s="4">
        <v>492</v>
      </c>
      <c r="B493" s="5">
        <v>12276838</v>
      </c>
      <c r="C493" s="5">
        <v>206791444</v>
      </c>
      <c r="D493" s="115" t="s">
        <v>3271</v>
      </c>
      <c r="E493" s="4" t="s">
        <v>3272</v>
      </c>
      <c r="F493" s="7" t="s">
        <v>74</v>
      </c>
      <c r="G493" s="7" t="s">
        <v>90</v>
      </c>
      <c r="H493" s="7" t="s">
        <v>87</v>
      </c>
      <c r="I493" s="7" t="s">
        <v>1789</v>
      </c>
      <c r="J493" s="7" t="s">
        <v>3</v>
      </c>
      <c r="K493" s="4" t="s">
        <v>10</v>
      </c>
      <c r="L493" s="4" t="s">
        <v>22</v>
      </c>
      <c r="M493" s="4" t="s">
        <v>4312</v>
      </c>
      <c r="N493" s="4"/>
      <c r="O493" s="89"/>
      <c r="P493" s="25">
        <v>45999</v>
      </c>
      <c r="Q493" s="7" t="s">
        <v>1106</v>
      </c>
      <c r="R493" s="7" t="s">
        <v>3257</v>
      </c>
      <c r="S493" s="6" t="s">
        <v>1795</v>
      </c>
      <c r="T493" s="4" t="s">
        <v>81</v>
      </c>
      <c r="U493" s="4" t="s">
        <v>349</v>
      </c>
      <c r="V493" s="4">
        <v>99</v>
      </c>
      <c r="W493" s="85"/>
      <c r="X493" s="4"/>
      <c r="Y493" s="4"/>
      <c r="Z493" s="4"/>
      <c r="AA493" s="4" t="s">
        <v>95</v>
      </c>
      <c r="AB493" s="4" t="s">
        <v>4290</v>
      </c>
    </row>
    <row r="494" spans="1:28" ht="14.5" customHeight="1">
      <c r="A494" s="4">
        <v>493</v>
      </c>
      <c r="B494" s="5">
        <v>14016628</v>
      </c>
      <c r="C494" s="4">
        <v>206953813</v>
      </c>
      <c r="D494" s="115" t="s">
        <v>4274</v>
      </c>
      <c r="E494" s="4" t="s">
        <v>4266</v>
      </c>
      <c r="F494" s="7" t="s">
        <v>82</v>
      </c>
      <c r="G494" s="7" t="s">
        <v>90</v>
      </c>
      <c r="H494" s="7" t="s">
        <v>87</v>
      </c>
      <c r="I494" s="6" t="s">
        <v>1790</v>
      </c>
      <c r="J494" s="109" t="s">
        <v>3</v>
      </c>
      <c r="K494" s="4" t="s">
        <v>10</v>
      </c>
      <c r="L494" s="111" t="s">
        <v>22</v>
      </c>
      <c r="M494" s="102" t="s">
        <v>4312</v>
      </c>
      <c r="N494" s="4" t="s">
        <v>2584</v>
      </c>
      <c r="O494" s="89"/>
      <c r="P494" s="25">
        <v>46051</v>
      </c>
      <c r="Q494" s="83" t="s">
        <v>1106</v>
      </c>
      <c r="R494" s="4" t="s">
        <v>3260</v>
      </c>
      <c r="S494" s="6" t="s">
        <v>1795</v>
      </c>
      <c r="T494" s="4" t="s">
        <v>81</v>
      </c>
      <c r="U494" s="4"/>
      <c r="V494" s="4">
        <v>99</v>
      </c>
      <c r="W494" s="85">
        <v>46780</v>
      </c>
      <c r="X494" s="4" t="s">
        <v>3290</v>
      </c>
      <c r="Y494" s="4">
        <v>564874487</v>
      </c>
      <c r="Z494" s="4" t="s">
        <v>4270</v>
      </c>
      <c r="AA494" s="4" t="s">
        <v>3016</v>
      </c>
      <c r="AB494" s="4" t="e">
        <v>#N/A</v>
      </c>
    </row>
    <row r="495" spans="1:28" ht="14.5" customHeight="1">
      <c r="A495" s="4">
        <v>494</v>
      </c>
      <c r="B495" s="95">
        <v>11017912</v>
      </c>
      <c r="C495" s="5">
        <v>206873780</v>
      </c>
      <c r="D495" s="115" t="s">
        <v>3417</v>
      </c>
      <c r="E495" s="4" t="s">
        <v>3371</v>
      </c>
      <c r="F495" s="7" t="s">
        <v>82</v>
      </c>
      <c r="G495" s="7" t="s">
        <v>90</v>
      </c>
      <c r="H495" s="7" t="s">
        <v>87</v>
      </c>
      <c r="I495" s="7" t="s">
        <v>1789</v>
      </c>
      <c r="J495" s="6" t="s">
        <v>3</v>
      </c>
      <c r="K495" s="6" t="s">
        <v>10</v>
      </c>
      <c r="L495" s="4" t="s">
        <v>22</v>
      </c>
      <c r="M495" s="4" t="s">
        <v>3320</v>
      </c>
      <c r="N495" s="4" t="s">
        <v>2584</v>
      </c>
      <c r="O495" s="89"/>
      <c r="P495" s="25">
        <v>46020</v>
      </c>
      <c r="Q495" s="7" t="s">
        <v>1106</v>
      </c>
      <c r="R495" s="4" t="s">
        <v>3258</v>
      </c>
      <c r="S495" s="6" t="s">
        <v>3478</v>
      </c>
      <c r="T495" s="4" t="s">
        <v>81</v>
      </c>
      <c r="U495" s="4"/>
      <c r="V495" s="4">
        <v>99</v>
      </c>
      <c r="W495" s="4"/>
      <c r="X495" s="4" t="s">
        <v>3290</v>
      </c>
      <c r="Y495" s="95">
        <v>505615274</v>
      </c>
      <c r="Z495" s="4" t="s">
        <v>3447</v>
      </c>
      <c r="AA495" s="4" t="s">
        <v>3016</v>
      </c>
      <c r="AB495" s="4" t="s">
        <v>4290</v>
      </c>
    </row>
    <row r="496" spans="1:28">
      <c r="A496" s="4">
        <v>495</v>
      </c>
      <c r="B496" s="5">
        <v>11756362</v>
      </c>
      <c r="C496" s="5">
        <v>203800374</v>
      </c>
      <c r="D496" s="115" t="s">
        <v>646</v>
      </c>
      <c r="E496" s="4" t="s">
        <v>647</v>
      </c>
      <c r="F496" s="7" t="s">
        <v>82</v>
      </c>
      <c r="G496" s="7" t="s">
        <v>76</v>
      </c>
      <c r="H496" s="7" t="s">
        <v>88</v>
      </c>
      <c r="I496" s="7" t="s">
        <v>1789</v>
      </c>
      <c r="J496" s="7" t="s">
        <v>3</v>
      </c>
      <c r="K496" s="4" t="s">
        <v>10</v>
      </c>
      <c r="L496" s="4" t="s">
        <v>22</v>
      </c>
      <c r="M496" s="4" t="s">
        <v>3320</v>
      </c>
      <c r="N496" s="4" t="s">
        <v>2584</v>
      </c>
      <c r="O496" s="89"/>
      <c r="P496" s="25">
        <v>45516</v>
      </c>
      <c r="Q496" s="7" t="s">
        <v>1106</v>
      </c>
      <c r="R496" s="90" t="s">
        <v>3258</v>
      </c>
      <c r="S496" s="6" t="s">
        <v>1795</v>
      </c>
      <c r="T496" s="4" t="s">
        <v>81</v>
      </c>
      <c r="U496" s="4" t="s">
        <v>103</v>
      </c>
      <c r="V496" s="4">
        <v>99</v>
      </c>
      <c r="W496" s="85">
        <v>45572</v>
      </c>
      <c r="X496" s="4" t="s">
        <v>1216</v>
      </c>
      <c r="Y496" s="4">
        <v>554645109</v>
      </c>
      <c r="Z496" s="4" t="s">
        <v>1977</v>
      </c>
      <c r="AA496" s="4" t="s">
        <v>95</v>
      </c>
      <c r="AB496" s="4" t="s">
        <v>4289</v>
      </c>
    </row>
    <row r="497" spans="1:28">
      <c r="A497" s="4">
        <v>496</v>
      </c>
      <c r="B497" s="5">
        <v>13283609</v>
      </c>
      <c r="C497" s="5">
        <v>204883245</v>
      </c>
      <c r="D497" s="115" t="s">
        <v>2329</v>
      </c>
      <c r="E497" s="4" t="s">
        <v>2330</v>
      </c>
      <c r="F497" s="7" t="s">
        <v>74</v>
      </c>
      <c r="G497" s="7" t="s">
        <v>90</v>
      </c>
      <c r="H497" s="7" t="s">
        <v>87</v>
      </c>
      <c r="I497" s="6" t="s">
        <v>1790</v>
      </c>
      <c r="J497" s="7" t="s">
        <v>3</v>
      </c>
      <c r="K497" s="4" t="s">
        <v>10</v>
      </c>
      <c r="L497" s="4" t="s">
        <v>27</v>
      </c>
      <c r="M497" s="4" t="s">
        <v>634</v>
      </c>
      <c r="N497" s="4" t="s">
        <v>2584</v>
      </c>
      <c r="O497" s="89"/>
      <c r="P497" s="25">
        <v>45691</v>
      </c>
      <c r="Q497" s="7" t="s">
        <v>1434</v>
      </c>
      <c r="R497" s="90" t="s">
        <v>2586</v>
      </c>
      <c r="S497" s="6" t="s">
        <v>1795</v>
      </c>
      <c r="T497" s="4" t="s">
        <v>92</v>
      </c>
      <c r="U497" s="4" t="s">
        <v>103</v>
      </c>
      <c r="V497" s="4">
        <v>99</v>
      </c>
      <c r="W497" s="85">
        <v>45747</v>
      </c>
      <c r="X497" s="4" t="s">
        <v>3690</v>
      </c>
      <c r="Y497" s="4" t="s">
        <v>2374</v>
      </c>
      <c r="Z497" s="4" t="s">
        <v>2399</v>
      </c>
      <c r="AA497" s="4" t="s">
        <v>1198</v>
      </c>
      <c r="AB497" s="4" t="s">
        <v>4289</v>
      </c>
    </row>
    <row r="498" spans="1:28">
      <c r="A498" s="4">
        <v>497</v>
      </c>
      <c r="B498" s="5">
        <v>14630129</v>
      </c>
      <c r="C498" s="5">
        <v>205506476</v>
      </c>
      <c r="D498" s="115" t="s">
        <v>2570</v>
      </c>
      <c r="E498" s="4" t="s">
        <v>2571</v>
      </c>
      <c r="F498" s="7" t="s">
        <v>74</v>
      </c>
      <c r="G498" s="7" t="s">
        <v>90</v>
      </c>
      <c r="H498" s="7" t="s">
        <v>87</v>
      </c>
      <c r="I498" s="7" t="s">
        <v>1789</v>
      </c>
      <c r="J498" s="7" t="s">
        <v>3</v>
      </c>
      <c r="K498" s="4" t="s">
        <v>10</v>
      </c>
      <c r="L498" s="4" t="s">
        <v>23</v>
      </c>
      <c r="M498" s="4" t="s">
        <v>3320</v>
      </c>
      <c r="N498" s="4" t="s">
        <v>2584</v>
      </c>
      <c r="O498" s="89"/>
      <c r="P498" s="25">
        <v>45831</v>
      </c>
      <c r="Q498" s="7" t="s">
        <v>1106</v>
      </c>
      <c r="R498" s="90" t="s">
        <v>3252</v>
      </c>
      <c r="S498" s="6" t="s">
        <v>1795</v>
      </c>
      <c r="T498" s="4" t="s">
        <v>81</v>
      </c>
      <c r="U498" s="4" t="s">
        <v>107</v>
      </c>
      <c r="V498" s="4">
        <v>99</v>
      </c>
      <c r="W498" s="85">
        <v>45887</v>
      </c>
      <c r="X498" s="4"/>
      <c r="Y498" s="4"/>
      <c r="Z498" s="4"/>
      <c r="AA498" s="4" t="s">
        <v>1204</v>
      </c>
      <c r="AB498" s="4" t="s">
        <v>4289</v>
      </c>
    </row>
    <row r="499" spans="1:28">
      <c r="A499" s="4">
        <v>498</v>
      </c>
      <c r="B499" s="5">
        <v>12531656</v>
      </c>
      <c r="C499" s="5">
        <v>204405779</v>
      </c>
      <c r="D499" s="115" t="s">
        <v>1773</v>
      </c>
      <c r="E499" s="4" t="s">
        <v>1774</v>
      </c>
      <c r="F499" s="7" t="s">
        <v>74</v>
      </c>
      <c r="G499" s="7" t="s">
        <v>76</v>
      </c>
      <c r="H499" s="7" t="s">
        <v>88</v>
      </c>
      <c r="I499" s="6" t="s">
        <v>1790</v>
      </c>
      <c r="J499" s="7" t="s">
        <v>3</v>
      </c>
      <c r="K499" s="4" t="s">
        <v>10</v>
      </c>
      <c r="L499" s="4" t="s">
        <v>27</v>
      </c>
      <c r="M499" s="4" t="s">
        <v>634</v>
      </c>
      <c r="N499" s="4" t="s">
        <v>2583</v>
      </c>
      <c r="O499" s="89"/>
      <c r="P499" s="25">
        <v>45596</v>
      </c>
      <c r="Q499" s="7" t="s">
        <v>161</v>
      </c>
      <c r="R499" s="90" t="s">
        <v>3255</v>
      </c>
      <c r="S499" s="6" t="s">
        <v>1795</v>
      </c>
      <c r="T499" s="4" t="s">
        <v>81</v>
      </c>
      <c r="U499" s="4" t="s">
        <v>103</v>
      </c>
      <c r="V499" s="4">
        <v>99</v>
      </c>
      <c r="W499" s="85">
        <v>46326</v>
      </c>
      <c r="X499" s="4" t="s">
        <v>3690</v>
      </c>
      <c r="Y499" s="4">
        <v>562383246</v>
      </c>
      <c r="Z499" s="4" t="s">
        <v>1978</v>
      </c>
      <c r="AA499" s="4" t="s">
        <v>85</v>
      </c>
      <c r="AB499" s="4" t="s">
        <v>4289</v>
      </c>
    </row>
    <row r="500" spans="1:28">
      <c r="A500" s="4">
        <v>499</v>
      </c>
      <c r="B500" s="5">
        <v>12735185</v>
      </c>
      <c r="C500" s="5">
        <v>205495595</v>
      </c>
      <c r="D500" s="115" t="s">
        <v>2572</v>
      </c>
      <c r="E500" s="4" t="s">
        <v>2573</v>
      </c>
      <c r="F500" s="7" t="s">
        <v>74</v>
      </c>
      <c r="G500" s="7" t="s">
        <v>90</v>
      </c>
      <c r="H500" s="7" t="s">
        <v>87</v>
      </c>
      <c r="I500" s="7" t="s">
        <v>1789</v>
      </c>
      <c r="J500" s="7" t="s">
        <v>3</v>
      </c>
      <c r="K500" s="4" t="s">
        <v>10</v>
      </c>
      <c r="L500" s="4" t="s">
        <v>23</v>
      </c>
      <c r="M500" s="4" t="s">
        <v>3320</v>
      </c>
      <c r="N500" s="4" t="s">
        <v>2584</v>
      </c>
      <c r="O500" s="89"/>
      <c r="P500" s="25">
        <v>45831</v>
      </c>
      <c r="Q500" s="7" t="s">
        <v>1106</v>
      </c>
      <c r="R500" s="90" t="s">
        <v>3252</v>
      </c>
      <c r="S500" s="6" t="s">
        <v>1795</v>
      </c>
      <c r="T500" s="4" t="s">
        <v>92</v>
      </c>
      <c r="U500" s="4" t="s">
        <v>349</v>
      </c>
      <c r="V500" s="4">
        <v>99</v>
      </c>
      <c r="W500" s="85">
        <v>45887</v>
      </c>
      <c r="X500" s="4"/>
      <c r="Y500" s="4"/>
      <c r="Z500" s="4"/>
      <c r="AA500" s="4" t="s">
        <v>1204</v>
      </c>
      <c r="AB500" s="4" t="s">
        <v>4289</v>
      </c>
    </row>
    <row r="501" spans="1:28">
      <c r="A501" s="4">
        <v>500</v>
      </c>
      <c r="B501" s="5">
        <v>12708068</v>
      </c>
      <c r="C501" s="5">
        <v>203850937</v>
      </c>
      <c r="D501" s="115" t="s">
        <v>827</v>
      </c>
      <c r="E501" s="4" t="s">
        <v>828</v>
      </c>
      <c r="F501" s="7" t="s">
        <v>82</v>
      </c>
      <c r="G501" s="7" t="s">
        <v>94</v>
      </c>
      <c r="H501" s="7" t="s">
        <v>89</v>
      </c>
      <c r="I501" s="6" t="s">
        <v>1788</v>
      </c>
      <c r="J501" s="7" t="s">
        <v>3</v>
      </c>
      <c r="K501" s="4" t="s">
        <v>10</v>
      </c>
      <c r="L501" s="4" t="s">
        <v>24</v>
      </c>
      <c r="M501" s="4" t="s">
        <v>634</v>
      </c>
      <c r="N501" s="4" t="s">
        <v>2584</v>
      </c>
      <c r="O501" s="89"/>
      <c r="P501" s="25">
        <v>45524</v>
      </c>
      <c r="Q501" s="7" t="s">
        <v>1434</v>
      </c>
      <c r="R501" s="90" t="s">
        <v>3252</v>
      </c>
      <c r="S501" s="6" t="s">
        <v>1795</v>
      </c>
      <c r="T501" s="4" t="s">
        <v>81</v>
      </c>
      <c r="U501" s="4" t="s">
        <v>112</v>
      </c>
      <c r="V501" s="4">
        <v>99</v>
      </c>
      <c r="W501" s="85">
        <v>45889</v>
      </c>
      <c r="X501" s="4" t="s">
        <v>3694</v>
      </c>
      <c r="Y501" s="4">
        <v>551497836</v>
      </c>
      <c r="Z501" s="4" t="s">
        <v>1979</v>
      </c>
      <c r="AA501" s="4" t="s">
        <v>85</v>
      </c>
      <c r="AB501" s="4" t="s">
        <v>4289</v>
      </c>
    </row>
    <row r="502" spans="1:28">
      <c r="A502" s="4">
        <v>501</v>
      </c>
      <c r="B502" s="5">
        <v>15173213</v>
      </c>
      <c r="C502" s="5">
        <v>203736774</v>
      </c>
      <c r="D502" s="115" t="s">
        <v>293</v>
      </c>
      <c r="E502" s="4" t="s">
        <v>294</v>
      </c>
      <c r="F502" s="7" t="s">
        <v>74</v>
      </c>
      <c r="G502" s="7" t="s">
        <v>94</v>
      </c>
      <c r="H502" s="7" t="s">
        <v>89</v>
      </c>
      <c r="I502" s="6" t="s">
        <v>1790</v>
      </c>
      <c r="J502" s="7" t="s">
        <v>3</v>
      </c>
      <c r="K502" s="4" t="s">
        <v>10</v>
      </c>
      <c r="L502" s="4" t="s">
        <v>20</v>
      </c>
      <c r="M502" s="4" t="s">
        <v>3320</v>
      </c>
      <c r="N502" s="4" t="s">
        <v>2584</v>
      </c>
      <c r="O502" s="89"/>
      <c r="P502" s="25">
        <v>45502</v>
      </c>
      <c r="Q502" s="7" t="s">
        <v>1106</v>
      </c>
      <c r="R502" s="90" t="s">
        <v>3262</v>
      </c>
      <c r="S502" s="6" t="s">
        <v>1795</v>
      </c>
      <c r="T502" s="4" t="s">
        <v>81</v>
      </c>
      <c r="U502" s="4" t="s">
        <v>349</v>
      </c>
      <c r="V502" s="4">
        <v>99</v>
      </c>
      <c r="W502" s="85">
        <v>46232</v>
      </c>
      <c r="X502" s="4" t="s">
        <v>2355</v>
      </c>
      <c r="Y502" s="4">
        <v>561711372</v>
      </c>
      <c r="Z502" s="4" t="s">
        <v>1980</v>
      </c>
      <c r="AA502" s="4" t="s">
        <v>1211</v>
      </c>
      <c r="AB502" s="4" t="s">
        <v>4289</v>
      </c>
    </row>
    <row r="503" spans="1:28" ht="14.5" customHeight="1">
      <c r="A503" s="4">
        <v>502</v>
      </c>
      <c r="B503" s="5">
        <v>12749206</v>
      </c>
      <c r="C503" s="5">
        <v>204869089</v>
      </c>
      <c r="D503" s="115" t="s">
        <v>2331</v>
      </c>
      <c r="E503" s="4" t="s">
        <v>2332</v>
      </c>
      <c r="F503" s="7" t="s">
        <v>74</v>
      </c>
      <c r="G503" s="7" t="s">
        <v>87</v>
      </c>
      <c r="H503" s="7" t="s">
        <v>75</v>
      </c>
      <c r="I503" s="6" t="s">
        <v>1790</v>
      </c>
      <c r="J503" s="7" t="s">
        <v>3</v>
      </c>
      <c r="K503" s="4" t="s">
        <v>10</v>
      </c>
      <c r="L503" s="4" t="s">
        <v>27</v>
      </c>
      <c r="M503" s="4" t="s">
        <v>3320</v>
      </c>
      <c r="N503" s="4" t="s">
        <v>2584</v>
      </c>
      <c r="O503" s="89"/>
      <c r="P503" s="25">
        <v>45691</v>
      </c>
      <c r="Q503" s="7" t="s">
        <v>1106</v>
      </c>
      <c r="R503" s="90" t="s">
        <v>3262</v>
      </c>
      <c r="S503" s="6" t="s">
        <v>1795</v>
      </c>
      <c r="T503" s="4" t="s">
        <v>81</v>
      </c>
      <c r="U503" s="4" t="s">
        <v>103</v>
      </c>
      <c r="V503" s="4">
        <v>99</v>
      </c>
      <c r="W503" s="85">
        <v>45747</v>
      </c>
      <c r="X503" s="4" t="s">
        <v>3690</v>
      </c>
      <c r="Y503" s="4" t="s">
        <v>2375</v>
      </c>
      <c r="Z503" s="4" t="s">
        <v>2400</v>
      </c>
      <c r="AA503" s="4" t="s">
        <v>1198</v>
      </c>
      <c r="AB503" s="4" t="s">
        <v>4289</v>
      </c>
    </row>
    <row r="504" spans="1:28" ht="14.5" customHeight="1">
      <c r="A504" s="4">
        <v>503</v>
      </c>
      <c r="B504" s="95">
        <v>15287125</v>
      </c>
      <c r="C504" s="5">
        <v>206873793</v>
      </c>
      <c r="D504" s="115" t="s">
        <v>3418</v>
      </c>
      <c r="E504" s="4" t="s">
        <v>3372</v>
      </c>
      <c r="F504" s="7" t="s">
        <v>74</v>
      </c>
      <c r="G504" s="7" t="s">
        <v>90</v>
      </c>
      <c r="H504" s="7" t="s">
        <v>87</v>
      </c>
      <c r="I504" s="7" t="s">
        <v>1789</v>
      </c>
      <c r="J504" s="6" t="s">
        <v>3</v>
      </c>
      <c r="K504" s="6" t="s">
        <v>10</v>
      </c>
      <c r="L504" s="4" t="s">
        <v>22</v>
      </c>
      <c r="M504" s="4" t="s">
        <v>3320</v>
      </c>
      <c r="N504" s="4" t="s">
        <v>2584</v>
      </c>
      <c r="O504" s="89"/>
      <c r="P504" s="25">
        <v>46020</v>
      </c>
      <c r="Q504" s="7" t="s">
        <v>1106</v>
      </c>
      <c r="R504" s="4" t="s">
        <v>3264</v>
      </c>
      <c r="S504" s="6" t="s">
        <v>3478</v>
      </c>
      <c r="T504" s="4" t="s">
        <v>81</v>
      </c>
      <c r="U504" s="4"/>
      <c r="V504" s="4">
        <v>99</v>
      </c>
      <c r="W504" s="4"/>
      <c r="X504" s="4" t="s">
        <v>3290</v>
      </c>
      <c r="Y504" s="95">
        <v>504169376</v>
      </c>
      <c r="Z504" s="4" t="s">
        <v>3448</v>
      </c>
      <c r="AA504" s="4" t="s">
        <v>3016</v>
      </c>
      <c r="AB504" s="4" t="s">
        <v>4289</v>
      </c>
    </row>
    <row r="505" spans="1:28" ht="14.5" customHeight="1">
      <c r="A505" s="4">
        <v>504</v>
      </c>
      <c r="B505" s="5">
        <v>13186518</v>
      </c>
      <c r="C505" s="5">
        <v>204883081</v>
      </c>
      <c r="D505" s="115" t="s">
        <v>2333</v>
      </c>
      <c r="E505" s="4" t="s">
        <v>2334</v>
      </c>
      <c r="F505" s="7" t="s">
        <v>74</v>
      </c>
      <c r="G505" s="7" t="s">
        <v>90</v>
      </c>
      <c r="H505" s="7" t="s">
        <v>87</v>
      </c>
      <c r="I505" s="6" t="s">
        <v>1790</v>
      </c>
      <c r="J505" s="7" t="s">
        <v>3</v>
      </c>
      <c r="K505" s="4" t="s">
        <v>10</v>
      </c>
      <c r="L505" s="4" t="s">
        <v>27</v>
      </c>
      <c r="M505" s="4" t="s">
        <v>634</v>
      </c>
      <c r="N505" s="4" t="s">
        <v>2584</v>
      </c>
      <c r="O505" s="89"/>
      <c r="P505" s="25">
        <v>45691</v>
      </c>
      <c r="Q505" s="7" t="s">
        <v>1434</v>
      </c>
      <c r="R505" s="90" t="s">
        <v>3260</v>
      </c>
      <c r="S505" s="6" t="s">
        <v>1795</v>
      </c>
      <c r="T505" s="4" t="s">
        <v>92</v>
      </c>
      <c r="U505" s="4" t="s">
        <v>103</v>
      </c>
      <c r="V505" s="4">
        <v>99</v>
      </c>
      <c r="W505" s="85">
        <v>45747</v>
      </c>
      <c r="X505" s="4" t="s">
        <v>1213</v>
      </c>
      <c r="Y505" s="4" t="s">
        <v>2376</v>
      </c>
      <c r="Z505" s="4" t="s">
        <v>2401</v>
      </c>
      <c r="AA505" s="4" t="s">
        <v>85</v>
      </c>
      <c r="AB505" s="4" t="s">
        <v>4289</v>
      </c>
    </row>
    <row r="506" spans="1:28" ht="14.5" customHeight="1">
      <c r="A506" s="4">
        <v>505</v>
      </c>
      <c r="B506" s="5">
        <v>323765</v>
      </c>
      <c r="C506" s="5">
        <v>102718052</v>
      </c>
      <c r="D506" s="115" t="s">
        <v>146</v>
      </c>
      <c r="E506" s="4" t="s">
        <v>147</v>
      </c>
      <c r="F506" s="7" t="s">
        <v>82</v>
      </c>
      <c r="G506" s="7" t="s">
        <v>76</v>
      </c>
      <c r="H506" s="7" t="s">
        <v>88</v>
      </c>
      <c r="I506" s="6" t="s">
        <v>119</v>
      </c>
      <c r="J506" s="7" t="s">
        <v>3</v>
      </c>
      <c r="K506" s="4" t="s">
        <v>10</v>
      </c>
      <c r="L506" s="4" t="s">
        <v>21</v>
      </c>
      <c r="M506" s="4" t="s">
        <v>634</v>
      </c>
      <c r="N506" s="4" t="s">
        <v>2583</v>
      </c>
      <c r="O506" s="89"/>
      <c r="P506" s="25">
        <v>42990</v>
      </c>
      <c r="Q506" s="7" t="s">
        <v>161</v>
      </c>
      <c r="R506" s="90" t="s">
        <v>3262</v>
      </c>
      <c r="S506" s="6" t="s">
        <v>1795</v>
      </c>
      <c r="T506" s="4" t="s">
        <v>81</v>
      </c>
      <c r="U506" s="4" t="s">
        <v>107</v>
      </c>
      <c r="V506" s="4">
        <v>1</v>
      </c>
      <c r="W506" s="85"/>
      <c r="X506" s="4" t="s">
        <v>3473</v>
      </c>
      <c r="Y506" s="4">
        <v>0</v>
      </c>
      <c r="Z506" s="4" t="e">
        <v>#N/A</v>
      </c>
      <c r="AA506" s="4" t="s">
        <v>1194</v>
      </c>
      <c r="AB506" s="4" t="s">
        <v>4289</v>
      </c>
    </row>
    <row r="507" spans="1:28">
      <c r="A507" s="4">
        <v>506</v>
      </c>
      <c r="B507" s="5">
        <v>14463495</v>
      </c>
      <c r="C507" s="5">
        <v>204882798</v>
      </c>
      <c r="D507" s="115" t="s">
        <v>2335</v>
      </c>
      <c r="E507" s="4" t="s">
        <v>2336</v>
      </c>
      <c r="F507" s="7" t="s">
        <v>82</v>
      </c>
      <c r="G507" s="7" t="s">
        <v>76</v>
      </c>
      <c r="H507" s="7" t="s">
        <v>88</v>
      </c>
      <c r="I507" s="6" t="s">
        <v>1790</v>
      </c>
      <c r="J507" s="7" t="s">
        <v>3</v>
      </c>
      <c r="K507" s="4" t="s">
        <v>10</v>
      </c>
      <c r="L507" s="4" t="s">
        <v>22</v>
      </c>
      <c r="M507" s="4" t="s">
        <v>3320</v>
      </c>
      <c r="N507" s="4" t="s">
        <v>2584</v>
      </c>
      <c r="O507" s="89"/>
      <c r="P507" s="25">
        <v>45691</v>
      </c>
      <c r="Q507" s="7" t="s">
        <v>1106</v>
      </c>
      <c r="R507" s="90" t="s">
        <v>3255</v>
      </c>
      <c r="S507" s="6" t="s">
        <v>1795</v>
      </c>
      <c r="T507" s="4" t="s">
        <v>81</v>
      </c>
      <c r="U507" s="4" t="s">
        <v>112</v>
      </c>
      <c r="V507" s="4">
        <v>99</v>
      </c>
      <c r="W507" s="85">
        <v>45747</v>
      </c>
      <c r="X507" s="4" t="s">
        <v>1216</v>
      </c>
      <c r="Y507" s="4">
        <v>503142291</v>
      </c>
      <c r="Z507" s="4" t="s">
        <v>2402</v>
      </c>
      <c r="AA507" s="4" t="s">
        <v>85</v>
      </c>
      <c r="AB507" s="4" t="s">
        <v>4289</v>
      </c>
    </row>
    <row r="508" spans="1:28" ht="14.5" customHeight="1">
      <c r="A508" s="4">
        <v>507</v>
      </c>
      <c r="B508" s="5">
        <v>12368519</v>
      </c>
      <c r="C508" s="5">
        <v>204883239</v>
      </c>
      <c r="D508" s="115" t="s">
        <v>2337</v>
      </c>
      <c r="E508" s="4" t="s">
        <v>2338</v>
      </c>
      <c r="F508" s="7" t="s">
        <v>74</v>
      </c>
      <c r="G508" s="7" t="s">
        <v>87</v>
      </c>
      <c r="H508" s="7" t="s">
        <v>75</v>
      </c>
      <c r="I508" s="6" t="s">
        <v>1790</v>
      </c>
      <c r="J508" s="7" t="s">
        <v>3</v>
      </c>
      <c r="K508" s="4" t="s">
        <v>10</v>
      </c>
      <c r="L508" s="4" t="s">
        <v>27</v>
      </c>
      <c r="M508" s="4" t="s">
        <v>634</v>
      </c>
      <c r="N508" s="4" t="s">
        <v>2584</v>
      </c>
      <c r="O508" s="89"/>
      <c r="P508" s="25">
        <v>45691</v>
      </c>
      <c r="Q508" s="7" t="s">
        <v>1434</v>
      </c>
      <c r="R508" s="90" t="s">
        <v>3260</v>
      </c>
      <c r="S508" s="6" t="s">
        <v>1795</v>
      </c>
      <c r="T508" s="4" t="s">
        <v>81</v>
      </c>
      <c r="U508" s="4" t="s">
        <v>103</v>
      </c>
      <c r="V508" s="4">
        <v>99</v>
      </c>
      <c r="W508" s="85">
        <v>45747</v>
      </c>
      <c r="X508" s="4" t="s">
        <v>3703</v>
      </c>
      <c r="Y508" s="4" t="s">
        <v>2377</v>
      </c>
      <c r="Z508" s="4" t="s">
        <v>2403</v>
      </c>
      <c r="AA508" s="4" t="s">
        <v>85</v>
      </c>
      <c r="AB508" s="4" t="s">
        <v>4289</v>
      </c>
    </row>
    <row r="509" spans="1:28">
      <c r="A509" s="4">
        <v>508</v>
      </c>
      <c r="B509" s="5">
        <v>12365248</v>
      </c>
      <c r="C509" s="5">
        <v>203965493</v>
      </c>
      <c r="D509" s="115" t="s">
        <v>1269</v>
      </c>
      <c r="E509" s="4" t="s">
        <v>1270</v>
      </c>
      <c r="F509" s="7" t="s">
        <v>74</v>
      </c>
      <c r="G509" s="7" t="s">
        <v>88</v>
      </c>
      <c r="H509" s="7" t="s">
        <v>94</v>
      </c>
      <c r="I509" s="6" t="s">
        <v>1788</v>
      </c>
      <c r="J509" s="7" t="s">
        <v>3</v>
      </c>
      <c r="K509" s="4" t="s">
        <v>10</v>
      </c>
      <c r="L509" s="4" t="s">
        <v>24</v>
      </c>
      <c r="M509" s="4" t="s">
        <v>634</v>
      </c>
      <c r="N509" s="4" t="s">
        <v>2584</v>
      </c>
      <c r="O509" s="89"/>
      <c r="P509" s="25">
        <v>45544</v>
      </c>
      <c r="Q509" s="7" t="s">
        <v>1106</v>
      </c>
      <c r="R509" s="90" t="s">
        <v>3252</v>
      </c>
      <c r="S509" s="6" t="s">
        <v>1795</v>
      </c>
      <c r="T509" s="4" t="s">
        <v>81</v>
      </c>
      <c r="U509" s="4" t="s">
        <v>349</v>
      </c>
      <c r="V509" s="4">
        <v>99</v>
      </c>
      <c r="W509" s="85">
        <v>45909</v>
      </c>
      <c r="X509" s="4" t="s">
        <v>3694</v>
      </c>
      <c r="Y509" s="4">
        <v>558791617</v>
      </c>
      <c r="Z509" s="4" t="s">
        <v>1981</v>
      </c>
      <c r="AA509" s="4" t="s">
        <v>85</v>
      </c>
      <c r="AB509" s="4" t="s">
        <v>4290</v>
      </c>
    </row>
    <row r="510" spans="1:28">
      <c r="A510" s="4">
        <v>509</v>
      </c>
      <c r="B510" s="5">
        <v>12059195</v>
      </c>
      <c r="C510" s="5">
        <v>204882810</v>
      </c>
      <c r="D510" s="115" t="s">
        <v>2341</v>
      </c>
      <c r="E510" s="4" t="s">
        <v>2342</v>
      </c>
      <c r="F510" s="7" t="s">
        <v>74</v>
      </c>
      <c r="G510" s="7" t="s">
        <v>90</v>
      </c>
      <c r="H510" s="7" t="s">
        <v>87</v>
      </c>
      <c r="I510" s="6" t="s">
        <v>1790</v>
      </c>
      <c r="J510" s="7" t="s">
        <v>3</v>
      </c>
      <c r="K510" s="4" t="s">
        <v>10</v>
      </c>
      <c r="L510" s="4" t="s">
        <v>22</v>
      </c>
      <c r="M510" s="4" t="s">
        <v>4312</v>
      </c>
      <c r="N510" s="4" t="s">
        <v>2584</v>
      </c>
      <c r="O510" s="89"/>
      <c r="P510" s="25">
        <v>45691</v>
      </c>
      <c r="Q510" s="7" t="s">
        <v>1106</v>
      </c>
      <c r="R510" s="90" t="s">
        <v>3258</v>
      </c>
      <c r="S510" s="6" t="s">
        <v>1795</v>
      </c>
      <c r="T510" s="4" t="s">
        <v>81</v>
      </c>
      <c r="U510" s="4" t="s">
        <v>349</v>
      </c>
      <c r="V510" s="4">
        <v>99</v>
      </c>
      <c r="W510" s="85">
        <v>45747</v>
      </c>
      <c r="X510" s="4" t="s">
        <v>1216</v>
      </c>
      <c r="Y510" s="4">
        <v>581106356</v>
      </c>
      <c r="Z510" s="4" t="s">
        <v>2405</v>
      </c>
      <c r="AA510" s="4" t="s">
        <v>85</v>
      </c>
      <c r="AB510" s="4" t="s">
        <v>4289</v>
      </c>
    </row>
    <row r="511" spans="1:28">
      <c r="A511" s="4">
        <v>510</v>
      </c>
      <c r="B511" s="95">
        <v>14184923</v>
      </c>
      <c r="C511" s="4">
        <v>206873650</v>
      </c>
      <c r="D511" s="115" t="s">
        <v>3513</v>
      </c>
      <c r="E511" s="4" t="s">
        <v>3483</v>
      </c>
      <c r="F511" s="7" t="s">
        <v>74</v>
      </c>
      <c r="G511" s="7" t="s">
        <v>94</v>
      </c>
      <c r="H511" s="7" t="s">
        <v>89</v>
      </c>
      <c r="I511" s="7" t="s">
        <v>1788</v>
      </c>
      <c r="J511" s="6" t="s">
        <v>3</v>
      </c>
      <c r="K511" s="6" t="s">
        <v>10</v>
      </c>
      <c r="L511" s="4" t="s">
        <v>24</v>
      </c>
      <c r="M511" s="4" t="s">
        <v>3320</v>
      </c>
      <c r="N511" s="4" t="s">
        <v>2584</v>
      </c>
      <c r="O511" s="89"/>
      <c r="P511" s="25">
        <v>46020</v>
      </c>
      <c r="Q511" s="4" t="s">
        <v>1106</v>
      </c>
      <c r="R511" s="90" t="s">
        <v>3253</v>
      </c>
      <c r="S511" s="4" t="s">
        <v>3478</v>
      </c>
      <c r="T511" s="4" t="s">
        <v>81</v>
      </c>
      <c r="U511" s="4"/>
      <c r="V511" s="4">
        <v>99</v>
      </c>
      <c r="W511" s="4"/>
      <c r="X511" s="4" t="s">
        <v>3698</v>
      </c>
      <c r="Y511" s="4">
        <v>545799556</v>
      </c>
      <c r="Z511" s="4" t="s">
        <v>3499</v>
      </c>
      <c r="AA511" s="4" t="s">
        <v>3167</v>
      </c>
      <c r="AB511" s="4">
        <v>0</v>
      </c>
    </row>
    <row r="512" spans="1:28">
      <c r="A512" s="4">
        <v>511</v>
      </c>
      <c r="B512" s="5">
        <v>66942</v>
      </c>
      <c r="C512" s="5">
        <v>203800486</v>
      </c>
      <c r="D512" s="115" t="s">
        <v>658</v>
      </c>
      <c r="E512" s="4" t="s">
        <v>659</v>
      </c>
      <c r="F512" s="7" t="s">
        <v>74</v>
      </c>
      <c r="G512" s="7" t="s">
        <v>88</v>
      </c>
      <c r="H512" s="7" t="s">
        <v>94</v>
      </c>
      <c r="I512" s="6" t="s">
        <v>1790</v>
      </c>
      <c r="J512" s="7" t="s">
        <v>7</v>
      </c>
      <c r="K512" s="4" t="s">
        <v>10</v>
      </c>
      <c r="L512" s="4" t="s">
        <v>22</v>
      </c>
      <c r="M512" s="4" t="s">
        <v>4315</v>
      </c>
      <c r="N512" s="4" t="s">
        <v>2584</v>
      </c>
      <c r="O512" s="89"/>
      <c r="P512" s="25">
        <v>45516</v>
      </c>
      <c r="Q512" s="7" t="s">
        <v>7</v>
      </c>
      <c r="R512" s="90" t="s">
        <v>3256</v>
      </c>
      <c r="S512" s="6" t="s">
        <v>1795</v>
      </c>
      <c r="T512" s="4" t="s">
        <v>81</v>
      </c>
      <c r="U512" s="4" t="s">
        <v>107</v>
      </c>
      <c r="V512" s="4">
        <v>99</v>
      </c>
      <c r="W512" s="85">
        <v>45572</v>
      </c>
      <c r="X512" s="4" t="s">
        <v>1216</v>
      </c>
      <c r="Y512" s="4">
        <v>558437872</v>
      </c>
      <c r="Z512" s="4" t="s">
        <v>1982</v>
      </c>
      <c r="AA512" s="4" t="s">
        <v>95</v>
      </c>
      <c r="AB512" s="4" t="s">
        <v>4289</v>
      </c>
    </row>
    <row r="513" spans="1:28">
      <c r="A513" s="4">
        <v>512</v>
      </c>
      <c r="B513" s="5">
        <v>14417816</v>
      </c>
      <c r="C513" s="5">
        <v>205977126</v>
      </c>
      <c r="D513" s="115" t="s">
        <v>2830</v>
      </c>
      <c r="E513" s="4" t="s">
        <v>2831</v>
      </c>
      <c r="F513" s="7" t="s">
        <v>74</v>
      </c>
      <c r="G513" s="7" t="s">
        <v>90</v>
      </c>
      <c r="H513" s="7" t="s">
        <v>87</v>
      </c>
      <c r="I513" s="6" t="s">
        <v>1790</v>
      </c>
      <c r="J513" s="7" t="s">
        <v>3</v>
      </c>
      <c r="K513" s="4" t="s">
        <v>10</v>
      </c>
      <c r="L513" s="4" t="s">
        <v>22</v>
      </c>
      <c r="M513" s="4" t="s">
        <v>4312</v>
      </c>
      <c r="N513" s="4"/>
      <c r="O513" s="89"/>
      <c r="P513" s="25">
        <v>45915</v>
      </c>
      <c r="Q513" s="7" t="s">
        <v>1106</v>
      </c>
      <c r="R513" s="90" t="s">
        <v>3256</v>
      </c>
      <c r="S513" s="6" t="s">
        <v>1795</v>
      </c>
      <c r="T513" s="4" t="s">
        <v>81</v>
      </c>
      <c r="U513" s="4" t="s">
        <v>349</v>
      </c>
      <c r="V513" s="4">
        <v>99</v>
      </c>
      <c r="W513" s="85"/>
      <c r="X513" s="4"/>
      <c r="Y513" s="4"/>
      <c r="Z513" s="4"/>
      <c r="AA513" s="4" t="s">
        <v>95</v>
      </c>
      <c r="AB513" s="4" t="s">
        <v>4289</v>
      </c>
    </row>
    <row r="514" spans="1:28">
      <c r="A514" s="4">
        <v>513</v>
      </c>
      <c r="B514" s="5">
        <v>14287779</v>
      </c>
      <c r="C514" s="5">
        <v>203816295</v>
      </c>
      <c r="D514" s="115" t="s">
        <v>738</v>
      </c>
      <c r="E514" s="4" t="s">
        <v>739</v>
      </c>
      <c r="F514" s="7" t="s">
        <v>74</v>
      </c>
      <c r="G514" s="7" t="s">
        <v>76</v>
      </c>
      <c r="H514" s="7" t="s">
        <v>88</v>
      </c>
      <c r="I514" s="6" t="s">
        <v>1790</v>
      </c>
      <c r="J514" s="7" t="s">
        <v>3</v>
      </c>
      <c r="K514" s="4" t="s">
        <v>10</v>
      </c>
      <c r="L514" s="4" t="s">
        <v>22</v>
      </c>
      <c r="M514" s="4" t="s">
        <v>634</v>
      </c>
      <c r="N514" s="4" t="s">
        <v>2584</v>
      </c>
      <c r="O514" s="89"/>
      <c r="P514" s="25">
        <v>45524</v>
      </c>
      <c r="Q514" s="7" t="s">
        <v>1434</v>
      </c>
      <c r="R514" s="90" t="s">
        <v>3262</v>
      </c>
      <c r="S514" s="6" t="s">
        <v>1795</v>
      </c>
      <c r="T514" s="4" t="s">
        <v>81</v>
      </c>
      <c r="U514" s="4" t="s">
        <v>349</v>
      </c>
      <c r="V514" s="4">
        <v>99</v>
      </c>
      <c r="W514" s="85">
        <v>45580</v>
      </c>
      <c r="X514" s="4" t="s">
        <v>1216</v>
      </c>
      <c r="Y514" s="4">
        <v>588474806</v>
      </c>
      <c r="Z514" s="4" t="s">
        <v>1983</v>
      </c>
      <c r="AA514" s="4" t="s">
        <v>95</v>
      </c>
      <c r="AB514" s="4" t="s">
        <v>4289</v>
      </c>
    </row>
    <row r="515" spans="1:28">
      <c r="A515" s="4">
        <v>514</v>
      </c>
      <c r="B515" s="5">
        <v>326103</v>
      </c>
      <c r="C515" s="5">
        <v>205608627</v>
      </c>
      <c r="D515" s="115" t="s">
        <v>2599</v>
      </c>
      <c r="E515" s="4" t="s">
        <v>2607</v>
      </c>
      <c r="F515" s="7" t="s">
        <v>74</v>
      </c>
      <c r="G515" s="7" t="s">
        <v>75</v>
      </c>
      <c r="H515" s="7" t="s">
        <v>76</v>
      </c>
      <c r="I515" s="6" t="s">
        <v>1790</v>
      </c>
      <c r="J515" s="7" t="s">
        <v>3</v>
      </c>
      <c r="K515" s="4" t="s">
        <v>10</v>
      </c>
      <c r="L515" s="4" t="s">
        <v>22</v>
      </c>
      <c r="M515" s="4" t="s">
        <v>3320</v>
      </c>
      <c r="N515" s="4"/>
      <c r="O515" s="89"/>
      <c r="P515" s="25">
        <v>45845</v>
      </c>
      <c r="Q515" s="7" t="s">
        <v>1106</v>
      </c>
      <c r="R515" s="90" t="s">
        <v>3254</v>
      </c>
      <c r="S515" s="6" t="s">
        <v>1795</v>
      </c>
      <c r="T515" s="4" t="s">
        <v>81</v>
      </c>
      <c r="U515" s="4" t="s">
        <v>107</v>
      </c>
      <c r="V515" s="4">
        <v>99</v>
      </c>
      <c r="W515" s="85">
        <v>45901</v>
      </c>
      <c r="X515" s="4" t="s">
        <v>1216</v>
      </c>
      <c r="Y515" s="4">
        <v>562157514</v>
      </c>
      <c r="Z515" s="4" t="s">
        <v>2621</v>
      </c>
      <c r="AA515" s="4" t="s">
        <v>85</v>
      </c>
      <c r="AB515" s="4" t="s">
        <v>4289</v>
      </c>
    </row>
    <row r="516" spans="1:28">
      <c r="A516" s="4">
        <v>515</v>
      </c>
      <c r="B516" s="5">
        <v>12050137</v>
      </c>
      <c r="C516" s="5">
        <v>203813082</v>
      </c>
      <c r="D516" s="115" t="s">
        <v>704</v>
      </c>
      <c r="E516" s="4" t="s">
        <v>705</v>
      </c>
      <c r="F516" s="7" t="s">
        <v>82</v>
      </c>
      <c r="G516" s="7" t="s">
        <v>88</v>
      </c>
      <c r="H516" s="7" t="s">
        <v>94</v>
      </c>
      <c r="I516" s="6" t="s">
        <v>1790</v>
      </c>
      <c r="J516" s="7" t="s">
        <v>3</v>
      </c>
      <c r="K516" s="4" t="s">
        <v>10</v>
      </c>
      <c r="L516" s="4" t="s">
        <v>20</v>
      </c>
      <c r="M516" s="4" t="s">
        <v>3320</v>
      </c>
      <c r="N516" s="4" t="s">
        <v>2584</v>
      </c>
      <c r="O516" s="89"/>
      <c r="P516" s="25">
        <v>45517</v>
      </c>
      <c r="Q516" s="7" t="s">
        <v>1106</v>
      </c>
      <c r="R516" s="90" t="s">
        <v>3255</v>
      </c>
      <c r="S516" s="6" t="s">
        <v>1795</v>
      </c>
      <c r="T516" s="4" t="s">
        <v>1199</v>
      </c>
      <c r="U516" s="4" t="s">
        <v>103</v>
      </c>
      <c r="V516" s="4">
        <v>99</v>
      </c>
      <c r="W516" s="85">
        <v>46247</v>
      </c>
      <c r="X516" s="4" t="s">
        <v>3688</v>
      </c>
      <c r="Y516" s="4">
        <v>501523712</v>
      </c>
      <c r="Z516" s="4" t="s">
        <v>1984</v>
      </c>
      <c r="AA516" s="4" t="s">
        <v>1194</v>
      </c>
      <c r="AB516" s="4" t="s">
        <v>4289</v>
      </c>
    </row>
    <row r="517" spans="1:28">
      <c r="A517" s="4">
        <v>516</v>
      </c>
      <c r="B517" s="95">
        <v>15192689</v>
      </c>
      <c r="C517" s="4">
        <v>206873561</v>
      </c>
      <c r="D517" s="115" t="s">
        <v>3510</v>
      </c>
      <c r="E517" s="4" t="s">
        <v>3480</v>
      </c>
      <c r="F517" s="7" t="s">
        <v>74</v>
      </c>
      <c r="G517" s="7" t="s">
        <v>90</v>
      </c>
      <c r="H517" s="7" t="s">
        <v>87</v>
      </c>
      <c r="I517" s="7" t="s">
        <v>1789</v>
      </c>
      <c r="J517" s="6" t="s">
        <v>3</v>
      </c>
      <c r="K517" s="6" t="s">
        <v>10</v>
      </c>
      <c r="L517" s="4" t="s">
        <v>24</v>
      </c>
      <c r="M517" s="4" t="s">
        <v>634</v>
      </c>
      <c r="N517" s="4" t="s">
        <v>2584</v>
      </c>
      <c r="O517" s="89"/>
      <c r="P517" s="25">
        <v>46020</v>
      </c>
      <c r="Q517" s="7" t="s">
        <v>1434</v>
      </c>
      <c r="R517" s="4" t="s">
        <v>3262</v>
      </c>
      <c r="S517" s="4" t="s">
        <v>3478</v>
      </c>
      <c r="T517" s="4" t="s">
        <v>92</v>
      </c>
      <c r="U517" s="4"/>
      <c r="V517" s="4">
        <v>99</v>
      </c>
      <c r="W517" s="4"/>
      <c r="X517" s="4" t="s">
        <v>3474</v>
      </c>
      <c r="Y517" s="4">
        <v>554060635</v>
      </c>
      <c r="Z517" s="4" t="s">
        <v>3496</v>
      </c>
      <c r="AA517" s="4" t="s">
        <v>3508</v>
      </c>
      <c r="AB517" s="4">
        <v>0</v>
      </c>
    </row>
    <row r="518" spans="1:28">
      <c r="A518" s="4">
        <v>517</v>
      </c>
      <c r="B518" s="5">
        <v>14029878</v>
      </c>
      <c r="C518" s="5">
        <v>204246169</v>
      </c>
      <c r="D518" s="115" t="s">
        <v>1728</v>
      </c>
      <c r="E518" s="4" t="s">
        <v>1634</v>
      </c>
      <c r="F518" s="7" t="s">
        <v>74</v>
      </c>
      <c r="G518" s="7" t="s">
        <v>87</v>
      </c>
      <c r="H518" s="7" t="s">
        <v>75</v>
      </c>
      <c r="I518" s="6" t="s">
        <v>1790</v>
      </c>
      <c r="J518" s="7" t="s">
        <v>3</v>
      </c>
      <c r="K518" s="4" t="s">
        <v>10</v>
      </c>
      <c r="L518" s="4" t="s">
        <v>27</v>
      </c>
      <c r="M518" s="4" t="s">
        <v>3320</v>
      </c>
      <c r="N518" s="4" t="s">
        <v>2584</v>
      </c>
      <c r="O518" s="89"/>
      <c r="P518" s="25">
        <v>45579</v>
      </c>
      <c r="Q518" s="7" t="s">
        <v>1106</v>
      </c>
      <c r="R518" s="90" t="s">
        <v>2586</v>
      </c>
      <c r="S518" s="6" t="s">
        <v>1795</v>
      </c>
      <c r="T518" s="4" t="s">
        <v>92</v>
      </c>
      <c r="U518" s="4" t="s">
        <v>132</v>
      </c>
      <c r="V518" s="4">
        <v>99</v>
      </c>
      <c r="W518" s="85">
        <v>46309</v>
      </c>
      <c r="X518" s="4" t="s">
        <v>3703</v>
      </c>
      <c r="Y518" s="4">
        <v>559882077</v>
      </c>
      <c r="Z518" s="4" t="s">
        <v>1658</v>
      </c>
      <c r="AA518" s="4" t="s">
        <v>1198</v>
      </c>
      <c r="AB518" s="4" t="s">
        <v>4289</v>
      </c>
    </row>
    <row r="519" spans="1:28">
      <c r="A519" s="4">
        <v>518</v>
      </c>
      <c r="B519" s="5">
        <v>12698326</v>
      </c>
      <c r="C519" s="5">
        <v>204967046</v>
      </c>
      <c r="D519" s="115" t="s">
        <v>2425</v>
      </c>
      <c r="E519" s="4" t="s">
        <v>2426</v>
      </c>
      <c r="F519" s="7" t="s">
        <v>74</v>
      </c>
      <c r="G519" s="7" t="s">
        <v>89</v>
      </c>
      <c r="H519" s="7" t="s">
        <v>90</v>
      </c>
      <c r="I519" s="7" t="s">
        <v>1789</v>
      </c>
      <c r="J519" s="7" t="s">
        <v>3</v>
      </c>
      <c r="K519" s="4" t="s">
        <v>10</v>
      </c>
      <c r="L519" s="4" t="s">
        <v>22</v>
      </c>
      <c r="M519" s="4" t="s">
        <v>3320</v>
      </c>
      <c r="N519" s="4" t="s">
        <v>2584</v>
      </c>
      <c r="O519" s="89"/>
      <c r="P519" s="25">
        <v>45826</v>
      </c>
      <c r="Q519" s="7" t="s">
        <v>1106</v>
      </c>
      <c r="R519" s="90" t="s">
        <v>3255</v>
      </c>
      <c r="S519" s="6" t="s">
        <v>1795</v>
      </c>
      <c r="T519" s="4" t="s">
        <v>81</v>
      </c>
      <c r="U519" s="4" t="s">
        <v>103</v>
      </c>
      <c r="V519" s="4">
        <v>99</v>
      </c>
      <c r="W519" s="85">
        <v>45882</v>
      </c>
      <c r="X519" s="4" t="s">
        <v>1216</v>
      </c>
      <c r="Y519" s="4"/>
      <c r="Z519" s="4"/>
      <c r="AA519" s="4" t="s">
        <v>1203</v>
      </c>
      <c r="AB519" s="4" t="s">
        <v>4289</v>
      </c>
    </row>
    <row r="520" spans="1:28">
      <c r="A520" s="4">
        <v>519</v>
      </c>
      <c r="B520" s="5">
        <v>242001</v>
      </c>
      <c r="C520" s="5">
        <v>204246605</v>
      </c>
      <c r="D520" s="115" t="s">
        <v>1722</v>
      </c>
      <c r="E520" s="4" t="s">
        <v>1628</v>
      </c>
      <c r="F520" s="7" t="s">
        <v>74</v>
      </c>
      <c r="G520" s="7" t="s">
        <v>89</v>
      </c>
      <c r="H520" s="7" t="s">
        <v>90</v>
      </c>
      <c r="I520" s="6" t="s">
        <v>1790</v>
      </c>
      <c r="J520" s="7" t="s">
        <v>3</v>
      </c>
      <c r="K520" s="4" t="s">
        <v>10</v>
      </c>
      <c r="L520" s="4" t="s">
        <v>27</v>
      </c>
      <c r="M520" s="4" t="s">
        <v>3320</v>
      </c>
      <c r="N520" s="4" t="s">
        <v>2584</v>
      </c>
      <c r="O520" s="89"/>
      <c r="P520" s="25">
        <v>45579</v>
      </c>
      <c r="Q520" s="7" t="s">
        <v>1106</v>
      </c>
      <c r="R520" s="90" t="s">
        <v>2586</v>
      </c>
      <c r="S520" s="6" t="s">
        <v>1795</v>
      </c>
      <c r="T520" s="4" t="s">
        <v>81</v>
      </c>
      <c r="U520" s="4" t="s">
        <v>107</v>
      </c>
      <c r="V520" s="4">
        <v>99</v>
      </c>
      <c r="W520" s="85">
        <v>46309</v>
      </c>
      <c r="X520" s="4" t="s">
        <v>3694</v>
      </c>
      <c r="Y520" s="4">
        <v>586598383</v>
      </c>
      <c r="Z520" s="4" t="s">
        <v>1652</v>
      </c>
      <c r="AA520" s="4" t="s">
        <v>85</v>
      </c>
      <c r="AB520" s="4" t="s">
        <v>4289</v>
      </c>
    </row>
    <row r="521" spans="1:28">
      <c r="A521" s="4">
        <v>520</v>
      </c>
      <c r="B521" s="5">
        <v>2367</v>
      </c>
      <c r="C521" s="5">
        <v>203965523</v>
      </c>
      <c r="D521" s="115" t="s">
        <v>1281</v>
      </c>
      <c r="E521" s="4" t="s">
        <v>1282</v>
      </c>
      <c r="F521" s="7" t="s">
        <v>74</v>
      </c>
      <c r="G521" s="7" t="s">
        <v>88</v>
      </c>
      <c r="H521" s="7" t="s">
        <v>94</v>
      </c>
      <c r="I521" s="6" t="s">
        <v>1788</v>
      </c>
      <c r="J521" s="7" t="s">
        <v>3</v>
      </c>
      <c r="K521" s="4" t="s">
        <v>10</v>
      </c>
      <c r="L521" s="4" t="s">
        <v>24</v>
      </c>
      <c r="M521" s="4" t="s">
        <v>3320</v>
      </c>
      <c r="N521" s="4" t="s">
        <v>2584</v>
      </c>
      <c r="O521" s="89"/>
      <c r="P521" s="25">
        <v>45544</v>
      </c>
      <c r="Q521" s="7" t="s">
        <v>1106</v>
      </c>
      <c r="R521" s="90" t="s">
        <v>3254</v>
      </c>
      <c r="S521" s="6" t="s">
        <v>1795</v>
      </c>
      <c r="T521" s="4" t="s">
        <v>81</v>
      </c>
      <c r="U521" s="4" t="s">
        <v>107</v>
      </c>
      <c r="V521" s="4">
        <v>99</v>
      </c>
      <c r="W521" s="85">
        <v>45909</v>
      </c>
      <c r="X521" s="4" t="s">
        <v>3694</v>
      </c>
      <c r="Y521" s="4">
        <v>544277462</v>
      </c>
      <c r="Z521" s="4" t="s">
        <v>1985</v>
      </c>
      <c r="AA521" s="4" t="s">
        <v>85</v>
      </c>
      <c r="AB521" s="4" t="s">
        <v>4289</v>
      </c>
    </row>
    <row r="522" spans="1:28">
      <c r="A522" s="4">
        <v>521</v>
      </c>
      <c r="B522" s="5">
        <v>13901194</v>
      </c>
      <c r="C522" s="5">
        <v>206513281</v>
      </c>
      <c r="D522" s="115" t="s">
        <v>3226</v>
      </c>
      <c r="E522" s="4" t="s">
        <v>3233</v>
      </c>
      <c r="F522" s="7" t="s">
        <v>74</v>
      </c>
      <c r="G522" s="7" t="s">
        <v>90</v>
      </c>
      <c r="H522" s="7" t="s">
        <v>87</v>
      </c>
      <c r="I522" s="7" t="s">
        <v>1789</v>
      </c>
      <c r="J522" s="7" t="s">
        <v>3</v>
      </c>
      <c r="K522" s="4" t="s">
        <v>10</v>
      </c>
      <c r="L522" s="4" t="s">
        <v>22</v>
      </c>
      <c r="M522" s="4" t="s">
        <v>3320</v>
      </c>
      <c r="N522" s="4" t="s">
        <v>2584</v>
      </c>
      <c r="O522" s="89"/>
      <c r="P522" s="25">
        <v>45971</v>
      </c>
      <c r="Q522" s="7" t="s">
        <v>1106</v>
      </c>
      <c r="R522" s="4" t="s">
        <v>3261</v>
      </c>
      <c r="S522" s="6" t="s">
        <v>1795</v>
      </c>
      <c r="T522" s="4" t="s">
        <v>81</v>
      </c>
      <c r="U522" s="4" t="s">
        <v>349</v>
      </c>
      <c r="V522" s="4">
        <v>99</v>
      </c>
      <c r="W522" s="85">
        <v>46245</v>
      </c>
      <c r="X522" s="4" t="s">
        <v>2758</v>
      </c>
      <c r="Y522" s="4">
        <v>567086341</v>
      </c>
      <c r="Z522" s="4" t="s">
        <v>3240</v>
      </c>
      <c r="AA522" s="4" t="s">
        <v>3016</v>
      </c>
      <c r="AB522" s="4" t="s">
        <v>4290</v>
      </c>
    </row>
    <row r="523" spans="1:28">
      <c r="A523" s="4">
        <v>522</v>
      </c>
      <c r="B523" s="5">
        <v>14312891</v>
      </c>
      <c r="C523" s="5">
        <v>203796750</v>
      </c>
      <c r="D523" s="115" t="s">
        <v>676</v>
      </c>
      <c r="E523" s="4" t="s">
        <v>677</v>
      </c>
      <c r="F523" s="7" t="s">
        <v>74</v>
      </c>
      <c r="G523" s="7" t="s">
        <v>76</v>
      </c>
      <c r="H523" s="7" t="s">
        <v>88</v>
      </c>
      <c r="I523" s="6" t="s">
        <v>1788</v>
      </c>
      <c r="J523" s="7" t="s">
        <v>3</v>
      </c>
      <c r="K523" s="4" t="s">
        <v>10</v>
      </c>
      <c r="L523" s="4" t="s">
        <v>24</v>
      </c>
      <c r="M523" s="4" t="s">
        <v>3320</v>
      </c>
      <c r="N523" s="4" t="s">
        <v>2584</v>
      </c>
      <c r="O523" s="89"/>
      <c r="P523" s="25">
        <v>45516</v>
      </c>
      <c r="Q523" s="7" t="s">
        <v>1106</v>
      </c>
      <c r="R523" s="90" t="s">
        <v>3254</v>
      </c>
      <c r="S523" s="6" t="s">
        <v>1795</v>
      </c>
      <c r="T523" s="4" t="s">
        <v>81</v>
      </c>
      <c r="U523" s="4" t="s">
        <v>107</v>
      </c>
      <c r="V523" s="4">
        <v>99</v>
      </c>
      <c r="W523" s="85">
        <v>45881</v>
      </c>
      <c r="X523" s="4" t="s">
        <v>3688</v>
      </c>
      <c r="Y523" s="4">
        <v>524254610</v>
      </c>
      <c r="Z523" s="4" t="s">
        <v>1986</v>
      </c>
      <c r="AA523" s="4" t="s">
        <v>1201</v>
      </c>
      <c r="AB523" s="4" t="s">
        <v>4289</v>
      </c>
    </row>
    <row r="524" spans="1:28">
      <c r="A524" s="4">
        <v>523</v>
      </c>
      <c r="B524" s="5">
        <v>13164327</v>
      </c>
      <c r="C524" s="5">
        <v>206073367</v>
      </c>
      <c r="D524" s="115" t="s">
        <v>2894</v>
      </c>
      <c r="E524" s="4" t="s">
        <v>2912</v>
      </c>
      <c r="F524" s="7" t="s">
        <v>74</v>
      </c>
      <c r="G524" s="7" t="s">
        <v>90</v>
      </c>
      <c r="H524" s="7" t="s">
        <v>87</v>
      </c>
      <c r="I524" s="6" t="s">
        <v>1788</v>
      </c>
      <c r="J524" s="7" t="s">
        <v>3</v>
      </c>
      <c r="K524" s="4" t="s">
        <v>10</v>
      </c>
      <c r="L524" s="4" t="s">
        <v>24</v>
      </c>
      <c r="M524" s="4" t="s">
        <v>3320</v>
      </c>
      <c r="N524" s="4" t="s">
        <v>2584</v>
      </c>
      <c r="O524" s="89"/>
      <c r="P524" s="25">
        <v>45922</v>
      </c>
      <c r="Q524" s="7" t="s">
        <v>1106</v>
      </c>
      <c r="R524" s="4" t="s">
        <v>3258</v>
      </c>
      <c r="S524" s="6" t="s">
        <v>1795</v>
      </c>
      <c r="T524" s="4" t="s">
        <v>81</v>
      </c>
      <c r="U524" s="4" t="s">
        <v>349</v>
      </c>
      <c r="V524" s="4">
        <v>99</v>
      </c>
      <c r="W524" s="85">
        <v>45983</v>
      </c>
      <c r="X524" s="4" t="s">
        <v>3739</v>
      </c>
      <c r="Y524" s="4"/>
      <c r="Z524" s="4"/>
      <c r="AA524" s="4" t="s">
        <v>95</v>
      </c>
      <c r="AB524" s="4" t="s">
        <v>4289</v>
      </c>
    </row>
    <row r="525" spans="1:28" ht="14.5" customHeight="1">
      <c r="A525" s="4">
        <v>524</v>
      </c>
      <c r="B525" s="5">
        <v>14064746</v>
      </c>
      <c r="C525" s="5">
        <v>203816757</v>
      </c>
      <c r="D525" s="115" t="s">
        <v>727</v>
      </c>
      <c r="E525" s="4" t="s">
        <v>728</v>
      </c>
      <c r="F525" s="7" t="s">
        <v>82</v>
      </c>
      <c r="G525" s="7" t="s">
        <v>94</v>
      </c>
      <c r="H525" s="7" t="s">
        <v>89</v>
      </c>
      <c r="I525" s="6" t="s">
        <v>1790</v>
      </c>
      <c r="J525" s="7" t="s">
        <v>3</v>
      </c>
      <c r="K525" s="4" t="s">
        <v>10</v>
      </c>
      <c r="L525" s="4" t="s">
        <v>22</v>
      </c>
      <c r="M525" s="4" t="s">
        <v>634</v>
      </c>
      <c r="N525" s="4" t="s">
        <v>2584</v>
      </c>
      <c r="O525" s="89"/>
      <c r="P525" s="25">
        <v>45518</v>
      </c>
      <c r="Q525" s="7" t="s">
        <v>1434</v>
      </c>
      <c r="R525" s="90" t="s">
        <v>3254</v>
      </c>
      <c r="S525" s="6" t="s">
        <v>1795</v>
      </c>
      <c r="T525" s="4" t="s">
        <v>81</v>
      </c>
      <c r="U525" s="4" t="s">
        <v>112</v>
      </c>
      <c r="V525" s="4">
        <v>99</v>
      </c>
      <c r="W525" s="85">
        <v>45574</v>
      </c>
      <c r="X525" s="4" t="s">
        <v>1216</v>
      </c>
      <c r="Y525" s="4">
        <v>556933852</v>
      </c>
      <c r="Z525" s="4" t="s">
        <v>1987</v>
      </c>
      <c r="AA525" s="4" t="s">
        <v>95</v>
      </c>
      <c r="AB525" s="4" t="s">
        <v>4289</v>
      </c>
    </row>
    <row r="526" spans="1:28" ht="14.5" customHeight="1">
      <c r="A526" s="4">
        <v>525</v>
      </c>
      <c r="B526" s="5">
        <v>13238885</v>
      </c>
      <c r="C526" s="5">
        <v>205496019</v>
      </c>
      <c r="D526" s="115" t="s">
        <v>2575</v>
      </c>
      <c r="E526" s="4" t="s">
        <v>2576</v>
      </c>
      <c r="F526" s="7" t="s">
        <v>74</v>
      </c>
      <c r="G526" s="7" t="s">
        <v>90</v>
      </c>
      <c r="H526" s="7" t="s">
        <v>87</v>
      </c>
      <c r="I526" s="7" t="s">
        <v>1789</v>
      </c>
      <c r="J526" s="7" t="s">
        <v>3</v>
      </c>
      <c r="K526" s="4" t="s">
        <v>10</v>
      </c>
      <c r="L526" s="4" t="s">
        <v>23</v>
      </c>
      <c r="M526" s="4" t="s">
        <v>3320</v>
      </c>
      <c r="N526" s="4" t="s">
        <v>2584</v>
      </c>
      <c r="O526" s="89"/>
      <c r="P526" s="25">
        <v>45831</v>
      </c>
      <c r="Q526" s="7" t="s">
        <v>1106</v>
      </c>
      <c r="R526" s="90" t="s">
        <v>3260</v>
      </c>
      <c r="S526" s="6" t="s">
        <v>1795</v>
      </c>
      <c r="T526" s="4" t="s">
        <v>92</v>
      </c>
      <c r="U526" s="4" t="s">
        <v>349</v>
      </c>
      <c r="V526" s="4">
        <v>99</v>
      </c>
      <c r="W526" s="85">
        <v>45887</v>
      </c>
      <c r="X526" s="4"/>
      <c r="Y526" s="4"/>
      <c r="Z526" s="4"/>
      <c r="AA526" s="4" t="s">
        <v>85</v>
      </c>
      <c r="AB526" s="4" t="s">
        <v>4289</v>
      </c>
    </row>
    <row r="527" spans="1:28" ht="14.5" customHeight="1">
      <c r="A527" s="4">
        <v>526</v>
      </c>
      <c r="B527" s="5">
        <v>14881023</v>
      </c>
      <c r="C527" s="5">
        <v>206513285</v>
      </c>
      <c r="D527" s="115" t="s">
        <v>3229</v>
      </c>
      <c r="E527" s="4" t="s">
        <v>3236</v>
      </c>
      <c r="F527" s="7" t="s">
        <v>82</v>
      </c>
      <c r="G527" s="7" t="s">
        <v>90</v>
      </c>
      <c r="H527" s="7" t="s">
        <v>87</v>
      </c>
      <c r="I527" s="7" t="s">
        <v>1789</v>
      </c>
      <c r="J527" s="7" t="s">
        <v>3</v>
      </c>
      <c r="K527" s="4" t="s">
        <v>10</v>
      </c>
      <c r="L527" s="4" t="s">
        <v>22</v>
      </c>
      <c r="M527" s="4" t="s">
        <v>4312</v>
      </c>
      <c r="N527" s="4" t="s">
        <v>2584</v>
      </c>
      <c r="O527" s="89"/>
      <c r="P527" s="25">
        <v>45971</v>
      </c>
      <c r="Q527" s="7" t="s">
        <v>1106</v>
      </c>
      <c r="R527" s="4" t="s">
        <v>3258</v>
      </c>
      <c r="S527" s="6" t="s">
        <v>1795</v>
      </c>
      <c r="T527" s="4" t="s">
        <v>81</v>
      </c>
      <c r="U527" s="4" t="s">
        <v>349</v>
      </c>
      <c r="V527" s="4">
        <v>99</v>
      </c>
      <c r="W527" s="85">
        <v>46245</v>
      </c>
      <c r="X527" s="4" t="s">
        <v>2758</v>
      </c>
      <c r="Y527" s="4">
        <v>567528940</v>
      </c>
      <c r="Z527" s="4" t="s">
        <v>3243</v>
      </c>
      <c r="AA527" s="4" t="s">
        <v>3016</v>
      </c>
      <c r="AB527" s="4" t="s">
        <v>4289</v>
      </c>
    </row>
    <row r="528" spans="1:28" ht="14.5" customHeight="1">
      <c r="A528" s="4">
        <v>527</v>
      </c>
      <c r="B528" s="5">
        <v>13023367</v>
      </c>
      <c r="C528" s="5">
        <v>206004608</v>
      </c>
      <c r="D528" s="115" t="s">
        <v>2832</v>
      </c>
      <c r="E528" s="4" t="s">
        <v>2833</v>
      </c>
      <c r="F528" s="7" t="s">
        <v>74</v>
      </c>
      <c r="G528" s="7" t="s">
        <v>90</v>
      </c>
      <c r="H528" s="7" t="s">
        <v>87</v>
      </c>
      <c r="I528" s="7" t="s">
        <v>1788</v>
      </c>
      <c r="J528" s="7" t="s">
        <v>3</v>
      </c>
      <c r="K528" s="4" t="s">
        <v>10</v>
      </c>
      <c r="L528" s="4" t="s">
        <v>24</v>
      </c>
      <c r="M528" s="4" t="s">
        <v>634</v>
      </c>
      <c r="N528" s="4"/>
      <c r="O528" s="89"/>
      <c r="P528" s="25">
        <v>45915</v>
      </c>
      <c r="Q528" s="7" t="s">
        <v>161</v>
      </c>
      <c r="R528" s="4" t="s">
        <v>3264</v>
      </c>
      <c r="S528" s="6" t="s">
        <v>1795</v>
      </c>
      <c r="T528" s="4" t="s">
        <v>81</v>
      </c>
      <c r="U528" s="4" t="s">
        <v>349</v>
      </c>
      <c r="V528" s="4">
        <v>99</v>
      </c>
      <c r="W528" s="85"/>
      <c r="X528" s="4"/>
      <c r="Y528" s="4"/>
      <c r="Z528" s="4"/>
      <c r="AA528" s="4" t="s">
        <v>85</v>
      </c>
      <c r="AB528" s="4" t="s">
        <v>4289</v>
      </c>
    </row>
    <row r="529" spans="1:28" ht="14.5" customHeight="1">
      <c r="A529" s="4">
        <v>528</v>
      </c>
      <c r="B529" s="95">
        <v>13584596</v>
      </c>
      <c r="C529" s="5">
        <v>206873879</v>
      </c>
      <c r="D529" s="115" t="s">
        <v>3413</v>
      </c>
      <c r="E529" s="4" t="s">
        <v>3365</v>
      </c>
      <c r="F529" s="7" t="s">
        <v>74</v>
      </c>
      <c r="G529" s="7" t="s">
        <v>90</v>
      </c>
      <c r="H529" s="7" t="s">
        <v>87</v>
      </c>
      <c r="I529" s="7" t="s">
        <v>1789</v>
      </c>
      <c r="J529" s="6" t="s">
        <v>3</v>
      </c>
      <c r="K529" s="6" t="s">
        <v>10</v>
      </c>
      <c r="L529" s="4" t="s">
        <v>22</v>
      </c>
      <c r="M529" s="4" t="s">
        <v>3320</v>
      </c>
      <c r="N529" s="4" t="s">
        <v>2584</v>
      </c>
      <c r="O529" s="89"/>
      <c r="P529" s="25">
        <v>46020</v>
      </c>
      <c r="Q529" s="7" t="s">
        <v>1106</v>
      </c>
      <c r="R529" s="90" t="s">
        <v>2586</v>
      </c>
      <c r="S529" s="6" t="s">
        <v>3478</v>
      </c>
      <c r="T529" s="4" t="s">
        <v>81</v>
      </c>
      <c r="U529" s="4"/>
      <c r="V529" s="4">
        <v>99</v>
      </c>
      <c r="W529" s="4"/>
      <c r="X529" s="4" t="s">
        <v>3290</v>
      </c>
      <c r="Y529" s="95">
        <v>547483010</v>
      </c>
      <c r="Z529" s="4" t="s">
        <v>3442</v>
      </c>
      <c r="AA529" s="4" t="s">
        <v>3016</v>
      </c>
      <c r="AB529" s="4" t="s">
        <v>4289</v>
      </c>
    </row>
    <row r="530" spans="1:28">
      <c r="A530" s="4">
        <v>529</v>
      </c>
      <c r="B530" s="5">
        <v>15268829</v>
      </c>
      <c r="C530" s="5">
        <v>203736258</v>
      </c>
      <c r="D530" s="115" t="s">
        <v>339</v>
      </c>
      <c r="E530" s="4" t="s">
        <v>340</v>
      </c>
      <c r="F530" s="7" t="s">
        <v>82</v>
      </c>
      <c r="G530" s="7" t="s">
        <v>88</v>
      </c>
      <c r="H530" s="7" t="s">
        <v>94</v>
      </c>
      <c r="I530" s="6" t="s">
        <v>1790</v>
      </c>
      <c r="J530" s="7" t="s">
        <v>3</v>
      </c>
      <c r="K530" s="4" t="s">
        <v>10</v>
      </c>
      <c r="L530" s="4" t="s">
        <v>22</v>
      </c>
      <c r="M530" s="4" t="s">
        <v>3320</v>
      </c>
      <c r="N530" s="4" t="s">
        <v>2584</v>
      </c>
      <c r="O530" s="89"/>
      <c r="P530" s="25">
        <v>45502</v>
      </c>
      <c r="Q530" s="7" t="s">
        <v>1106</v>
      </c>
      <c r="R530" s="90" t="s">
        <v>3252</v>
      </c>
      <c r="S530" s="6" t="s">
        <v>1795</v>
      </c>
      <c r="T530" s="4" t="s">
        <v>81</v>
      </c>
      <c r="U530" s="4" t="s">
        <v>349</v>
      </c>
      <c r="V530" s="4">
        <v>99</v>
      </c>
      <c r="W530" s="85">
        <v>45558</v>
      </c>
      <c r="X530" s="4" t="s">
        <v>1216</v>
      </c>
      <c r="Y530" s="4">
        <v>554468056</v>
      </c>
      <c r="Z530" s="4" t="s">
        <v>1988</v>
      </c>
      <c r="AA530" s="4" t="s">
        <v>95</v>
      </c>
      <c r="AB530" s="4" t="s">
        <v>4289</v>
      </c>
    </row>
    <row r="531" spans="1:28" ht="14.5" customHeight="1">
      <c r="A531" s="4">
        <v>530</v>
      </c>
      <c r="B531" s="5">
        <v>13410827</v>
      </c>
      <c r="C531" s="5">
        <v>203468402</v>
      </c>
      <c r="D531" s="115" t="s">
        <v>190</v>
      </c>
      <c r="E531" s="4" t="s">
        <v>191</v>
      </c>
      <c r="F531" s="7" t="s">
        <v>74</v>
      </c>
      <c r="G531" s="7" t="s">
        <v>89</v>
      </c>
      <c r="H531" s="7" t="s">
        <v>90</v>
      </c>
      <c r="I531" s="6" t="s">
        <v>1788</v>
      </c>
      <c r="J531" s="7" t="s">
        <v>3</v>
      </c>
      <c r="K531" s="4" t="s">
        <v>10</v>
      </c>
      <c r="L531" s="4" t="s">
        <v>24</v>
      </c>
      <c r="M531" s="4" t="s">
        <v>3320</v>
      </c>
      <c r="N531" s="4" t="s">
        <v>2583</v>
      </c>
      <c r="O531" s="89"/>
      <c r="P531" s="25">
        <v>45456</v>
      </c>
      <c r="Q531" s="7" t="s">
        <v>1433</v>
      </c>
      <c r="R531" s="90" t="s">
        <v>3262</v>
      </c>
      <c r="S531" s="6" t="s">
        <v>1795</v>
      </c>
      <c r="T531" s="4" t="s">
        <v>81</v>
      </c>
      <c r="U531" s="4" t="s">
        <v>3259</v>
      </c>
      <c r="V531" s="4">
        <v>99</v>
      </c>
      <c r="W531" s="85">
        <v>45821</v>
      </c>
      <c r="X531" s="4" t="s">
        <v>3690</v>
      </c>
      <c r="Y531" s="4">
        <v>557826378</v>
      </c>
      <c r="Z531" s="4" t="s">
        <v>1989</v>
      </c>
      <c r="AA531" s="4" t="s">
        <v>85</v>
      </c>
      <c r="AB531" s="4" t="s">
        <v>4289</v>
      </c>
    </row>
    <row r="532" spans="1:28">
      <c r="A532" s="4">
        <v>531</v>
      </c>
      <c r="B532" s="5">
        <v>12059708</v>
      </c>
      <c r="C532" s="5">
        <v>204013737</v>
      </c>
      <c r="D532" s="115" t="s">
        <v>1378</v>
      </c>
      <c r="E532" s="4" t="s">
        <v>1379</v>
      </c>
      <c r="F532" s="7" t="s">
        <v>74</v>
      </c>
      <c r="G532" s="7" t="s">
        <v>94</v>
      </c>
      <c r="H532" s="7" t="s">
        <v>89</v>
      </c>
      <c r="I532" s="6" t="s">
        <v>1788</v>
      </c>
      <c r="J532" s="7" t="s">
        <v>3</v>
      </c>
      <c r="K532" s="4" t="s">
        <v>10</v>
      </c>
      <c r="L532" s="4" t="s">
        <v>24</v>
      </c>
      <c r="M532" s="4" t="s">
        <v>634</v>
      </c>
      <c r="N532" s="4" t="s">
        <v>2584</v>
      </c>
      <c r="O532" s="89"/>
      <c r="P532" s="25">
        <v>45551</v>
      </c>
      <c r="Q532" s="7" t="s">
        <v>1106</v>
      </c>
      <c r="R532" s="90" t="s">
        <v>3252</v>
      </c>
      <c r="S532" s="6" t="s">
        <v>1795</v>
      </c>
      <c r="T532" s="4" t="s">
        <v>81</v>
      </c>
      <c r="U532" s="4" t="s">
        <v>103</v>
      </c>
      <c r="V532" s="4">
        <v>99</v>
      </c>
      <c r="W532" s="85">
        <v>45916</v>
      </c>
      <c r="X532" s="4" t="s">
        <v>3739</v>
      </c>
      <c r="Y532" s="4">
        <v>552082997</v>
      </c>
      <c r="Z532" s="4" t="s">
        <v>1424</v>
      </c>
      <c r="AA532" s="4" t="s">
        <v>1196</v>
      </c>
      <c r="AB532" s="4" t="s">
        <v>4289</v>
      </c>
    </row>
    <row r="533" spans="1:28">
      <c r="A533" s="4">
        <v>532</v>
      </c>
      <c r="B533" s="5">
        <v>13920982</v>
      </c>
      <c r="C533" s="5">
        <v>202444409</v>
      </c>
      <c r="D533" s="115" t="s">
        <v>1733</v>
      </c>
      <c r="E533" s="4" t="s">
        <v>1639</v>
      </c>
      <c r="F533" s="7" t="s">
        <v>74</v>
      </c>
      <c r="G533" s="7" t="s">
        <v>94</v>
      </c>
      <c r="H533" s="7" t="s">
        <v>89</v>
      </c>
      <c r="I533" s="6" t="s">
        <v>1790</v>
      </c>
      <c r="J533" s="7" t="s">
        <v>7</v>
      </c>
      <c r="K533" s="4" t="s">
        <v>10</v>
      </c>
      <c r="L533" s="4" t="s">
        <v>27</v>
      </c>
      <c r="M533" s="4" t="s">
        <v>4315</v>
      </c>
      <c r="N533" s="4" t="s">
        <v>2584</v>
      </c>
      <c r="O533" s="89"/>
      <c r="P533" s="25">
        <v>45579</v>
      </c>
      <c r="Q533" s="7" t="s">
        <v>7</v>
      </c>
      <c r="R533" s="90" t="s">
        <v>3252</v>
      </c>
      <c r="S533" s="6" t="s">
        <v>1795</v>
      </c>
      <c r="T533" s="4" t="s">
        <v>81</v>
      </c>
      <c r="U533" s="4" t="s">
        <v>103</v>
      </c>
      <c r="V533" s="4">
        <v>99</v>
      </c>
      <c r="W533" s="85">
        <v>46309</v>
      </c>
      <c r="X533" s="4" t="s">
        <v>3473</v>
      </c>
      <c r="Y533" s="4">
        <v>582956624</v>
      </c>
      <c r="Z533" s="4" t="s">
        <v>1663</v>
      </c>
      <c r="AA533" s="4" t="s">
        <v>1196</v>
      </c>
      <c r="AB533" s="4" t="s">
        <v>4289</v>
      </c>
    </row>
    <row r="534" spans="1:28" ht="14.5" customHeight="1">
      <c r="A534" s="4">
        <v>533</v>
      </c>
      <c r="B534" s="5">
        <v>12582349</v>
      </c>
      <c r="C534" s="5">
        <v>204246606</v>
      </c>
      <c r="D534" s="115" t="s">
        <v>1719</v>
      </c>
      <c r="E534" s="4" t="s">
        <v>1625</v>
      </c>
      <c r="F534" s="7" t="s">
        <v>74</v>
      </c>
      <c r="G534" s="7" t="s">
        <v>88</v>
      </c>
      <c r="H534" s="7" t="s">
        <v>94</v>
      </c>
      <c r="I534" s="6" t="s">
        <v>1790</v>
      </c>
      <c r="J534" s="7" t="s">
        <v>3</v>
      </c>
      <c r="K534" s="4" t="s">
        <v>10</v>
      </c>
      <c r="L534" s="4" t="s">
        <v>27</v>
      </c>
      <c r="M534" s="4" t="s">
        <v>3320</v>
      </c>
      <c r="N534" s="4" t="s">
        <v>2584</v>
      </c>
      <c r="O534" s="89"/>
      <c r="P534" s="25">
        <v>45579</v>
      </c>
      <c r="Q534" s="7" t="s">
        <v>1434</v>
      </c>
      <c r="R534" s="90" t="s">
        <v>3255</v>
      </c>
      <c r="S534" s="6" t="s">
        <v>1795</v>
      </c>
      <c r="T534" s="4" t="s">
        <v>92</v>
      </c>
      <c r="U534" s="4" t="s">
        <v>349</v>
      </c>
      <c r="V534" s="4">
        <v>99</v>
      </c>
      <c r="W534" s="85">
        <v>46309</v>
      </c>
      <c r="X534" s="4" t="s">
        <v>3688</v>
      </c>
      <c r="Y534" s="4">
        <v>523820898</v>
      </c>
      <c r="Z534" s="4" t="s">
        <v>1646</v>
      </c>
      <c r="AA534" s="4" t="s">
        <v>2274</v>
      </c>
      <c r="AB534" s="4" t="s">
        <v>4289</v>
      </c>
    </row>
    <row r="535" spans="1:28">
      <c r="A535" s="4">
        <v>534</v>
      </c>
      <c r="B535" s="5">
        <v>12013929</v>
      </c>
      <c r="C535" s="5">
        <v>203521426</v>
      </c>
      <c r="D535" s="115" t="s">
        <v>204</v>
      </c>
      <c r="E535" s="4" t="s">
        <v>205</v>
      </c>
      <c r="F535" s="7" t="s">
        <v>74</v>
      </c>
      <c r="G535" s="7" t="s">
        <v>94</v>
      </c>
      <c r="H535" s="7" t="s">
        <v>89</v>
      </c>
      <c r="I535" s="6" t="s">
        <v>1788</v>
      </c>
      <c r="J535" s="7" t="s">
        <v>3</v>
      </c>
      <c r="K535" s="4" t="s">
        <v>10</v>
      </c>
      <c r="L535" s="4" t="s">
        <v>24</v>
      </c>
      <c r="M535" s="4" t="s">
        <v>634</v>
      </c>
      <c r="N535" s="4" t="s">
        <v>2583</v>
      </c>
      <c r="O535" s="89"/>
      <c r="P535" s="25">
        <v>45463</v>
      </c>
      <c r="Q535" s="7" t="s">
        <v>161</v>
      </c>
      <c r="R535" s="90" t="s">
        <v>3252</v>
      </c>
      <c r="S535" s="6" t="s">
        <v>1795</v>
      </c>
      <c r="T535" s="4" t="s">
        <v>81</v>
      </c>
      <c r="U535" s="4" t="s">
        <v>349</v>
      </c>
      <c r="V535" s="4">
        <v>99</v>
      </c>
      <c r="W535" s="85">
        <v>45828</v>
      </c>
      <c r="X535" s="4" t="s">
        <v>3703</v>
      </c>
      <c r="Y535" s="4">
        <v>553193541</v>
      </c>
      <c r="Z535" s="4" t="s">
        <v>1990</v>
      </c>
      <c r="AA535" s="4" t="s">
        <v>85</v>
      </c>
      <c r="AB535" s="4" t="s">
        <v>4290</v>
      </c>
    </row>
    <row r="536" spans="1:28">
      <c r="A536" s="4">
        <v>535</v>
      </c>
      <c r="B536" s="5">
        <v>15252194</v>
      </c>
      <c r="C536" s="5">
        <v>203736781</v>
      </c>
      <c r="D536" s="115" t="s">
        <v>295</v>
      </c>
      <c r="E536" s="4" t="s">
        <v>296</v>
      </c>
      <c r="F536" s="7" t="s">
        <v>82</v>
      </c>
      <c r="G536" s="7" t="s">
        <v>89</v>
      </c>
      <c r="H536" s="7" t="s">
        <v>90</v>
      </c>
      <c r="I536" s="6" t="s">
        <v>1790</v>
      </c>
      <c r="J536" s="7" t="s">
        <v>3</v>
      </c>
      <c r="K536" s="4" t="s">
        <v>10</v>
      </c>
      <c r="L536" s="4" t="s">
        <v>20</v>
      </c>
      <c r="M536" s="4" t="s">
        <v>3320</v>
      </c>
      <c r="N536" s="4" t="s">
        <v>2584</v>
      </c>
      <c r="O536" s="89"/>
      <c r="P536" s="25">
        <v>45502</v>
      </c>
      <c r="Q536" s="7" t="s">
        <v>1106</v>
      </c>
      <c r="R536" s="90" t="s">
        <v>3253</v>
      </c>
      <c r="S536" s="6" t="s">
        <v>1795</v>
      </c>
      <c r="T536" s="4" t="s">
        <v>81</v>
      </c>
      <c r="U536" s="4" t="s">
        <v>349</v>
      </c>
      <c r="V536" s="4">
        <v>99</v>
      </c>
      <c r="W536" s="85">
        <v>46232</v>
      </c>
      <c r="X536" s="4" t="s">
        <v>3703</v>
      </c>
      <c r="Y536" s="4">
        <v>545989151</v>
      </c>
      <c r="Z536" s="4" t="s">
        <v>1991</v>
      </c>
      <c r="AA536" s="4" t="s">
        <v>1202</v>
      </c>
      <c r="AB536" s="4" t="s">
        <v>4289</v>
      </c>
    </row>
    <row r="537" spans="1:28">
      <c r="A537" s="4">
        <v>536</v>
      </c>
      <c r="B537" s="5">
        <v>11606222</v>
      </c>
      <c r="C537" s="5">
        <v>203965521</v>
      </c>
      <c r="D537" s="115" t="s">
        <v>1283</v>
      </c>
      <c r="E537" s="4" t="s">
        <v>1284</v>
      </c>
      <c r="F537" s="7" t="s">
        <v>74</v>
      </c>
      <c r="G537" s="7" t="s">
        <v>75</v>
      </c>
      <c r="H537" s="7" t="s">
        <v>76</v>
      </c>
      <c r="I537" s="6" t="s">
        <v>1788</v>
      </c>
      <c r="J537" s="7" t="s">
        <v>7</v>
      </c>
      <c r="K537" s="4" t="s">
        <v>10</v>
      </c>
      <c r="L537" s="4" t="s">
        <v>24</v>
      </c>
      <c r="M537" s="4" t="s">
        <v>4315</v>
      </c>
      <c r="N537" s="4" t="s">
        <v>2584</v>
      </c>
      <c r="O537" s="89"/>
      <c r="P537" s="25">
        <v>45544</v>
      </c>
      <c r="Q537" s="7" t="s">
        <v>7</v>
      </c>
      <c r="R537" s="90" t="s">
        <v>3260</v>
      </c>
      <c r="S537" s="6" t="s">
        <v>1795</v>
      </c>
      <c r="T537" s="4" t="s">
        <v>81</v>
      </c>
      <c r="U537" s="4" t="s">
        <v>112</v>
      </c>
      <c r="V537" s="4">
        <v>99</v>
      </c>
      <c r="W537" s="85">
        <v>45909</v>
      </c>
      <c r="X537" s="4" t="s">
        <v>3739</v>
      </c>
      <c r="Y537" s="4">
        <v>557742834</v>
      </c>
      <c r="Z537" s="4" t="s">
        <v>1992</v>
      </c>
      <c r="AA537" s="4" t="s">
        <v>85</v>
      </c>
      <c r="AB537" s="4" t="s">
        <v>4290</v>
      </c>
    </row>
    <row r="538" spans="1:28">
      <c r="A538" s="4">
        <v>537</v>
      </c>
      <c r="B538" s="5">
        <v>15044313</v>
      </c>
      <c r="C538" s="5">
        <v>204864420</v>
      </c>
      <c r="D538" s="115" t="s">
        <v>2280</v>
      </c>
      <c r="E538" s="4" t="s">
        <v>2281</v>
      </c>
      <c r="F538" s="7" t="s">
        <v>82</v>
      </c>
      <c r="G538" s="7" t="s">
        <v>88</v>
      </c>
      <c r="H538" s="7" t="s">
        <v>94</v>
      </c>
      <c r="I538" s="7" t="s">
        <v>1789</v>
      </c>
      <c r="J538" s="7" t="s">
        <v>3</v>
      </c>
      <c r="K538" s="4" t="s">
        <v>10</v>
      </c>
      <c r="L538" s="4" t="s">
        <v>22</v>
      </c>
      <c r="M538" s="4" t="s">
        <v>3320</v>
      </c>
      <c r="N538" s="4" t="s">
        <v>2584</v>
      </c>
      <c r="O538" s="89"/>
      <c r="P538" s="25">
        <v>45684</v>
      </c>
      <c r="Q538" s="7" t="s">
        <v>1106</v>
      </c>
      <c r="R538" s="90" t="s">
        <v>3258</v>
      </c>
      <c r="S538" s="6" t="s">
        <v>1795</v>
      </c>
      <c r="T538" s="4" t="s">
        <v>81</v>
      </c>
      <c r="U538" s="4" t="s">
        <v>349</v>
      </c>
      <c r="V538" s="4">
        <v>99</v>
      </c>
      <c r="W538" s="85">
        <v>45740</v>
      </c>
      <c r="X538" s="4" t="s">
        <v>1216</v>
      </c>
      <c r="Y538" s="4"/>
      <c r="Z538" s="4"/>
      <c r="AA538" s="4" t="s">
        <v>85</v>
      </c>
      <c r="AB538" s="4" t="s">
        <v>4289</v>
      </c>
    </row>
    <row r="539" spans="1:28">
      <c r="A539" s="4">
        <v>538</v>
      </c>
      <c r="B539" s="95">
        <v>13621172</v>
      </c>
      <c r="C539" s="5">
        <v>206873658</v>
      </c>
      <c r="D539" s="115" t="s">
        <v>3410</v>
      </c>
      <c r="E539" s="4" t="s">
        <v>3362</v>
      </c>
      <c r="F539" s="7" t="s">
        <v>74</v>
      </c>
      <c r="G539" s="7" t="s">
        <v>76</v>
      </c>
      <c r="H539" s="7" t="s">
        <v>88</v>
      </c>
      <c r="I539" s="7" t="s">
        <v>1789</v>
      </c>
      <c r="J539" s="6" t="s">
        <v>3</v>
      </c>
      <c r="K539" s="6" t="s">
        <v>10</v>
      </c>
      <c r="L539" s="4" t="s">
        <v>24</v>
      </c>
      <c r="M539" s="4" t="s">
        <v>3320</v>
      </c>
      <c r="N539" s="4" t="s">
        <v>2584</v>
      </c>
      <c r="O539" s="89"/>
      <c r="P539" s="25">
        <v>46020</v>
      </c>
      <c r="Q539" s="7" t="s">
        <v>1106</v>
      </c>
      <c r="R539" s="90" t="s">
        <v>3256</v>
      </c>
      <c r="S539" s="6" t="s">
        <v>3478</v>
      </c>
      <c r="T539" s="4" t="s">
        <v>81</v>
      </c>
      <c r="U539" s="4"/>
      <c r="V539" s="4">
        <v>99</v>
      </c>
      <c r="W539" s="4"/>
      <c r="X539" s="95" t="s">
        <v>3475</v>
      </c>
      <c r="Y539" s="95">
        <v>588049393</v>
      </c>
      <c r="Z539" s="4" t="s">
        <v>3439</v>
      </c>
      <c r="AA539" s="4" t="s">
        <v>3167</v>
      </c>
      <c r="AB539" s="4" t="s">
        <v>4289</v>
      </c>
    </row>
    <row r="540" spans="1:28">
      <c r="A540" s="4">
        <v>539</v>
      </c>
      <c r="B540" s="5">
        <v>11064244</v>
      </c>
      <c r="C540" s="5">
        <v>203736780</v>
      </c>
      <c r="D540" s="115" t="s">
        <v>297</v>
      </c>
      <c r="E540" s="4" t="s">
        <v>298</v>
      </c>
      <c r="F540" s="7" t="s">
        <v>82</v>
      </c>
      <c r="G540" s="7" t="s">
        <v>87</v>
      </c>
      <c r="H540" s="7" t="s">
        <v>75</v>
      </c>
      <c r="I540" s="6" t="s">
        <v>1790</v>
      </c>
      <c r="J540" s="7" t="s">
        <v>3</v>
      </c>
      <c r="K540" s="4" t="s">
        <v>10</v>
      </c>
      <c r="L540" s="4" t="s">
        <v>20</v>
      </c>
      <c r="M540" s="4" t="s">
        <v>3320</v>
      </c>
      <c r="N540" s="4" t="s">
        <v>2584</v>
      </c>
      <c r="O540" s="89"/>
      <c r="P540" s="25">
        <v>45502</v>
      </c>
      <c r="Q540" s="7" t="s">
        <v>1106</v>
      </c>
      <c r="R540" s="90" t="s">
        <v>3254</v>
      </c>
      <c r="S540" s="6" t="s">
        <v>1795</v>
      </c>
      <c r="T540" s="4" t="s">
        <v>81</v>
      </c>
      <c r="U540" s="4" t="s">
        <v>107</v>
      </c>
      <c r="V540" s="4">
        <v>99</v>
      </c>
      <c r="W540" s="85">
        <v>46232</v>
      </c>
      <c r="X540" s="4" t="s">
        <v>3703</v>
      </c>
      <c r="Y540" s="4">
        <v>589504406</v>
      </c>
      <c r="Z540" s="4" t="s">
        <v>1993</v>
      </c>
      <c r="AA540" s="4" t="s">
        <v>1211</v>
      </c>
      <c r="AB540" s="4" t="s">
        <v>4289</v>
      </c>
    </row>
    <row r="541" spans="1:28">
      <c r="A541" s="4">
        <v>540</v>
      </c>
      <c r="B541" s="95">
        <v>14700942</v>
      </c>
      <c r="C541" s="5">
        <v>206873654</v>
      </c>
      <c r="D541" s="115" t="s">
        <v>3406</v>
      </c>
      <c r="E541" s="4" t="s">
        <v>3358</v>
      </c>
      <c r="F541" s="7" t="s">
        <v>74</v>
      </c>
      <c r="G541" s="7" t="s">
        <v>75</v>
      </c>
      <c r="H541" s="7" t="s">
        <v>76</v>
      </c>
      <c r="I541" s="7" t="s">
        <v>1788</v>
      </c>
      <c r="J541" s="6" t="s">
        <v>3</v>
      </c>
      <c r="K541" s="6" t="s">
        <v>10</v>
      </c>
      <c r="L541" s="4" t="s">
        <v>24</v>
      </c>
      <c r="M541" s="4" t="s">
        <v>634</v>
      </c>
      <c r="N541" s="4" t="s">
        <v>2584</v>
      </c>
      <c r="O541" s="89"/>
      <c r="P541" s="25">
        <v>46020</v>
      </c>
      <c r="Q541" s="7" t="s">
        <v>1434</v>
      </c>
      <c r="R541" s="4" t="s">
        <v>3252</v>
      </c>
      <c r="S541" s="6" t="s">
        <v>3478</v>
      </c>
      <c r="T541" s="4" t="s">
        <v>92</v>
      </c>
      <c r="U541" s="4"/>
      <c r="V541" s="4">
        <v>99</v>
      </c>
      <c r="W541" s="4"/>
      <c r="X541" s="4" t="s">
        <v>3474</v>
      </c>
      <c r="Y541" s="95">
        <v>544172526</v>
      </c>
      <c r="Z541" s="4" t="s">
        <v>3435</v>
      </c>
      <c r="AA541" s="4" t="s">
        <v>3167</v>
      </c>
      <c r="AB541" s="4" t="s">
        <v>4289</v>
      </c>
    </row>
    <row r="542" spans="1:28">
      <c r="A542" s="4">
        <v>541</v>
      </c>
      <c r="B542" s="5">
        <v>14743548</v>
      </c>
      <c r="C542" s="5">
        <v>206016554</v>
      </c>
      <c r="D542" s="115" t="s">
        <v>2835</v>
      </c>
      <c r="E542" s="4" t="s">
        <v>2836</v>
      </c>
      <c r="F542" s="7" t="s">
        <v>74</v>
      </c>
      <c r="G542" s="7" t="s">
        <v>88</v>
      </c>
      <c r="H542" s="7" t="s">
        <v>94</v>
      </c>
      <c r="I542" s="6" t="s">
        <v>1788</v>
      </c>
      <c r="J542" s="7" t="s">
        <v>3</v>
      </c>
      <c r="K542" s="4" t="s">
        <v>10</v>
      </c>
      <c r="L542" s="4" t="s">
        <v>24</v>
      </c>
      <c r="M542" s="4" t="s">
        <v>634</v>
      </c>
      <c r="N542" s="4"/>
      <c r="O542" s="89"/>
      <c r="P542" s="25">
        <v>45915</v>
      </c>
      <c r="Q542" s="7" t="s">
        <v>161</v>
      </c>
      <c r="R542" s="90" t="s">
        <v>3264</v>
      </c>
      <c r="S542" s="6" t="s">
        <v>1795</v>
      </c>
      <c r="T542" s="4" t="s">
        <v>92</v>
      </c>
      <c r="U542" s="4" t="s">
        <v>107</v>
      </c>
      <c r="V542" s="4">
        <v>99</v>
      </c>
      <c r="W542" s="85"/>
      <c r="X542" s="4"/>
      <c r="Y542" s="4"/>
      <c r="Z542" s="4"/>
      <c r="AA542" s="4" t="s">
        <v>85</v>
      </c>
      <c r="AB542" s="4" t="s">
        <v>4289</v>
      </c>
    </row>
    <row r="543" spans="1:28">
      <c r="A543" s="4">
        <v>542</v>
      </c>
      <c r="B543" s="5">
        <v>14110689</v>
      </c>
      <c r="C543" s="5">
        <v>203709743</v>
      </c>
      <c r="D543" s="115" t="s">
        <v>267</v>
      </c>
      <c r="E543" s="4" t="s">
        <v>268</v>
      </c>
      <c r="F543" s="7" t="s">
        <v>74</v>
      </c>
      <c r="G543" s="7" t="s">
        <v>90</v>
      </c>
      <c r="H543" s="7" t="s">
        <v>87</v>
      </c>
      <c r="I543" s="6" t="s">
        <v>1790</v>
      </c>
      <c r="J543" s="7" t="s">
        <v>3</v>
      </c>
      <c r="K543" s="4" t="s">
        <v>10</v>
      </c>
      <c r="L543" s="4" t="s">
        <v>20</v>
      </c>
      <c r="M543" s="4" t="s">
        <v>3320</v>
      </c>
      <c r="N543" s="4" t="s">
        <v>2584</v>
      </c>
      <c r="O543" s="89"/>
      <c r="P543" s="25">
        <v>45495</v>
      </c>
      <c r="Q543" s="7" t="s">
        <v>1106</v>
      </c>
      <c r="R543" s="90" t="s">
        <v>3261</v>
      </c>
      <c r="S543" s="6" t="s">
        <v>1795</v>
      </c>
      <c r="T543" s="4" t="s">
        <v>81</v>
      </c>
      <c r="U543" s="4" t="s">
        <v>107</v>
      </c>
      <c r="V543" s="4">
        <v>99</v>
      </c>
      <c r="W543" s="85">
        <v>46225</v>
      </c>
      <c r="X543" s="4" t="s">
        <v>3703</v>
      </c>
      <c r="Y543" s="4">
        <v>588397504</v>
      </c>
      <c r="Z543" s="4" t="s">
        <v>1994</v>
      </c>
      <c r="AA543" s="4" t="s">
        <v>1211</v>
      </c>
      <c r="AB543" s="4" t="s">
        <v>4289</v>
      </c>
    </row>
    <row r="544" spans="1:28">
      <c r="A544" s="4">
        <v>543</v>
      </c>
      <c r="B544" s="5">
        <v>14900730</v>
      </c>
      <c r="C544" s="5">
        <v>206008709</v>
      </c>
      <c r="D544" s="115" t="s">
        <v>2837</v>
      </c>
      <c r="E544" s="4" t="s">
        <v>2838</v>
      </c>
      <c r="F544" s="7" t="s">
        <v>74</v>
      </c>
      <c r="G544" s="7" t="s">
        <v>87</v>
      </c>
      <c r="H544" s="7" t="s">
        <v>75</v>
      </c>
      <c r="I544" s="6" t="s">
        <v>1788</v>
      </c>
      <c r="J544" s="7" t="s">
        <v>3</v>
      </c>
      <c r="K544" s="4" t="s">
        <v>10</v>
      </c>
      <c r="L544" s="4" t="s">
        <v>24</v>
      </c>
      <c r="M544" s="4" t="s">
        <v>3320</v>
      </c>
      <c r="N544" s="4"/>
      <c r="O544" s="89"/>
      <c r="P544" s="25">
        <v>45915</v>
      </c>
      <c r="Q544" s="7" t="s">
        <v>1106</v>
      </c>
      <c r="R544" s="90" t="s">
        <v>3253</v>
      </c>
      <c r="S544" s="6" t="s">
        <v>1795</v>
      </c>
      <c r="T544" s="4" t="s">
        <v>92</v>
      </c>
      <c r="U544" s="4" t="s">
        <v>349</v>
      </c>
      <c r="V544" s="4">
        <v>99</v>
      </c>
      <c r="W544" s="85"/>
      <c r="X544" s="4"/>
      <c r="Y544" s="4"/>
      <c r="Z544" s="4"/>
      <c r="AA544" s="4" t="s">
        <v>1196</v>
      </c>
      <c r="AB544" s="4" t="s">
        <v>4289</v>
      </c>
    </row>
    <row r="545" spans="1:28">
      <c r="A545" s="4">
        <v>544</v>
      </c>
      <c r="B545" s="5">
        <v>12400574</v>
      </c>
      <c r="C545" s="5">
        <v>206015636</v>
      </c>
      <c r="D545" s="115" t="s">
        <v>2839</v>
      </c>
      <c r="E545" s="4" t="s">
        <v>2840</v>
      </c>
      <c r="F545" s="7" t="s">
        <v>74</v>
      </c>
      <c r="G545" s="7" t="s">
        <v>87</v>
      </c>
      <c r="H545" s="7" t="s">
        <v>75</v>
      </c>
      <c r="I545" s="6" t="s">
        <v>1788</v>
      </c>
      <c r="J545" s="7" t="s">
        <v>3</v>
      </c>
      <c r="K545" s="4" t="s">
        <v>10</v>
      </c>
      <c r="L545" s="4" t="s">
        <v>24</v>
      </c>
      <c r="M545" s="4" t="s">
        <v>4312</v>
      </c>
      <c r="N545" s="4"/>
      <c r="O545" s="89"/>
      <c r="P545" s="25">
        <v>45915</v>
      </c>
      <c r="Q545" s="7" t="s">
        <v>1106</v>
      </c>
      <c r="R545" s="90" t="s">
        <v>2586</v>
      </c>
      <c r="S545" s="6" t="s">
        <v>1795</v>
      </c>
      <c r="T545" s="4" t="s">
        <v>92</v>
      </c>
      <c r="U545" s="4" t="s">
        <v>132</v>
      </c>
      <c r="V545" s="4">
        <v>99</v>
      </c>
      <c r="W545" s="85"/>
      <c r="X545" s="4"/>
      <c r="Y545" s="4"/>
      <c r="Z545" s="4"/>
      <c r="AA545" s="4" t="s">
        <v>1196</v>
      </c>
      <c r="AB545" s="4" t="s">
        <v>4289</v>
      </c>
    </row>
    <row r="546" spans="1:28">
      <c r="A546" s="4">
        <v>545</v>
      </c>
      <c r="B546" s="5">
        <v>15004318</v>
      </c>
      <c r="C546" s="5">
        <v>204869087</v>
      </c>
      <c r="D546" s="115" t="s">
        <v>2343</v>
      </c>
      <c r="E546" s="4" t="s">
        <v>2344</v>
      </c>
      <c r="F546" s="7" t="s">
        <v>74</v>
      </c>
      <c r="G546" s="7" t="s">
        <v>94</v>
      </c>
      <c r="H546" s="7" t="s">
        <v>89</v>
      </c>
      <c r="I546" s="6" t="s">
        <v>1790</v>
      </c>
      <c r="J546" s="7" t="s">
        <v>3</v>
      </c>
      <c r="K546" s="4" t="s">
        <v>10</v>
      </c>
      <c r="L546" s="4" t="s">
        <v>27</v>
      </c>
      <c r="M546" s="4" t="s">
        <v>3320</v>
      </c>
      <c r="N546" s="4" t="s">
        <v>2584</v>
      </c>
      <c r="O546" s="89"/>
      <c r="P546" s="25">
        <v>45691</v>
      </c>
      <c r="Q546" s="7" t="s">
        <v>1106</v>
      </c>
      <c r="R546" s="90" t="s">
        <v>3258</v>
      </c>
      <c r="S546" s="6" t="s">
        <v>1795</v>
      </c>
      <c r="T546" s="4" t="s">
        <v>92</v>
      </c>
      <c r="U546" s="4" t="s">
        <v>3263</v>
      </c>
      <c r="V546" s="4">
        <v>99</v>
      </c>
      <c r="W546" s="85">
        <v>45747</v>
      </c>
      <c r="X546" s="4" t="s">
        <v>3698</v>
      </c>
      <c r="Y546" s="4" t="s">
        <v>2378</v>
      </c>
      <c r="Z546" s="4" t="s">
        <v>2406</v>
      </c>
      <c r="AA546" s="4" t="s">
        <v>85</v>
      </c>
      <c r="AB546" s="4" t="s">
        <v>4289</v>
      </c>
    </row>
    <row r="547" spans="1:28">
      <c r="A547" s="4">
        <v>546</v>
      </c>
      <c r="B547" s="5">
        <v>13570213</v>
      </c>
      <c r="C547" s="5">
        <v>204967051</v>
      </c>
      <c r="D547" s="115" t="s">
        <v>2460</v>
      </c>
      <c r="E547" s="4" t="s">
        <v>2461</v>
      </c>
      <c r="F547" s="7" t="s">
        <v>82</v>
      </c>
      <c r="G547" s="7" t="s">
        <v>94</v>
      </c>
      <c r="H547" s="7" t="s">
        <v>89</v>
      </c>
      <c r="I547" s="7" t="s">
        <v>1789</v>
      </c>
      <c r="J547" s="7" t="s">
        <v>3</v>
      </c>
      <c r="K547" s="4" t="s">
        <v>10</v>
      </c>
      <c r="L547" s="4" t="s">
        <v>22</v>
      </c>
      <c r="M547" s="4" t="s">
        <v>3320</v>
      </c>
      <c r="N547" s="4" t="s">
        <v>2584</v>
      </c>
      <c r="O547" s="89"/>
      <c r="P547" s="25">
        <v>45826</v>
      </c>
      <c r="Q547" s="7" t="s">
        <v>1106</v>
      </c>
      <c r="R547" s="90" t="s">
        <v>3262</v>
      </c>
      <c r="S547" s="6" t="s">
        <v>1795</v>
      </c>
      <c r="T547" s="4" t="s">
        <v>81</v>
      </c>
      <c r="U547" s="4" t="s">
        <v>107</v>
      </c>
      <c r="V547" s="4">
        <v>99</v>
      </c>
      <c r="W547" s="85">
        <v>45882</v>
      </c>
      <c r="X547" s="4" t="s">
        <v>1216</v>
      </c>
      <c r="Y547" s="4"/>
      <c r="Z547" s="4"/>
      <c r="AA547" s="4" t="s">
        <v>85</v>
      </c>
      <c r="AB547" s="4" t="s">
        <v>4289</v>
      </c>
    </row>
    <row r="548" spans="1:28">
      <c r="A548" s="4">
        <v>547</v>
      </c>
      <c r="B548" s="5">
        <v>12175465</v>
      </c>
      <c r="C548" s="5">
        <v>203737252</v>
      </c>
      <c r="D548" s="115" t="s">
        <v>301</v>
      </c>
      <c r="E548" s="4" t="s">
        <v>302</v>
      </c>
      <c r="F548" s="7" t="s">
        <v>74</v>
      </c>
      <c r="G548" s="7" t="s">
        <v>75</v>
      </c>
      <c r="H548" s="7" t="s">
        <v>76</v>
      </c>
      <c r="I548" s="6" t="s">
        <v>1790</v>
      </c>
      <c r="J548" s="7" t="s">
        <v>3</v>
      </c>
      <c r="K548" s="4" t="s">
        <v>10</v>
      </c>
      <c r="L548" s="4" t="s">
        <v>22</v>
      </c>
      <c r="M548" s="4" t="s">
        <v>3320</v>
      </c>
      <c r="N548" s="4" t="s">
        <v>2584</v>
      </c>
      <c r="O548" s="89"/>
      <c r="P548" s="25">
        <v>45502</v>
      </c>
      <c r="Q548" s="7" t="s">
        <v>1106</v>
      </c>
      <c r="R548" s="90" t="s">
        <v>3264</v>
      </c>
      <c r="S548" s="6" t="s">
        <v>1795</v>
      </c>
      <c r="T548" s="4" t="s">
        <v>81</v>
      </c>
      <c r="U548" s="4" t="s">
        <v>349</v>
      </c>
      <c r="V548" s="4">
        <v>99</v>
      </c>
      <c r="W548" s="85">
        <v>45558</v>
      </c>
      <c r="X548" s="4" t="s">
        <v>1216</v>
      </c>
      <c r="Y548" s="4">
        <v>566990177</v>
      </c>
      <c r="Z548" s="4" t="s">
        <v>1995</v>
      </c>
      <c r="AA548" s="4" t="s">
        <v>95</v>
      </c>
      <c r="AB548" s="4" t="s">
        <v>4290</v>
      </c>
    </row>
    <row r="549" spans="1:28">
      <c r="A549" s="4">
        <v>548</v>
      </c>
      <c r="B549" s="5">
        <v>12891324</v>
      </c>
      <c r="C549" s="5">
        <v>203737015</v>
      </c>
      <c r="D549" s="115" t="s">
        <v>303</v>
      </c>
      <c r="E549" s="4" t="s">
        <v>304</v>
      </c>
      <c r="F549" s="7" t="s">
        <v>74</v>
      </c>
      <c r="G549" s="7" t="s">
        <v>89</v>
      </c>
      <c r="H549" s="7" t="s">
        <v>90</v>
      </c>
      <c r="I549" s="6" t="s">
        <v>1788</v>
      </c>
      <c r="J549" s="7" t="s">
        <v>3</v>
      </c>
      <c r="K549" s="4" t="s">
        <v>10</v>
      </c>
      <c r="L549" s="4" t="s">
        <v>24</v>
      </c>
      <c r="M549" s="4" t="s">
        <v>3320</v>
      </c>
      <c r="N549" s="4" t="s">
        <v>2584</v>
      </c>
      <c r="O549" s="89"/>
      <c r="P549" s="25">
        <v>45502</v>
      </c>
      <c r="Q549" s="7" t="s">
        <v>1106</v>
      </c>
      <c r="R549" s="90" t="s">
        <v>3257</v>
      </c>
      <c r="S549" s="6" t="s">
        <v>1795</v>
      </c>
      <c r="T549" s="4" t="s">
        <v>92</v>
      </c>
      <c r="U549" s="4" t="s">
        <v>107</v>
      </c>
      <c r="V549" s="4">
        <v>99</v>
      </c>
      <c r="W549" s="85">
        <v>46232</v>
      </c>
      <c r="X549" s="4" t="s">
        <v>1197</v>
      </c>
      <c r="Y549" s="4">
        <v>527206920</v>
      </c>
      <c r="Z549" s="4" t="s">
        <v>1996</v>
      </c>
      <c r="AA549" s="4" t="s">
        <v>95</v>
      </c>
      <c r="AB549" s="4" t="s">
        <v>4289</v>
      </c>
    </row>
    <row r="550" spans="1:28">
      <c r="A550" s="4">
        <v>549</v>
      </c>
      <c r="B550" s="5">
        <v>15068462</v>
      </c>
      <c r="C550" s="5">
        <v>204883095</v>
      </c>
      <c r="D550" s="115" t="s">
        <v>2351</v>
      </c>
      <c r="E550" s="4" t="s">
        <v>2352</v>
      </c>
      <c r="F550" s="7" t="s">
        <v>74</v>
      </c>
      <c r="G550" s="7" t="s">
        <v>94</v>
      </c>
      <c r="H550" s="7" t="s">
        <v>89</v>
      </c>
      <c r="I550" s="7" t="s">
        <v>1789</v>
      </c>
      <c r="J550" s="7" t="s">
        <v>3</v>
      </c>
      <c r="K550" s="4" t="s">
        <v>10</v>
      </c>
      <c r="L550" s="4" t="s">
        <v>22</v>
      </c>
      <c r="M550" s="4" t="s">
        <v>3320</v>
      </c>
      <c r="N550" s="4" t="s">
        <v>2584</v>
      </c>
      <c r="O550" s="89"/>
      <c r="P550" s="25">
        <v>45826</v>
      </c>
      <c r="Q550" s="7" t="s">
        <v>1106</v>
      </c>
      <c r="R550" s="90" t="s">
        <v>3257</v>
      </c>
      <c r="S550" s="6" t="s">
        <v>1795</v>
      </c>
      <c r="T550" s="4" t="s">
        <v>81</v>
      </c>
      <c r="U550" s="4" t="s">
        <v>349</v>
      </c>
      <c r="V550" s="4">
        <v>99</v>
      </c>
      <c r="W550" s="85">
        <v>45882</v>
      </c>
      <c r="X550" s="4" t="s">
        <v>1216</v>
      </c>
      <c r="Y550" s="4"/>
      <c r="Z550" s="4"/>
      <c r="AA550" s="4" t="s">
        <v>1203</v>
      </c>
      <c r="AB550" s="4" t="s">
        <v>4290</v>
      </c>
    </row>
    <row r="551" spans="1:28">
      <c r="A551" s="4">
        <v>550</v>
      </c>
      <c r="B551" s="5">
        <v>12376142</v>
      </c>
      <c r="C551" s="5">
        <v>204967558</v>
      </c>
      <c r="D551" s="115" t="s">
        <v>2435</v>
      </c>
      <c r="E551" s="4" t="s">
        <v>2436</v>
      </c>
      <c r="F551" s="7" t="s">
        <v>82</v>
      </c>
      <c r="G551" s="7" t="s">
        <v>94</v>
      </c>
      <c r="H551" s="7" t="s">
        <v>89</v>
      </c>
      <c r="I551" s="6" t="s">
        <v>1790</v>
      </c>
      <c r="J551" s="7" t="s">
        <v>3</v>
      </c>
      <c r="K551" s="4" t="s">
        <v>10</v>
      </c>
      <c r="L551" s="4" t="s">
        <v>22</v>
      </c>
      <c r="M551" s="4" t="s">
        <v>3320</v>
      </c>
      <c r="N551" s="4" t="s">
        <v>2584</v>
      </c>
      <c r="O551" s="89"/>
      <c r="P551" s="25">
        <v>45826</v>
      </c>
      <c r="Q551" s="7" t="s">
        <v>1106</v>
      </c>
      <c r="R551" s="90" t="s">
        <v>3255</v>
      </c>
      <c r="S551" s="6" t="s">
        <v>1795</v>
      </c>
      <c r="T551" s="4" t="s">
        <v>81</v>
      </c>
      <c r="U551" s="4" t="s">
        <v>103</v>
      </c>
      <c r="V551" s="4">
        <v>99</v>
      </c>
      <c r="W551" s="85">
        <v>45882</v>
      </c>
      <c r="X551" s="4" t="s">
        <v>1216</v>
      </c>
      <c r="Y551" s="4"/>
      <c r="Z551" s="4"/>
      <c r="AA551" s="4" t="s">
        <v>85</v>
      </c>
      <c r="AB551" s="4" t="s">
        <v>4289</v>
      </c>
    </row>
    <row r="552" spans="1:28">
      <c r="A552" s="4">
        <v>551</v>
      </c>
      <c r="B552" s="106">
        <v>11065039</v>
      </c>
      <c r="C552" s="5">
        <v>112648320</v>
      </c>
      <c r="D552" s="115" t="s">
        <v>1437</v>
      </c>
      <c r="E552" s="4" t="s">
        <v>1670</v>
      </c>
      <c r="F552" s="7" t="s">
        <v>74</v>
      </c>
      <c r="G552" s="7" t="s">
        <v>76</v>
      </c>
      <c r="H552" s="7" t="s">
        <v>88</v>
      </c>
      <c r="I552" s="6" t="s">
        <v>244</v>
      </c>
      <c r="J552" s="5" t="s">
        <v>3</v>
      </c>
      <c r="K552" s="5" t="s">
        <v>10</v>
      </c>
      <c r="L552" s="5" t="s">
        <v>21</v>
      </c>
      <c r="M552" s="4" t="s">
        <v>634</v>
      </c>
      <c r="N552" s="4"/>
      <c r="O552" s="89"/>
      <c r="P552" s="25">
        <v>46132</v>
      </c>
      <c r="Q552" s="7" t="s">
        <v>1435</v>
      </c>
      <c r="R552" s="90" t="s">
        <v>3264</v>
      </c>
      <c r="S552" s="6" t="s">
        <v>1795</v>
      </c>
      <c r="T552" s="4" t="s">
        <v>81</v>
      </c>
      <c r="U552" s="4" t="s">
        <v>103</v>
      </c>
      <c r="V552" s="4">
        <v>3</v>
      </c>
      <c r="W552" s="85"/>
      <c r="X552" s="4" t="s">
        <v>3703</v>
      </c>
      <c r="Y552" s="4">
        <v>507389891</v>
      </c>
      <c r="Z552" s="4" t="s">
        <v>4297</v>
      </c>
      <c r="AA552" s="4" t="s">
        <v>85</v>
      </c>
      <c r="AB552" s="4" t="s">
        <v>4289</v>
      </c>
    </row>
    <row r="553" spans="1:28">
      <c r="A553" s="4">
        <v>552</v>
      </c>
      <c r="B553" s="5">
        <v>211595</v>
      </c>
      <c r="C553" s="5">
        <v>203813083</v>
      </c>
      <c r="D553" s="115" t="s">
        <v>709</v>
      </c>
      <c r="E553" s="4" t="s">
        <v>710</v>
      </c>
      <c r="F553" s="7" t="s">
        <v>74</v>
      </c>
      <c r="G553" s="7" t="s">
        <v>94</v>
      </c>
      <c r="H553" s="7" t="s">
        <v>89</v>
      </c>
      <c r="I553" s="6" t="s">
        <v>1790</v>
      </c>
      <c r="J553" s="7" t="s">
        <v>7</v>
      </c>
      <c r="K553" s="4" t="s">
        <v>10</v>
      </c>
      <c r="L553" s="4" t="s">
        <v>20</v>
      </c>
      <c r="M553" s="4" t="s">
        <v>4315</v>
      </c>
      <c r="N553" s="4" t="s">
        <v>2584</v>
      </c>
      <c r="O553" s="89"/>
      <c r="P553" s="25">
        <v>45517</v>
      </c>
      <c r="Q553" s="7" t="s">
        <v>7</v>
      </c>
      <c r="R553" s="90" t="s">
        <v>3254</v>
      </c>
      <c r="S553" s="6" t="s">
        <v>1795</v>
      </c>
      <c r="T553" s="4" t="s">
        <v>1199</v>
      </c>
      <c r="U553" s="4" t="s">
        <v>349</v>
      </c>
      <c r="V553" s="4">
        <v>99</v>
      </c>
      <c r="W553" s="85">
        <v>46247</v>
      </c>
      <c r="X553" s="4" t="s">
        <v>3688</v>
      </c>
      <c r="Y553" s="4">
        <v>545944187</v>
      </c>
      <c r="Z553" s="4" t="s">
        <v>1997</v>
      </c>
      <c r="AA553" s="4" t="s">
        <v>1194</v>
      </c>
      <c r="AB553" s="4" t="s">
        <v>4289</v>
      </c>
    </row>
    <row r="554" spans="1:28">
      <c r="A554" s="4">
        <v>553</v>
      </c>
      <c r="B554" s="5">
        <v>13554636</v>
      </c>
      <c r="C554" s="5">
        <v>206791445</v>
      </c>
      <c r="D554" s="115" t="s">
        <v>3273</v>
      </c>
      <c r="E554" s="4" t="s">
        <v>3274</v>
      </c>
      <c r="F554" s="7" t="s">
        <v>74</v>
      </c>
      <c r="G554" s="7" t="s">
        <v>94</v>
      </c>
      <c r="H554" s="7" t="s">
        <v>89</v>
      </c>
      <c r="I554" s="7" t="s">
        <v>1789</v>
      </c>
      <c r="J554" s="7" t="s">
        <v>3</v>
      </c>
      <c r="K554" s="4" t="s">
        <v>10</v>
      </c>
      <c r="L554" s="4" t="s">
        <v>22</v>
      </c>
      <c r="M554" s="4" t="s">
        <v>3320</v>
      </c>
      <c r="N554" s="4"/>
      <c r="O554" s="89"/>
      <c r="P554" s="25">
        <v>45999</v>
      </c>
      <c r="Q554" s="7" t="s">
        <v>1106</v>
      </c>
      <c r="R554" s="90" t="s">
        <v>3256</v>
      </c>
      <c r="S554" s="6" t="s">
        <v>1795</v>
      </c>
      <c r="T554" s="4" t="s">
        <v>81</v>
      </c>
      <c r="U554" s="4" t="s">
        <v>349</v>
      </c>
      <c r="V554" s="4">
        <v>99</v>
      </c>
      <c r="W554" s="85"/>
      <c r="X554" s="4"/>
      <c r="Y554" s="4"/>
      <c r="Z554" s="4"/>
      <c r="AA554" s="4" t="s">
        <v>95</v>
      </c>
      <c r="AB554" s="4" t="s">
        <v>4290</v>
      </c>
    </row>
    <row r="555" spans="1:28">
      <c r="A555" s="4">
        <v>554</v>
      </c>
      <c r="B555" s="5">
        <v>11365452</v>
      </c>
      <c r="C555" s="5">
        <v>206072878</v>
      </c>
      <c r="D555" s="115" t="s">
        <v>2892</v>
      </c>
      <c r="E555" s="4" t="s">
        <v>2910</v>
      </c>
      <c r="F555" s="7" t="s">
        <v>74</v>
      </c>
      <c r="G555" s="7" t="s">
        <v>94</v>
      </c>
      <c r="H555" s="7" t="s">
        <v>89</v>
      </c>
      <c r="I555" s="6" t="s">
        <v>1788</v>
      </c>
      <c r="J555" s="7" t="s">
        <v>3</v>
      </c>
      <c r="K555" s="4" t="s">
        <v>10</v>
      </c>
      <c r="L555" s="4" t="s">
        <v>24</v>
      </c>
      <c r="M555" s="4" t="s">
        <v>3320</v>
      </c>
      <c r="N555" s="4" t="s">
        <v>2584</v>
      </c>
      <c r="O555" s="89"/>
      <c r="P555" s="25">
        <v>45922</v>
      </c>
      <c r="Q555" s="7" t="s">
        <v>1106</v>
      </c>
      <c r="R555" s="90" t="s">
        <v>3262</v>
      </c>
      <c r="S555" s="6" t="s">
        <v>1795</v>
      </c>
      <c r="T555" s="4" t="s">
        <v>81</v>
      </c>
      <c r="U555" s="4" t="s">
        <v>107</v>
      </c>
      <c r="V555" s="4">
        <v>99</v>
      </c>
      <c r="W555" s="85">
        <v>45983</v>
      </c>
      <c r="X555" s="4" t="s">
        <v>3703</v>
      </c>
      <c r="Y555" s="4"/>
      <c r="Z555" s="4"/>
      <c r="AA555" s="4" t="s">
        <v>85</v>
      </c>
      <c r="AB555" s="4" t="s">
        <v>4289</v>
      </c>
    </row>
    <row r="556" spans="1:28">
      <c r="A556" s="4">
        <v>555</v>
      </c>
      <c r="B556" s="5">
        <v>12860306</v>
      </c>
      <c r="C556" s="5">
        <v>206915156</v>
      </c>
      <c r="D556" s="115" t="s">
        <v>3859</v>
      </c>
      <c r="E556" s="4" t="s">
        <v>3860</v>
      </c>
      <c r="F556" s="7" t="s">
        <v>82</v>
      </c>
      <c r="G556" s="7" t="s">
        <v>88</v>
      </c>
      <c r="H556" s="7" t="s">
        <v>94</v>
      </c>
      <c r="I556" s="7" t="s">
        <v>1789</v>
      </c>
      <c r="J556" s="7" t="s">
        <v>7</v>
      </c>
      <c r="K556" s="7" t="s">
        <v>10</v>
      </c>
      <c r="L556" s="7" t="s">
        <v>22</v>
      </c>
      <c r="M556" s="7" t="s">
        <v>4315</v>
      </c>
      <c r="N556" s="4" t="s">
        <v>2584</v>
      </c>
      <c r="O556" s="89"/>
      <c r="P556" s="25">
        <v>46034</v>
      </c>
      <c r="Q556" s="7" t="s">
        <v>7</v>
      </c>
      <c r="R556" s="7" t="s">
        <v>3257</v>
      </c>
      <c r="S556" s="6" t="s">
        <v>1795</v>
      </c>
      <c r="T556" s="4" t="s">
        <v>81</v>
      </c>
      <c r="U556" s="4"/>
      <c r="V556" s="4">
        <v>99</v>
      </c>
      <c r="W556" s="85">
        <v>46429</v>
      </c>
      <c r="X556" s="4" t="s">
        <v>3290</v>
      </c>
      <c r="Y556" s="4">
        <v>525422497</v>
      </c>
      <c r="Z556" s="4" t="s">
        <v>3871</v>
      </c>
      <c r="AA556" s="4" t="s">
        <v>3658</v>
      </c>
      <c r="AB556" s="4" t="e">
        <v>#N/A</v>
      </c>
    </row>
    <row r="557" spans="1:28">
      <c r="A557" s="4">
        <v>556</v>
      </c>
      <c r="B557" s="5">
        <v>15026211</v>
      </c>
      <c r="C557" s="5">
        <v>203816396</v>
      </c>
      <c r="D557" s="115" t="s">
        <v>724</v>
      </c>
      <c r="E557" s="4" t="s">
        <v>725</v>
      </c>
      <c r="F557" s="7" t="s">
        <v>74</v>
      </c>
      <c r="G557" s="7" t="s">
        <v>94</v>
      </c>
      <c r="H557" s="7" t="s">
        <v>89</v>
      </c>
      <c r="I557" s="7" t="s">
        <v>1789</v>
      </c>
      <c r="J557" s="7" t="s">
        <v>3</v>
      </c>
      <c r="K557" s="4" t="s">
        <v>10</v>
      </c>
      <c r="L557" s="4" t="s">
        <v>22</v>
      </c>
      <c r="M557" s="4" t="s">
        <v>634</v>
      </c>
      <c r="N557" s="4" t="s">
        <v>2584</v>
      </c>
      <c r="O557" s="89"/>
      <c r="P557" s="25">
        <v>45518</v>
      </c>
      <c r="Q557" s="7" t="s">
        <v>1434</v>
      </c>
      <c r="R557" s="90" t="s">
        <v>3262</v>
      </c>
      <c r="S557" s="6" t="s">
        <v>1795</v>
      </c>
      <c r="T557" s="4" t="s">
        <v>81</v>
      </c>
      <c r="U557" s="4" t="s">
        <v>349</v>
      </c>
      <c r="V557" s="4">
        <v>99</v>
      </c>
      <c r="W557" s="85">
        <v>45574</v>
      </c>
      <c r="X557" s="4" t="s">
        <v>1216</v>
      </c>
      <c r="Y557" s="4">
        <v>552887043</v>
      </c>
      <c r="Z557" s="4" t="s">
        <v>1998</v>
      </c>
      <c r="AA557" s="4" t="s">
        <v>95</v>
      </c>
      <c r="AB557" s="4" t="s">
        <v>4289</v>
      </c>
    </row>
    <row r="558" spans="1:28">
      <c r="A558" s="4">
        <v>557</v>
      </c>
      <c r="B558" s="95">
        <v>15360374</v>
      </c>
      <c r="C558" s="5">
        <v>206873878</v>
      </c>
      <c r="D558" s="115" t="s">
        <v>3411</v>
      </c>
      <c r="E558" s="4" t="s">
        <v>3363</v>
      </c>
      <c r="F558" s="7" t="s">
        <v>74</v>
      </c>
      <c r="G558" s="7" t="s">
        <v>94</v>
      </c>
      <c r="H558" s="7" t="s">
        <v>89</v>
      </c>
      <c r="I558" s="7" t="s">
        <v>1789</v>
      </c>
      <c r="J558" s="6" t="s">
        <v>3</v>
      </c>
      <c r="K558" s="6" t="s">
        <v>10</v>
      </c>
      <c r="L558" s="4" t="s">
        <v>22</v>
      </c>
      <c r="M558" s="4" t="s">
        <v>3320</v>
      </c>
      <c r="N558" s="4" t="s">
        <v>2584</v>
      </c>
      <c r="O558" s="89"/>
      <c r="P558" s="25">
        <v>46020</v>
      </c>
      <c r="Q558" s="7" t="s">
        <v>1106</v>
      </c>
      <c r="R558" s="90" t="s">
        <v>3256</v>
      </c>
      <c r="S558" s="6" t="s">
        <v>3478</v>
      </c>
      <c r="T558" s="4" t="s">
        <v>81</v>
      </c>
      <c r="U558" s="4"/>
      <c r="V558" s="4">
        <v>99</v>
      </c>
      <c r="W558" s="4"/>
      <c r="X558" s="4" t="s">
        <v>3290</v>
      </c>
      <c r="Y558" s="95">
        <v>502938504</v>
      </c>
      <c r="Z558" s="4" t="s">
        <v>3440</v>
      </c>
      <c r="AA558" s="4" t="s">
        <v>3016</v>
      </c>
      <c r="AB558" s="4" t="s">
        <v>4290</v>
      </c>
    </row>
    <row r="559" spans="1:28">
      <c r="A559" s="4">
        <v>558</v>
      </c>
      <c r="B559" s="5">
        <v>13674010</v>
      </c>
      <c r="C559" s="5">
        <v>203800482</v>
      </c>
      <c r="D559" s="115" t="s">
        <v>665</v>
      </c>
      <c r="E559" s="4" t="s">
        <v>666</v>
      </c>
      <c r="F559" s="7" t="s">
        <v>82</v>
      </c>
      <c r="G559" s="7" t="s">
        <v>87</v>
      </c>
      <c r="H559" s="7" t="s">
        <v>75</v>
      </c>
      <c r="I559" s="6" t="s">
        <v>1790</v>
      </c>
      <c r="J559" s="7" t="s">
        <v>3</v>
      </c>
      <c r="K559" s="4" t="s">
        <v>10</v>
      </c>
      <c r="L559" s="4" t="s">
        <v>22</v>
      </c>
      <c r="M559" s="4" t="s">
        <v>3320</v>
      </c>
      <c r="N559" s="4" t="s">
        <v>2584</v>
      </c>
      <c r="O559" s="89"/>
      <c r="P559" s="25">
        <v>45516</v>
      </c>
      <c r="Q559" s="7" t="s">
        <v>1106</v>
      </c>
      <c r="R559" s="90" t="s">
        <v>2586</v>
      </c>
      <c r="S559" s="6" t="s">
        <v>1795</v>
      </c>
      <c r="T559" s="4" t="s">
        <v>81</v>
      </c>
      <c r="U559" s="4" t="s">
        <v>107</v>
      </c>
      <c r="V559" s="4">
        <v>99</v>
      </c>
      <c r="W559" s="85">
        <v>45572</v>
      </c>
      <c r="X559" s="4" t="s">
        <v>1216</v>
      </c>
      <c r="Y559" s="4">
        <v>589978682</v>
      </c>
      <c r="Z559" s="4" t="s">
        <v>1999</v>
      </c>
      <c r="AA559" s="4" t="s">
        <v>95</v>
      </c>
      <c r="AB559" s="4" t="s">
        <v>4290</v>
      </c>
    </row>
    <row r="560" spans="1:28" ht="14.5" customHeight="1">
      <c r="A560" s="4">
        <v>559</v>
      </c>
      <c r="B560" s="5">
        <v>12852519</v>
      </c>
      <c r="C560" s="4">
        <v>206953817</v>
      </c>
      <c r="D560" s="115" t="s">
        <v>4272</v>
      </c>
      <c r="E560" s="4" t="s">
        <v>4264</v>
      </c>
      <c r="F560" s="7" t="s">
        <v>74</v>
      </c>
      <c r="G560" s="7" t="s">
        <v>94</v>
      </c>
      <c r="H560" s="7" t="s">
        <v>89</v>
      </c>
      <c r="I560" s="7" t="s">
        <v>1790</v>
      </c>
      <c r="J560" s="109" t="s">
        <v>3</v>
      </c>
      <c r="K560" s="4" t="s">
        <v>10</v>
      </c>
      <c r="L560" s="113" t="s">
        <v>22</v>
      </c>
      <c r="M560" s="102" t="s">
        <v>4312</v>
      </c>
      <c r="N560" s="4" t="s">
        <v>2584</v>
      </c>
      <c r="O560" s="89"/>
      <c r="P560" s="25">
        <v>46051</v>
      </c>
      <c r="Q560" s="83" t="s">
        <v>1106</v>
      </c>
      <c r="R560" s="4" t="s">
        <v>3252</v>
      </c>
      <c r="S560" s="6" t="s">
        <v>1795</v>
      </c>
      <c r="T560" s="4" t="s">
        <v>81</v>
      </c>
      <c r="U560" s="4"/>
      <c r="V560" s="4">
        <v>99</v>
      </c>
      <c r="W560" s="85">
        <v>46107</v>
      </c>
      <c r="X560" s="4" t="s">
        <v>3290</v>
      </c>
      <c r="Y560" s="4">
        <v>599096885</v>
      </c>
      <c r="Z560" s="4" t="s">
        <v>4268</v>
      </c>
      <c r="AA560" s="4" t="s">
        <v>3016</v>
      </c>
      <c r="AB560" s="4" t="e">
        <v>#N/A</v>
      </c>
    </row>
    <row r="561" spans="1:28" ht="14.5" customHeight="1">
      <c r="A561" s="4">
        <v>560</v>
      </c>
      <c r="B561" s="5">
        <v>13390999</v>
      </c>
      <c r="C561" s="5">
        <v>106262694</v>
      </c>
      <c r="D561" s="115" t="s">
        <v>141</v>
      </c>
      <c r="E561" s="4" t="s">
        <v>142</v>
      </c>
      <c r="F561" s="7" t="s">
        <v>74</v>
      </c>
      <c r="G561" s="7" t="s">
        <v>90</v>
      </c>
      <c r="H561" s="7" t="s">
        <v>87</v>
      </c>
      <c r="I561" s="6" t="s">
        <v>119</v>
      </c>
      <c r="J561" s="7" t="s">
        <v>3</v>
      </c>
      <c r="K561" s="4" t="s">
        <v>10</v>
      </c>
      <c r="L561" s="4" t="s">
        <v>21</v>
      </c>
      <c r="M561" s="4" t="s">
        <v>3320</v>
      </c>
      <c r="N561" s="4" t="s">
        <v>2583</v>
      </c>
      <c r="O561" s="89"/>
      <c r="P561" s="25">
        <v>44757</v>
      </c>
      <c r="Q561" s="7" t="s">
        <v>1433</v>
      </c>
      <c r="R561" s="90" t="s">
        <v>3258</v>
      </c>
      <c r="S561" s="6" t="s">
        <v>1795</v>
      </c>
      <c r="T561" s="4" t="s">
        <v>81</v>
      </c>
      <c r="U561" s="4" t="s">
        <v>103</v>
      </c>
      <c r="V561" s="4">
        <v>1</v>
      </c>
      <c r="W561" s="85"/>
      <c r="X561" s="4" t="s">
        <v>3688</v>
      </c>
      <c r="Y561" s="4">
        <v>0</v>
      </c>
      <c r="Z561" s="4" t="e">
        <v>#N/A</v>
      </c>
      <c r="AA561" s="4" t="s">
        <v>1202</v>
      </c>
      <c r="AB561" s="4" t="s">
        <v>4289</v>
      </c>
    </row>
    <row r="562" spans="1:28">
      <c r="A562" s="4">
        <v>561</v>
      </c>
      <c r="B562" s="5">
        <v>13967296</v>
      </c>
      <c r="C562" s="5">
        <v>205506109</v>
      </c>
      <c r="D562" s="115" t="s">
        <v>2577</v>
      </c>
      <c r="E562" s="4" t="s">
        <v>2578</v>
      </c>
      <c r="F562" s="7" t="s">
        <v>74</v>
      </c>
      <c r="G562" s="7" t="s">
        <v>88</v>
      </c>
      <c r="H562" s="7" t="s">
        <v>94</v>
      </c>
      <c r="I562" s="7" t="s">
        <v>1789</v>
      </c>
      <c r="J562" s="7" t="s">
        <v>3</v>
      </c>
      <c r="K562" s="4" t="s">
        <v>10</v>
      </c>
      <c r="L562" s="4" t="s">
        <v>23</v>
      </c>
      <c r="M562" s="4" t="s">
        <v>3320</v>
      </c>
      <c r="N562" s="4" t="s">
        <v>2584</v>
      </c>
      <c r="O562" s="89"/>
      <c r="P562" s="25">
        <v>45831</v>
      </c>
      <c r="Q562" s="7" t="s">
        <v>1106</v>
      </c>
      <c r="R562" s="90" t="s">
        <v>3255</v>
      </c>
      <c r="S562" s="6" t="s">
        <v>1795</v>
      </c>
      <c r="T562" s="4" t="s">
        <v>92</v>
      </c>
      <c r="U562" s="4" t="s">
        <v>103</v>
      </c>
      <c r="V562" s="4">
        <v>99</v>
      </c>
      <c r="W562" s="85">
        <v>45887</v>
      </c>
      <c r="X562" s="4"/>
      <c r="Y562" s="4"/>
      <c r="Z562" s="4"/>
      <c r="AA562" s="4" t="s">
        <v>1204</v>
      </c>
      <c r="AB562" s="4" t="s">
        <v>4289</v>
      </c>
    </row>
    <row r="563" spans="1:28">
      <c r="A563" s="4">
        <v>562</v>
      </c>
      <c r="B563" s="5">
        <v>14615560</v>
      </c>
      <c r="C563" s="5">
        <v>204967149</v>
      </c>
      <c r="D563" s="115" t="s">
        <v>2437</v>
      </c>
      <c r="E563" s="4" t="s">
        <v>2438</v>
      </c>
      <c r="F563" s="7" t="s">
        <v>82</v>
      </c>
      <c r="G563" s="7" t="s">
        <v>94</v>
      </c>
      <c r="H563" s="7" t="s">
        <v>89</v>
      </c>
      <c r="I563" s="6" t="s">
        <v>1790</v>
      </c>
      <c r="J563" s="7" t="s">
        <v>3</v>
      </c>
      <c r="K563" s="4" t="s">
        <v>10</v>
      </c>
      <c r="L563" s="4" t="s">
        <v>22</v>
      </c>
      <c r="M563" s="4" t="s">
        <v>3320</v>
      </c>
      <c r="N563" s="4" t="s">
        <v>2584</v>
      </c>
      <c r="O563" s="89"/>
      <c r="P563" s="25">
        <v>45826</v>
      </c>
      <c r="Q563" s="7" t="s">
        <v>1106</v>
      </c>
      <c r="R563" s="90" t="s">
        <v>2586</v>
      </c>
      <c r="S563" s="6" t="s">
        <v>1795</v>
      </c>
      <c r="T563" s="4" t="s">
        <v>81</v>
      </c>
      <c r="U563" s="4" t="s">
        <v>107</v>
      </c>
      <c r="V563" s="4">
        <v>99</v>
      </c>
      <c r="W563" s="85">
        <v>45882</v>
      </c>
      <c r="X563" s="4" t="s">
        <v>1216</v>
      </c>
      <c r="Y563" s="4"/>
      <c r="Z563" s="4"/>
      <c r="AA563" s="4" t="s">
        <v>85</v>
      </c>
      <c r="AB563" s="4" t="s">
        <v>4289</v>
      </c>
    </row>
    <row r="564" spans="1:28">
      <c r="A564" s="4">
        <v>563</v>
      </c>
      <c r="B564" s="5">
        <v>15234628</v>
      </c>
      <c r="C564" s="5">
        <v>205496022</v>
      </c>
      <c r="D564" s="115" t="s">
        <v>2579</v>
      </c>
      <c r="E564" s="4" t="s">
        <v>2580</v>
      </c>
      <c r="F564" s="7" t="s">
        <v>74</v>
      </c>
      <c r="G564" s="7" t="s">
        <v>94</v>
      </c>
      <c r="H564" s="7" t="s">
        <v>89</v>
      </c>
      <c r="I564" s="7" t="s">
        <v>1789</v>
      </c>
      <c r="J564" s="7" t="s">
        <v>3</v>
      </c>
      <c r="K564" s="4" t="s">
        <v>10</v>
      </c>
      <c r="L564" s="4" t="s">
        <v>23</v>
      </c>
      <c r="M564" s="4" t="s">
        <v>3320</v>
      </c>
      <c r="N564" s="4" t="s">
        <v>2584</v>
      </c>
      <c r="O564" s="89"/>
      <c r="P564" s="25">
        <v>45831</v>
      </c>
      <c r="Q564" s="7" t="s">
        <v>1106</v>
      </c>
      <c r="R564" s="90" t="s">
        <v>3258</v>
      </c>
      <c r="S564" s="6" t="s">
        <v>1795</v>
      </c>
      <c r="T564" s="4" t="s">
        <v>92</v>
      </c>
      <c r="U564" s="4" t="s">
        <v>103</v>
      </c>
      <c r="V564" s="4">
        <v>99</v>
      </c>
      <c r="W564" s="85">
        <v>45887</v>
      </c>
      <c r="X564" s="4"/>
      <c r="Y564" s="4"/>
      <c r="Z564" s="4"/>
      <c r="AA564" s="4" t="s">
        <v>1204</v>
      </c>
      <c r="AB564" s="4" t="s">
        <v>4289</v>
      </c>
    </row>
    <row r="565" spans="1:28">
      <c r="A565" s="4">
        <v>564</v>
      </c>
      <c r="B565" s="5">
        <v>12633525</v>
      </c>
      <c r="C565" s="5">
        <v>206504596</v>
      </c>
      <c r="D565" s="115" t="s">
        <v>3227</v>
      </c>
      <c r="E565" s="4" t="s">
        <v>3234</v>
      </c>
      <c r="F565" s="7" t="s">
        <v>74</v>
      </c>
      <c r="G565" s="7" t="s">
        <v>94</v>
      </c>
      <c r="H565" s="7" t="s">
        <v>89</v>
      </c>
      <c r="I565" s="7" t="s">
        <v>1789</v>
      </c>
      <c r="J565" s="7" t="s">
        <v>3</v>
      </c>
      <c r="K565" s="4" t="s">
        <v>10</v>
      </c>
      <c r="L565" s="4" t="s">
        <v>22</v>
      </c>
      <c r="M565" s="4" t="s">
        <v>3320</v>
      </c>
      <c r="N565" s="4" t="s">
        <v>2584</v>
      </c>
      <c r="O565" s="89"/>
      <c r="P565" s="25">
        <v>45971</v>
      </c>
      <c r="Q565" s="7" t="s">
        <v>1106</v>
      </c>
      <c r="R565" s="4" t="s">
        <v>3252</v>
      </c>
      <c r="S565" s="6" t="s">
        <v>1795</v>
      </c>
      <c r="T565" s="4" t="s">
        <v>81</v>
      </c>
      <c r="U565" s="4" t="s">
        <v>349</v>
      </c>
      <c r="V565" s="4">
        <v>99</v>
      </c>
      <c r="W565" s="85">
        <v>46245</v>
      </c>
      <c r="X565" s="4" t="s">
        <v>2758</v>
      </c>
      <c r="Y565" s="4">
        <v>567028268</v>
      </c>
      <c r="Z565" s="4" t="s">
        <v>3241</v>
      </c>
      <c r="AA565" s="4" t="s">
        <v>3016</v>
      </c>
      <c r="AB565" s="4" t="s">
        <v>4289</v>
      </c>
    </row>
    <row r="566" spans="1:28">
      <c r="A566" s="4">
        <v>565</v>
      </c>
      <c r="B566" s="5">
        <v>13207118</v>
      </c>
      <c r="C566" s="5">
        <v>204246613</v>
      </c>
      <c r="D566" s="115" t="s">
        <v>1723</v>
      </c>
      <c r="E566" s="4" t="s">
        <v>1629</v>
      </c>
      <c r="F566" s="7" t="s">
        <v>74</v>
      </c>
      <c r="G566" s="7" t="s">
        <v>94</v>
      </c>
      <c r="H566" s="7" t="s">
        <v>89</v>
      </c>
      <c r="I566" s="6" t="s">
        <v>1790</v>
      </c>
      <c r="J566" s="7" t="s">
        <v>3</v>
      </c>
      <c r="K566" s="4" t="s">
        <v>10</v>
      </c>
      <c r="L566" s="4" t="s">
        <v>27</v>
      </c>
      <c r="M566" s="4" t="s">
        <v>3320</v>
      </c>
      <c r="N566" s="4" t="s">
        <v>2584</v>
      </c>
      <c r="O566" s="89"/>
      <c r="P566" s="25">
        <v>45579</v>
      </c>
      <c r="Q566" s="7" t="s">
        <v>1106</v>
      </c>
      <c r="R566" s="90" t="s">
        <v>3260</v>
      </c>
      <c r="S566" s="6" t="s">
        <v>1795</v>
      </c>
      <c r="T566" s="4" t="s">
        <v>92</v>
      </c>
      <c r="U566" s="4" t="s">
        <v>103</v>
      </c>
      <c r="V566" s="4">
        <v>99</v>
      </c>
      <c r="W566" s="85">
        <v>46309</v>
      </c>
      <c r="X566" s="4" t="s">
        <v>3688</v>
      </c>
      <c r="Y566" s="4">
        <v>559052407</v>
      </c>
      <c r="Z566" s="4" t="s">
        <v>1653</v>
      </c>
      <c r="AA566" s="4" t="s">
        <v>1198</v>
      </c>
      <c r="AB566" s="4" t="s">
        <v>4289</v>
      </c>
    </row>
    <row r="567" spans="1:28">
      <c r="A567" s="4">
        <v>566</v>
      </c>
      <c r="B567" s="5">
        <v>11042349</v>
      </c>
      <c r="C567" s="5">
        <v>206015633</v>
      </c>
      <c r="D567" s="115" t="s">
        <v>2841</v>
      </c>
      <c r="E567" s="4" t="s">
        <v>2842</v>
      </c>
      <c r="F567" s="7" t="s">
        <v>74</v>
      </c>
      <c r="G567" s="7" t="s">
        <v>94</v>
      </c>
      <c r="H567" s="7" t="s">
        <v>89</v>
      </c>
      <c r="I567" s="6" t="s">
        <v>1788</v>
      </c>
      <c r="J567" s="7" t="s">
        <v>3</v>
      </c>
      <c r="K567" s="4" t="s">
        <v>10</v>
      </c>
      <c r="L567" s="4" t="s">
        <v>24</v>
      </c>
      <c r="M567" s="4" t="s">
        <v>634</v>
      </c>
      <c r="N567" s="4"/>
      <c r="O567" s="89"/>
      <c r="P567" s="25">
        <v>45915</v>
      </c>
      <c r="Q567" s="7" t="s">
        <v>161</v>
      </c>
      <c r="R567" s="90" t="s">
        <v>3253</v>
      </c>
      <c r="S567" s="6" t="s">
        <v>1795</v>
      </c>
      <c r="T567" s="4" t="s">
        <v>92</v>
      </c>
      <c r="U567" s="4" t="s">
        <v>112</v>
      </c>
      <c r="V567" s="4">
        <v>99</v>
      </c>
      <c r="W567" s="85"/>
      <c r="X567" s="4"/>
      <c r="Y567" s="4"/>
      <c r="Z567" s="4"/>
      <c r="AA567" s="4" t="s">
        <v>1196</v>
      </c>
      <c r="AB567" s="4" t="s">
        <v>4289</v>
      </c>
    </row>
    <row r="568" spans="1:28" ht="14.5" customHeight="1">
      <c r="A568" s="4">
        <v>567</v>
      </c>
      <c r="B568" s="95">
        <v>143150</v>
      </c>
      <c r="C568" s="4">
        <v>206875751</v>
      </c>
      <c r="D568" s="115" t="s">
        <v>3516</v>
      </c>
      <c r="E568" s="4" t="s">
        <v>3486</v>
      </c>
      <c r="F568" s="7" t="s">
        <v>74</v>
      </c>
      <c r="G568" s="7" t="s">
        <v>94</v>
      </c>
      <c r="H568" s="7" t="s">
        <v>89</v>
      </c>
      <c r="I568" s="7" t="s">
        <v>1789</v>
      </c>
      <c r="J568" s="6" t="s">
        <v>3</v>
      </c>
      <c r="K568" s="6" t="s">
        <v>10</v>
      </c>
      <c r="L568" s="4" t="s">
        <v>24</v>
      </c>
      <c r="M568" s="4" t="s">
        <v>3320</v>
      </c>
      <c r="N568" s="4" t="s">
        <v>2584</v>
      </c>
      <c r="O568" s="89"/>
      <c r="P568" s="25">
        <v>46020</v>
      </c>
      <c r="Q568" s="4" t="s">
        <v>1106</v>
      </c>
      <c r="R568" s="4" t="s">
        <v>3264</v>
      </c>
      <c r="S568" s="4" t="s">
        <v>3478</v>
      </c>
      <c r="T568" s="4" t="s">
        <v>81</v>
      </c>
      <c r="U568" s="4"/>
      <c r="V568" s="4">
        <v>99</v>
      </c>
      <c r="W568" s="4"/>
      <c r="X568" s="4" t="s">
        <v>3690</v>
      </c>
      <c r="Y568" s="4">
        <v>558264668</v>
      </c>
      <c r="Z568" s="4" t="s">
        <v>3502</v>
      </c>
      <c r="AA568" s="4" t="s">
        <v>3476</v>
      </c>
      <c r="AB568" s="4">
        <v>0</v>
      </c>
    </row>
    <row r="569" spans="1:28" ht="14.5" customHeight="1">
      <c r="A569" s="4">
        <v>568</v>
      </c>
      <c r="B569" s="5">
        <v>13514432</v>
      </c>
      <c r="C569" s="5">
        <v>204246612</v>
      </c>
      <c r="D569" s="115" t="s">
        <v>1737</v>
      </c>
      <c r="E569" s="4" t="s">
        <v>1643</v>
      </c>
      <c r="F569" s="7" t="s">
        <v>74</v>
      </c>
      <c r="G569" s="7" t="s">
        <v>76</v>
      </c>
      <c r="H569" s="7" t="s">
        <v>88</v>
      </c>
      <c r="I569" s="6" t="s">
        <v>1790</v>
      </c>
      <c r="J569" s="7" t="s">
        <v>3</v>
      </c>
      <c r="K569" s="4" t="s">
        <v>10</v>
      </c>
      <c r="L569" s="4" t="s">
        <v>27</v>
      </c>
      <c r="M569" s="4" t="s">
        <v>3320</v>
      </c>
      <c r="N569" s="4" t="s">
        <v>2584</v>
      </c>
      <c r="O569" s="89"/>
      <c r="P569" s="25">
        <v>45579</v>
      </c>
      <c r="Q569" s="7" t="s">
        <v>1106</v>
      </c>
      <c r="R569" s="90" t="s">
        <v>2586</v>
      </c>
      <c r="S569" s="6" t="s">
        <v>1795</v>
      </c>
      <c r="T569" s="4" t="s">
        <v>92</v>
      </c>
      <c r="U569" s="4" t="s">
        <v>132</v>
      </c>
      <c r="V569" s="4">
        <v>99</v>
      </c>
      <c r="W569" s="85">
        <v>46309</v>
      </c>
      <c r="X569" s="4" t="s">
        <v>3739</v>
      </c>
      <c r="Y569" s="4">
        <v>552869181</v>
      </c>
      <c r="Z569" s="4" t="s">
        <v>1666</v>
      </c>
      <c r="AA569" s="4" t="s">
        <v>1198</v>
      </c>
      <c r="AB569" s="4" t="s">
        <v>4289</v>
      </c>
    </row>
    <row r="570" spans="1:28" ht="14.5" customHeight="1">
      <c r="A570" s="4">
        <v>569</v>
      </c>
      <c r="B570" s="5">
        <v>14199429</v>
      </c>
      <c r="C570" s="5">
        <v>206933423</v>
      </c>
      <c r="D570" s="115" t="s">
        <v>3914</v>
      </c>
      <c r="E570" s="4" t="s">
        <v>3899</v>
      </c>
      <c r="F570" s="7" t="s">
        <v>74</v>
      </c>
      <c r="G570" s="7" t="s">
        <v>94</v>
      </c>
      <c r="H570" s="7" t="s">
        <v>89</v>
      </c>
      <c r="I570" s="7" t="s">
        <v>1788</v>
      </c>
      <c r="J570" s="7" t="s">
        <v>3</v>
      </c>
      <c r="K570" s="4" t="s">
        <v>10</v>
      </c>
      <c r="L570" s="4" t="s">
        <v>23</v>
      </c>
      <c r="M570" s="4" t="s">
        <v>4312</v>
      </c>
      <c r="N570" s="4" t="s">
        <v>2584</v>
      </c>
      <c r="O570" s="89"/>
      <c r="P570" s="25">
        <v>46041</v>
      </c>
      <c r="Q570" s="7" t="s">
        <v>1106</v>
      </c>
      <c r="R570" s="4" t="s">
        <v>3262</v>
      </c>
      <c r="S570" s="6" t="s">
        <v>1795</v>
      </c>
      <c r="T570" s="4" t="s">
        <v>92</v>
      </c>
      <c r="U570" s="4"/>
      <c r="V570" s="4">
        <v>99</v>
      </c>
      <c r="W570" s="85">
        <v>46096</v>
      </c>
      <c r="X570" s="4" t="s">
        <v>3901</v>
      </c>
      <c r="Y570" s="4" t="s">
        <v>3905</v>
      </c>
      <c r="Z570" s="4" t="s">
        <v>3909</v>
      </c>
      <c r="AA570" s="4" t="s">
        <v>3911</v>
      </c>
      <c r="AB570" s="4" t="s">
        <v>4289</v>
      </c>
    </row>
    <row r="571" spans="1:28" ht="14.5" customHeight="1">
      <c r="A571" s="4">
        <v>570</v>
      </c>
      <c r="B571" s="5">
        <v>11601572</v>
      </c>
      <c r="C571" s="5">
        <v>206513292</v>
      </c>
      <c r="D571" s="115" t="s">
        <v>3251</v>
      </c>
      <c r="E571" s="4" t="s">
        <v>3245</v>
      </c>
      <c r="F571" s="7" t="s">
        <v>74</v>
      </c>
      <c r="G571" s="7" t="s">
        <v>94</v>
      </c>
      <c r="H571" s="7" t="s">
        <v>89</v>
      </c>
      <c r="I571" s="6" t="s">
        <v>1790</v>
      </c>
      <c r="J571" s="7" t="s">
        <v>3</v>
      </c>
      <c r="K571" s="4" t="s">
        <v>10</v>
      </c>
      <c r="L571" s="4" t="s">
        <v>22</v>
      </c>
      <c r="M571" s="4" t="s">
        <v>3320</v>
      </c>
      <c r="N571" s="4" t="s">
        <v>2584</v>
      </c>
      <c r="O571" s="89"/>
      <c r="P571" s="25">
        <v>45971</v>
      </c>
      <c r="Q571" s="7" t="s">
        <v>1106</v>
      </c>
      <c r="R571" s="4" t="s">
        <v>3252</v>
      </c>
      <c r="S571" s="6" t="s">
        <v>1795</v>
      </c>
      <c r="T571" s="4" t="s">
        <v>81</v>
      </c>
      <c r="U571" s="4" t="s">
        <v>349</v>
      </c>
      <c r="V571" s="4">
        <v>99</v>
      </c>
      <c r="W571" s="85">
        <v>46245</v>
      </c>
      <c r="X571" s="4" t="s">
        <v>2758</v>
      </c>
      <c r="Y571" s="4">
        <v>567082681</v>
      </c>
      <c r="Z571" s="4" t="s">
        <v>3246</v>
      </c>
      <c r="AA571" s="4" t="s">
        <v>3016</v>
      </c>
      <c r="AB571" s="4" t="s">
        <v>4289</v>
      </c>
    </row>
    <row r="572" spans="1:28">
      <c r="A572" s="4">
        <v>571</v>
      </c>
      <c r="B572" s="5">
        <v>13875771</v>
      </c>
      <c r="C572" s="5">
        <v>206791438</v>
      </c>
      <c r="D572" s="115" t="s">
        <v>3275</v>
      </c>
      <c r="E572" s="4" t="s">
        <v>3276</v>
      </c>
      <c r="F572" s="7" t="s">
        <v>74</v>
      </c>
      <c r="G572" s="7" t="s">
        <v>94</v>
      </c>
      <c r="H572" s="7" t="s">
        <v>89</v>
      </c>
      <c r="I572" s="7" t="s">
        <v>1789</v>
      </c>
      <c r="J572" s="7" t="s">
        <v>3</v>
      </c>
      <c r="K572" s="4" t="s">
        <v>10</v>
      </c>
      <c r="L572" s="4" t="s">
        <v>22</v>
      </c>
      <c r="M572" s="4" t="s">
        <v>3320</v>
      </c>
      <c r="N572" s="4"/>
      <c r="O572" s="89"/>
      <c r="P572" s="25">
        <v>45999</v>
      </c>
      <c r="Q572" s="7" t="s">
        <v>1106</v>
      </c>
      <c r="R572" s="90" t="s">
        <v>2586</v>
      </c>
      <c r="S572" s="6" t="s">
        <v>1795</v>
      </c>
      <c r="T572" s="4" t="s">
        <v>81</v>
      </c>
      <c r="U572" s="4" t="s">
        <v>349</v>
      </c>
      <c r="V572" s="4">
        <v>99</v>
      </c>
      <c r="W572" s="85"/>
      <c r="X572" s="4"/>
      <c r="Y572" s="4"/>
      <c r="Z572" s="4"/>
      <c r="AA572" s="4" t="s">
        <v>95</v>
      </c>
      <c r="AB572" s="4" t="s">
        <v>4289</v>
      </c>
    </row>
    <row r="573" spans="1:28">
      <c r="A573" s="4">
        <v>572</v>
      </c>
      <c r="B573" s="5">
        <v>11565434</v>
      </c>
      <c r="C573" s="5">
        <v>203736259</v>
      </c>
      <c r="D573" s="115" t="s">
        <v>343</v>
      </c>
      <c r="E573" s="4" t="s">
        <v>344</v>
      </c>
      <c r="F573" s="7" t="s">
        <v>82</v>
      </c>
      <c r="G573" s="7" t="s">
        <v>94</v>
      </c>
      <c r="H573" s="7" t="s">
        <v>89</v>
      </c>
      <c r="I573" s="6" t="s">
        <v>1790</v>
      </c>
      <c r="J573" s="7" t="s">
        <v>3</v>
      </c>
      <c r="K573" s="4" t="s">
        <v>10</v>
      </c>
      <c r="L573" s="4" t="s">
        <v>22</v>
      </c>
      <c r="M573" s="4" t="s">
        <v>3320</v>
      </c>
      <c r="N573" s="4" t="s">
        <v>2584</v>
      </c>
      <c r="O573" s="89"/>
      <c r="P573" s="25">
        <v>45502</v>
      </c>
      <c r="Q573" s="7" t="s">
        <v>1106</v>
      </c>
      <c r="R573" s="90" t="s">
        <v>3260</v>
      </c>
      <c r="S573" s="6" t="s">
        <v>1795</v>
      </c>
      <c r="T573" s="4" t="s">
        <v>81</v>
      </c>
      <c r="U573" s="4" t="s">
        <v>112</v>
      </c>
      <c r="V573" s="4">
        <v>99</v>
      </c>
      <c r="W573" s="85">
        <v>45558</v>
      </c>
      <c r="X573" s="4" t="s">
        <v>1216</v>
      </c>
      <c r="Y573" s="4">
        <v>554576083</v>
      </c>
      <c r="Z573" s="4" t="s">
        <v>2000</v>
      </c>
      <c r="AA573" s="4" t="s">
        <v>95</v>
      </c>
      <c r="AB573" s="4" t="s">
        <v>4289</v>
      </c>
    </row>
    <row r="574" spans="1:28">
      <c r="A574" s="4">
        <v>573</v>
      </c>
      <c r="B574" s="95">
        <v>14082170</v>
      </c>
      <c r="C574" s="4">
        <v>206873645</v>
      </c>
      <c r="D574" s="115" t="s">
        <v>3512</v>
      </c>
      <c r="E574" s="4" t="s">
        <v>3482</v>
      </c>
      <c r="F574" s="7" t="s">
        <v>74</v>
      </c>
      <c r="G574" s="7" t="s">
        <v>94</v>
      </c>
      <c r="H574" s="7" t="s">
        <v>89</v>
      </c>
      <c r="I574" s="7" t="s">
        <v>1788</v>
      </c>
      <c r="J574" s="6" t="s">
        <v>3</v>
      </c>
      <c r="K574" s="6" t="s">
        <v>10</v>
      </c>
      <c r="L574" s="4" t="s">
        <v>24</v>
      </c>
      <c r="M574" s="4" t="s">
        <v>3320</v>
      </c>
      <c r="N574" s="4" t="s">
        <v>2584</v>
      </c>
      <c r="O574" s="89"/>
      <c r="P574" s="25">
        <v>46020</v>
      </c>
      <c r="Q574" s="4" t="s">
        <v>1106</v>
      </c>
      <c r="R574" s="90" t="s">
        <v>3256</v>
      </c>
      <c r="S574" s="4" t="s">
        <v>3478</v>
      </c>
      <c r="T574" s="4" t="s">
        <v>81</v>
      </c>
      <c r="U574" s="4"/>
      <c r="V574" s="4">
        <v>99</v>
      </c>
      <c r="W574" s="4"/>
      <c r="X574" s="4" t="s">
        <v>3492</v>
      </c>
      <c r="Y574" s="4">
        <v>554898612</v>
      </c>
      <c r="Z574" s="4" t="s">
        <v>3498</v>
      </c>
      <c r="AA574" s="4" t="s">
        <v>3016</v>
      </c>
      <c r="AB574" s="4">
        <v>0</v>
      </c>
    </row>
    <row r="575" spans="1:28">
      <c r="A575" s="4">
        <v>574</v>
      </c>
      <c r="B575" s="5">
        <v>14501722</v>
      </c>
      <c r="C575" s="5">
        <v>203813134</v>
      </c>
      <c r="D575" s="115" t="s">
        <v>722</v>
      </c>
      <c r="E575" s="4" t="s">
        <v>723</v>
      </c>
      <c r="F575" s="7" t="s">
        <v>74</v>
      </c>
      <c r="G575" s="7" t="s">
        <v>94</v>
      </c>
      <c r="H575" s="7" t="s">
        <v>89</v>
      </c>
      <c r="I575" s="6" t="s">
        <v>1790</v>
      </c>
      <c r="J575" s="7" t="s">
        <v>3</v>
      </c>
      <c r="K575" s="4" t="s">
        <v>10</v>
      </c>
      <c r="L575" s="4" t="s">
        <v>20</v>
      </c>
      <c r="M575" s="4" t="s">
        <v>3320</v>
      </c>
      <c r="N575" s="4" t="s">
        <v>2584</v>
      </c>
      <c r="O575" s="89"/>
      <c r="P575" s="25">
        <v>45517</v>
      </c>
      <c r="Q575" s="7" t="s">
        <v>1106</v>
      </c>
      <c r="R575" s="90" t="s">
        <v>3260</v>
      </c>
      <c r="S575" s="6" t="s">
        <v>1795</v>
      </c>
      <c r="T575" s="4" t="s">
        <v>81</v>
      </c>
      <c r="U575" s="4" t="s">
        <v>349</v>
      </c>
      <c r="V575" s="4">
        <v>99</v>
      </c>
      <c r="W575" s="85">
        <v>46247</v>
      </c>
      <c r="X575" s="4" t="s">
        <v>3473</v>
      </c>
      <c r="Y575" s="4">
        <v>561262846</v>
      </c>
      <c r="Z575" s="4" t="s">
        <v>2001</v>
      </c>
      <c r="AA575" s="4" t="s">
        <v>1194</v>
      </c>
      <c r="AB575" s="4" t="s">
        <v>4289</v>
      </c>
    </row>
    <row r="576" spans="1:28">
      <c r="A576" s="4">
        <v>575</v>
      </c>
      <c r="B576" s="5">
        <v>12403009</v>
      </c>
      <c r="C576" s="5">
        <v>112911448</v>
      </c>
      <c r="D576" s="115" t="s">
        <v>844</v>
      </c>
      <c r="E576" s="5" t="s">
        <v>1693</v>
      </c>
      <c r="F576" s="7" t="s">
        <v>74</v>
      </c>
      <c r="G576" s="7" t="s">
        <v>76</v>
      </c>
      <c r="H576" s="7" t="s">
        <v>88</v>
      </c>
      <c r="I576" s="6" t="s">
        <v>244</v>
      </c>
      <c r="J576" s="5" t="s">
        <v>3</v>
      </c>
      <c r="K576" s="5" t="s">
        <v>10</v>
      </c>
      <c r="L576" s="5" t="s">
        <v>21</v>
      </c>
      <c r="M576" s="5" t="s">
        <v>4312</v>
      </c>
      <c r="N576" s="4" t="s">
        <v>2583</v>
      </c>
      <c r="O576" s="89"/>
      <c r="P576" s="25">
        <v>46013</v>
      </c>
      <c r="Q576" s="7" t="s">
        <v>1435</v>
      </c>
      <c r="R576" s="5"/>
      <c r="S576" s="5" t="s">
        <v>1795</v>
      </c>
      <c r="T576" s="5" t="s">
        <v>81</v>
      </c>
      <c r="U576" s="5"/>
      <c r="V576" s="5">
        <v>3</v>
      </c>
      <c r="W576" s="5"/>
      <c r="X576" s="5"/>
      <c r="Y576" s="5"/>
      <c r="Z576" s="5"/>
      <c r="AA576" s="4"/>
      <c r="AB576" s="4" t="s">
        <v>4290</v>
      </c>
    </row>
    <row r="577" spans="1:28">
      <c r="A577" s="4">
        <v>576</v>
      </c>
      <c r="B577" s="5">
        <v>11867907</v>
      </c>
      <c r="C577" s="5">
        <v>104147044</v>
      </c>
      <c r="D577" s="115" t="s">
        <v>148</v>
      </c>
      <c r="E577" s="4" t="s">
        <v>149</v>
      </c>
      <c r="F577" s="7" t="s">
        <v>82</v>
      </c>
      <c r="G577" s="7" t="s">
        <v>76</v>
      </c>
      <c r="H577" s="7" t="s">
        <v>88</v>
      </c>
      <c r="I577" s="6" t="s">
        <v>119</v>
      </c>
      <c r="J577" s="7" t="s">
        <v>3</v>
      </c>
      <c r="K577" s="4" t="s">
        <v>10</v>
      </c>
      <c r="L577" s="4" t="s">
        <v>21</v>
      </c>
      <c r="M577" s="4" t="s">
        <v>3320</v>
      </c>
      <c r="N577" s="4" t="s">
        <v>2584</v>
      </c>
      <c r="O577" s="89"/>
      <c r="P577" s="25">
        <v>44861</v>
      </c>
      <c r="Q577" s="7" t="s">
        <v>1106</v>
      </c>
      <c r="R577" s="90" t="s">
        <v>2586</v>
      </c>
      <c r="S577" s="6" t="s">
        <v>1795</v>
      </c>
      <c r="T577" s="4" t="s">
        <v>81</v>
      </c>
      <c r="U577" s="4" t="s">
        <v>103</v>
      </c>
      <c r="V577" s="4">
        <v>1</v>
      </c>
      <c r="W577" s="85"/>
      <c r="X577" s="4" t="s">
        <v>3473</v>
      </c>
      <c r="Y577" s="4">
        <v>0</v>
      </c>
      <c r="Z577" s="4" t="e">
        <v>#N/A</v>
      </c>
      <c r="AA577" s="4" t="s">
        <v>1194</v>
      </c>
      <c r="AB577" s="4" t="s">
        <v>4289</v>
      </c>
    </row>
    <row r="578" spans="1:28">
      <c r="A578" s="4">
        <v>577</v>
      </c>
      <c r="B578" s="5">
        <v>14805303</v>
      </c>
      <c r="C578" s="5">
        <v>203687852</v>
      </c>
      <c r="D578" s="115" t="s">
        <v>263</v>
      </c>
      <c r="E578" s="4" t="s">
        <v>264</v>
      </c>
      <c r="F578" s="7" t="s">
        <v>74</v>
      </c>
      <c r="G578" s="7" t="s">
        <v>90</v>
      </c>
      <c r="H578" s="7" t="s">
        <v>87</v>
      </c>
      <c r="I578" s="6" t="s">
        <v>1790</v>
      </c>
      <c r="J578" s="7" t="s">
        <v>3</v>
      </c>
      <c r="K578" s="4" t="s">
        <v>10</v>
      </c>
      <c r="L578" s="4" t="s">
        <v>20</v>
      </c>
      <c r="M578" s="4" t="s">
        <v>3320</v>
      </c>
      <c r="N578" s="4" t="s">
        <v>2584</v>
      </c>
      <c r="O578" s="89"/>
      <c r="P578" s="25">
        <v>45495</v>
      </c>
      <c r="Q578" s="7" t="s">
        <v>1106</v>
      </c>
      <c r="R578" s="90" t="s">
        <v>3258</v>
      </c>
      <c r="S578" s="6" t="s">
        <v>1795</v>
      </c>
      <c r="T578" s="4" t="s">
        <v>81</v>
      </c>
      <c r="U578" s="4" t="s">
        <v>112</v>
      </c>
      <c r="V578" s="4">
        <v>99</v>
      </c>
      <c r="W578" s="85">
        <v>46225</v>
      </c>
      <c r="X578" s="4" t="s">
        <v>3474</v>
      </c>
      <c r="Y578" s="4">
        <v>522309913</v>
      </c>
      <c r="Z578" s="4" t="s">
        <v>2002</v>
      </c>
      <c r="AA578" s="4" t="s">
        <v>1194</v>
      </c>
      <c r="AB578" s="4" t="s">
        <v>4290</v>
      </c>
    </row>
    <row r="579" spans="1:28">
      <c r="A579" s="4">
        <v>578</v>
      </c>
      <c r="B579" s="5">
        <v>11854441</v>
      </c>
      <c r="C579" s="5">
        <v>206934652</v>
      </c>
      <c r="D579" s="115" t="s">
        <v>3915</v>
      </c>
      <c r="E579" s="4" t="s">
        <v>3900</v>
      </c>
      <c r="F579" s="7" t="s">
        <v>74</v>
      </c>
      <c r="G579" s="7" t="s">
        <v>94</v>
      </c>
      <c r="H579" s="7" t="s">
        <v>89</v>
      </c>
      <c r="I579" s="7" t="s">
        <v>1789</v>
      </c>
      <c r="J579" s="7" t="s">
        <v>3</v>
      </c>
      <c r="K579" s="4" t="s">
        <v>10</v>
      </c>
      <c r="L579" s="4" t="s">
        <v>23</v>
      </c>
      <c r="M579" s="4" t="s">
        <v>4312</v>
      </c>
      <c r="N579" s="4" t="s">
        <v>2584</v>
      </c>
      <c r="O579" s="89"/>
      <c r="P579" s="25">
        <v>46041</v>
      </c>
      <c r="Q579" s="7" t="s">
        <v>1106</v>
      </c>
      <c r="R579" s="90" t="s">
        <v>2586</v>
      </c>
      <c r="S579" s="6" t="s">
        <v>1795</v>
      </c>
      <c r="T579" s="4" t="s">
        <v>92</v>
      </c>
      <c r="U579" s="4"/>
      <c r="V579" s="4">
        <v>99</v>
      </c>
      <c r="W579" s="85">
        <v>46096</v>
      </c>
      <c r="X579" s="4" t="s">
        <v>3901</v>
      </c>
      <c r="Y579" s="4" t="s">
        <v>3906</v>
      </c>
      <c r="Z579" s="4" t="s">
        <v>3910</v>
      </c>
      <c r="AA579" s="4" t="s">
        <v>3911</v>
      </c>
      <c r="AB579" s="4" t="s">
        <v>4289</v>
      </c>
    </row>
    <row r="580" spans="1:28">
      <c r="A580" s="4">
        <v>579</v>
      </c>
      <c r="B580" s="5">
        <v>12205312</v>
      </c>
      <c r="C580" s="5">
        <v>202435289</v>
      </c>
      <c r="D580" s="115" t="s">
        <v>1224</v>
      </c>
      <c r="E580" s="4" t="s">
        <v>1225</v>
      </c>
      <c r="F580" s="7" t="s">
        <v>82</v>
      </c>
      <c r="G580" s="7" t="s">
        <v>94</v>
      </c>
      <c r="H580" s="7" t="s">
        <v>89</v>
      </c>
      <c r="I580" s="6" t="s">
        <v>1790</v>
      </c>
      <c r="J580" s="7" t="s">
        <v>3</v>
      </c>
      <c r="K580" s="4" t="s">
        <v>10</v>
      </c>
      <c r="L580" s="4" t="s">
        <v>27</v>
      </c>
      <c r="M580" s="4" t="s">
        <v>3320</v>
      </c>
      <c r="N580" s="4" t="s">
        <v>2584</v>
      </c>
      <c r="O580" s="89"/>
      <c r="P580" s="25">
        <v>45581</v>
      </c>
      <c r="Q580" s="7" t="s">
        <v>1106</v>
      </c>
      <c r="R580" s="90" t="s">
        <v>3254</v>
      </c>
      <c r="S580" s="6" t="s">
        <v>1795</v>
      </c>
      <c r="T580" s="4" t="s">
        <v>92</v>
      </c>
      <c r="U580" s="4" t="s">
        <v>103</v>
      </c>
      <c r="V580" s="4">
        <v>99</v>
      </c>
      <c r="W580" s="85">
        <v>46311</v>
      </c>
      <c r="X580" s="4" t="s">
        <v>3492</v>
      </c>
      <c r="Y580" s="4">
        <v>524469068</v>
      </c>
      <c r="Z580" s="4" t="s">
        <v>1672</v>
      </c>
      <c r="AA580" s="4" t="s">
        <v>1196</v>
      </c>
      <c r="AB580" s="4" t="s">
        <v>4289</v>
      </c>
    </row>
    <row r="581" spans="1:28">
      <c r="A581" s="4">
        <v>580</v>
      </c>
      <c r="B581" s="5">
        <v>11228191</v>
      </c>
      <c r="C581" s="5">
        <v>203813135</v>
      </c>
      <c r="D581" s="115" t="s">
        <v>720</v>
      </c>
      <c r="E581" s="4" t="s">
        <v>721</v>
      </c>
      <c r="F581" s="7" t="s">
        <v>74</v>
      </c>
      <c r="G581" s="7" t="s">
        <v>94</v>
      </c>
      <c r="H581" s="7" t="s">
        <v>89</v>
      </c>
      <c r="I581" s="6" t="s">
        <v>1790</v>
      </c>
      <c r="J581" s="7" t="s">
        <v>3</v>
      </c>
      <c r="K581" s="4" t="s">
        <v>10</v>
      </c>
      <c r="L581" s="4" t="s">
        <v>20</v>
      </c>
      <c r="M581" s="4" t="s">
        <v>3320</v>
      </c>
      <c r="N581" s="4" t="s">
        <v>2584</v>
      </c>
      <c r="O581" s="89"/>
      <c r="P581" s="25">
        <v>45517</v>
      </c>
      <c r="Q581" s="7" t="s">
        <v>1106</v>
      </c>
      <c r="R581" s="90" t="s">
        <v>3255</v>
      </c>
      <c r="S581" s="6" t="s">
        <v>1795</v>
      </c>
      <c r="T581" s="4" t="s">
        <v>81</v>
      </c>
      <c r="U581" s="4" t="s">
        <v>103</v>
      </c>
      <c r="V581" s="4">
        <v>99</v>
      </c>
      <c r="W581" s="85">
        <v>46247</v>
      </c>
      <c r="X581" s="4" t="s">
        <v>3694</v>
      </c>
      <c r="Y581" s="4">
        <v>547331759</v>
      </c>
      <c r="Z581" s="4" t="s">
        <v>2003</v>
      </c>
      <c r="AA581" s="4" t="s">
        <v>1194</v>
      </c>
      <c r="AB581" s="4" t="s">
        <v>4289</v>
      </c>
    </row>
    <row r="582" spans="1:28">
      <c r="A582" s="4">
        <v>581</v>
      </c>
      <c r="B582" s="5">
        <v>11321801</v>
      </c>
      <c r="C582" s="5">
        <v>203965526</v>
      </c>
      <c r="D582" s="115" t="s">
        <v>1285</v>
      </c>
      <c r="E582" s="4" t="s">
        <v>1286</v>
      </c>
      <c r="F582" s="7" t="s">
        <v>74</v>
      </c>
      <c r="G582" s="7" t="s">
        <v>94</v>
      </c>
      <c r="H582" s="7" t="s">
        <v>89</v>
      </c>
      <c r="I582" s="6" t="s">
        <v>1788</v>
      </c>
      <c r="J582" s="7" t="s">
        <v>7</v>
      </c>
      <c r="K582" s="4" t="s">
        <v>10</v>
      </c>
      <c r="L582" s="4" t="s">
        <v>24</v>
      </c>
      <c r="M582" s="4" t="s">
        <v>4315</v>
      </c>
      <c r="N582" s="4" t="s">
        <v>2584</v>
      </c>
      <c r="O582" s="89"/>
      <c r="P582" s="25">
        <v>45544</v>
      </c>
      <c r="Q582" s="7" t="s">
        <v>7</v>
      </c>
      <c r="R582" s="90" t="s">
        <v>3256</v>
      </c>
      <c r="S582" s="6" t="s">
        <v>1795</v>
      </c>
      <c r="T582" s="4" t="s">
        <v>81</v>
      </c>
      <c r="U582" s="4" t="s">
        <v>349</v>
      </c>
      <c r="V582" s="4">
        <v>99</v>
      </c>
      <c r="W582" s="85">
        <v>45909</v>
      </c>
      <c r="X582" s="4" t="s">
        <v>3694</v>
      </c>
      <c r="Y582" s="4">
        <v>562915507</v>
      </c>
      <c r="Z582" s="4" t="s">
        <v>2004</v>
      </c>
      <c r="AA582" s="4" t="s">
        <v>1198</v>
      </c>
      <c r="AB582" s="4" t="s">
        <v>4289</v>
      </c>
    </row>
    <row r="583" spans="1:28">
      <c r="A583" s="4">
        <v>582</v>
      </c>
      <c r="B583" s="5">
        <v>14336095</v>
      </c>
      <c r="C583" s="5">
        <v>206962049</v>
      </c>
      <c r="D583" s="115" t="s">
        <v>4122</v>
      </c>
      <c r="E583" s="4" t="s">
        <v>3959</v>
      </c>
      <c r="F583" s="7" t="s">
        <v>74</v>
      </c>
      <c r="G583" s="7" t="s">
        <v>94</v>
      </c>
      <c r="H583" s="7" t="s">
        <v>89</v>
      </c>
      <c r="I583" s="7" t="s">
        <v>1789</v>
      </c>
      <c r="J583" s="7" t="s">
        <v>3</v>
      </c>
      <c r="K583" s="4" t="s">
        <v>10</v>
      </c>
      <c r="L583" s="4" t="s">
        <v>23</v>
      </c>
      <c r="M583" s="4" t="s">
        <v>4312</v>
      </c>
      <c r="N583" s="4" t="s">
        <v>2584</v>
      </c>
      <c r="O583" s="89"/>
      <c r="P583" s="25">
        <v>46048</v>
      </c>
      <c r="Q583" s="7" t="s">
        <v>1106</v>
      </c>
      <c r="R583" s="90" t="s">
        <v>2586</v>
      </c>
      <c r="S583" s="6" t="s">
        <v>1795</v>
      </c>
      <c r="T583" s="4" t="s">
        <v>92</v>
      </c>
      <c r="U583" s="4"/>
      <c r="V583" s="4">
        <v>99</v>
      </c>
      <c r="W583" s="85">
        <v>46104</v>
      </c>
      <c r="X583" s="4" t="s">
        <v>3979</v>
      </c>
      <c r="Y583" s="4" t="s">
        <v>3981</v>
      </c>
      <c r="Z583" s="4" t="s">
        <v>4001</v>
      </c>
      <c r="AA583" s="4" t="s">
        <v>95</v>
      </c>
      <c r="AB583" s="4" t="e">
        <v>#N/A</v>
      </c>
    </row>
    <row r="584" spans="1:28">
      <c r="A584" s="4">
        <v>583</v>
      </c>
      <c r="B584" s="5">
        <v>11277198</v>
      </c>
      <c r="C584" s="5">
        <v>203741319</v>
      </c>
      <c r="D584" s="115" t="s">
        <v>307</v>
      </c>
      <c r="E584" s="4" t="s">
        <v>308</v>
      </c>
      <c r="F584" s="7" t="s">
        <v>82</v>
      </c>
      <c r="G584" s="7" t="s">
        <v>87</v>
      </c>
      <c r="H584" s="7" t="s">
        <v>75</v>
      </c>
      <c r="I584" s="6" t="s">
        <v>1788</v>
      </c>
      <c r="J584" s="7" t="s">
        <v>3</v>
      </c>
      <c r="K584" s="4" t="s">
        <v>10</v>
      </c>
      <c r="L584" s="4" t="s">
        <v>24</v>
      </c>
      <c r="M584" s="4" t="s">
        <v>3320</v>
      </c>
      <c r="N584" s="4" t="s">
        <v>2584</v>
      </c>
      <c r="O584" s="89"/>
      <c r="P584" s="25">
        <v>45502</v>
      </c>
      <c r="Q584" s="7" t="s">
        <v>1106</v>
      </c>
      <c r="R584" s="90" t="s">
        <v>3256</v>
      </c>
      <c r="S584" s="6" t="s">
        <v>1795</v>
      </c>
      <c r="T584" s="4" t="s">
        <v>81</v>
      </c>
      <c r="U584" s="4" t="s">
        <v>349</v>
      </c>
      <c r="V584" s="4">
        <v>99</v>
      </c>
      <c r="W584" s="85">
        <v>45867</v>
      </c>
      <c r="X584" s="4" t="s">
        <v>3690</v>
      </c>
      <c r="Y584" s="4">
        <v>589255648</v>
      </c>
      <c r="Z584" s="4" t="s">
        <v>2005</v>
      </c>
      <c r="AA584" s="4" t="s">
        <v>1217</v>
      </c>
      <c r="AB584" s="4" t="s">
        <v>4289</v>
      </c>
    </row>
    <row r="585" spans="1:28">
      <c r="A585" s="4">
        <v>584</v>
      </c>
      <c r="B585" s="5">
        <v>12708519</v>
      </c>
      <c r="C585" s="5">
        <v>206858475</v>
      </c>
      <c r="D585" s="115" t="s">
        <v>3312</v>
      </c>
      <c r="E585" s="5" t="s">
        <v>3281</v>
      </c>
      <c r="F585" s="7" t="s">
        <v>74</v>
      </c>
      <c r="G585" s="7" t="s">
        <v>94</v>
      </c>
      <c r="H585" s="7" t="s">
        <v>89</v>
      </c>
      <c r="I585" s="7" t="s">
        <v>1789</v>
      </c>
      <c r="J585" s="5" t="s">
        <v>3</v>
      </c>
      <c r="K585" s="5" t="s">
        <v>10</v>
      </c>
      <c r="L585" s="5" t="s">
        <v>22</v>
      </c>
      <c r="M585" s="5" t="s">
        <v>3320</v>
      </c>
      <c r="N585" s="5" t="s">
        <v>3289</v>
      </c>
      <c r="O585" s="89"/>
      <c r="P585" s="25">
        <v>46013</v>
      </c>
      <c r="Q585" s="5" t="s">
        <v>1106</v>
      </c>
      <c r="R585" s="4" t="s">
        <v>3260</v>
      </c>
      <c r="S585" s="5" t="s">
        <v>1795</v>
      </c>
      <c r="T585" s="5" t="s">
        <v>81</v>
      </c>
      <c r="U585" s="5"/>
      <c r="V585" s="5">
        <v>99</v>
      </c>
      <c r="W585" s="91">
        <v>45648</v>
      </c>
      <c r="X585" s="5" t="s">
        <v>3290</v>
      </c>
      <c r="Y585" s="5" t="s">
        <v>3293</v>
      </c>
      <c r="Z585" s="5" t="s">
        <v>3300</v>
      </c>
      <c r="AA585" s="4" t="s">
        <v>95</v>
      </c>
      <c r="AB585" s="4" t="s">
        <v>4289</v>
      </c>
    </row>
    <row r="586" spans="1:28">
      <c r="A586" s="4">
        <v>585</v>
      </c>
      <c r="B586" s="5">
        <v>13511109</v>
      </c>
      <c r="C586" s="5">
        <v>203737198</v>
      </c>
      <c r="D586" s="115" t="s">
        <v>346</v>
      </c>
      <c r="E586" s="4" t="s">
        <v>347</v>
      </c>
      <c r="F586" s="7" t="s">
        <v>82</v>
      </c>
      <c r="G586" s="7" t="s">
        <v>94</v>
      </c>
      <c r="H586" s="7" t="s">
        <v>89</v>
      </c>
      <c r="I586" s="6" t="s">
        <v>1790</v>
      </c>
      <c r="J586" s="7" t="s">
        <v>3</v>
      </c>
      <c r="K586" s="4" t="s">
        <v>10</v>
      </c>
      <c r="L586" s="4" t="s">
        <v>22</v>
      </c>
      <c r="M586" s="4" t="s">
        <v>3320</v>
      </c>
      <c r="N586" s="4" t="s">
        <v>2584</v>
      </c>
      <c r="O586" s="89"/>
      <c r="P586" s="25">
        <v>45502</v>
      </c>
      <c r="Q586" s="7" t="s">
        <v>1106</v>
      </c>
      <c r="R586" s="90" t="s">
        <v>3255</v>
      </c>
      <c r="S586" s="6" t="s">
        <v>1795</v>
      </c>
      <c r="T586" s="4" t="s">
        <v>81</v>
      </c>
      <c r="U586" s="4" t="s">
        <v>349</v>
      </c>
      <c r="V586" s="4">
        <v>99</v>
      </c>
      <c r="W586" s="85">
        <v>45558</v>
      </c>
      <c r="X586" s="4" t="s">
        <v>1216</v>
      </c>
      <c r="Y586" s="4">
        <v>563017136</v>
      </c>
      <c r="Z586" s="4" t="s">
        <v>2006</v>
      </c>
      <c r="AA586" s="4" t="s">
        <v>95</v>
      </c>
      <c r="AB586" s="4" t="s">
        <v>4289</v>
      </c>
    </row>
    <row r="587" spans="1:28">
      <c r="A587" s="4">
        <v>586</v>
      </c>
      <c r="B587" s="5">
        <v>15386671</v>
      </c>
      <c r="C587" s="5">
        <v>203800379</v>
      </c>
      <c r="D587" s="115" t="s">
        <v>656</v>
      </c>
      <c r="E587" s="4" t="s">
        <v>657</v>
      </c>
      <c r="F587" s="7" t="s">
        <v>74</v>
      </c>
      <c r="G587" s="7" t="s">
        <v>76</v>
      </c>
      <c r="H587" s="7" t="s">
        <v>88</v>
      </c>
      <c r="I587" s="6" t="s">
        <v>1790</v>
      </c>
      <c r="J587" s="7" t="s">
        <v>3</v>
      </c>
      <c r="K587" s="4" t="s">
        <v>10</v>
      </c>
      <c r="L587" s="4" t="s">
        <v>22</v>
      </c>
      <c r="M587" s="4" t="s">
        <v>3320</v>
      </c>
      <c r="N587" s="4" t="s">
        <v>2584</v>
      </c>
      <c r="O587" s="89"/>
      <c r="P587" s="25">
        <v>45516</v>
      </c>
      <c r="Q587" s="7" t="s">
        <v>1106</v>
      </c>
      <c r="R587" s="90" t="s">
        <v>3258</v>
      </c>
      <c r="S587" s="6" t="s">
        <v>1795</v>
      </c>
      <c r="T587" s="4" t="s">
        <v>81</v>
      </c>
      <c r="U587" s="4" t="s">
        <v>107</v>
      </c>
      <c r="V587" s="4">
        <v>99</v>
      </c>
      <c r="W587" s="85">
        <v>45572</v>
      </c>
      <c r="X587" s="4" t="s">
        <v>1216</v>
      </c>
      <c r="Y587" s="4">
        <v>586214342</v>
      </c>
      <c r="Z587" s="4" t="s">
        <v>2007</v>
      </c>
      <c r="AA587" s="4" t="s">
        <v>95</v>
      </c>
      <c r="AB587" s="4" t="s">
        <v>4290</v>
      </c>
    </row>
    <row r="588" spans="1:28">
      <c r="A588" s="4">
        <v>587</v>
      </c>
      <c r="B588" s="5">
        <v>13367367</v>
      </c>
      <c r="C588" s="5">
        <v>203521128</v>
      </c>
      <c r="D588" s="115" t="s">
        <v>218</v>
      </c>
      <c r="E588" s="4" t="s">
        <v>219</v>
      </c>
      <c r="F588" s="7" t="s">
        <v>74</v>
      </c>
      <c r="G588" s="7" t="s">
        <v>87</v>
      </c>
      <c r="H588" s="7" t="s">
        <v>75</v>
      </c>
      <c r="I588" s="6" t="s">
        <v>244</v>
      </c>
      <c r="J588" s="7" t="s">
        <v>3</v>
      </c>
      <c r="K588" s="4" t="s">
        <v>10</v>
      </c>
      <c r="L588" s="4" t="s">
        <v>21</v>
      </c>
      <c r="M588" s="4" t="s">
        <v>3320</v>
      </c>
      <c r="N588" s="4" t="s">
        <v>2583</v>
      </c>
      <c r="O588" s="89"/>
      <c r="P588" s="25">
        <v>45463</v>
      </c>
      <c r="Q588" s="7" t="s">
        <v>1433</v>
      </c>
      <c r="R588" s="90" t="s">
        <v>3252</v>
      </c>
      <c r="S588" s="6" t="s">
        <v>1795</v>
      </c>
      <c r="T588" s="4" t="s">
        <v>92</v>
      </c>
      <c r="U588" s="4" t="s">
        <v>103</v>
      </c>
      <c r="V588" s="4">
        <v>99</v>
      </c>
      <c r="W588" s="85">
        <v>45828</v>
      </c>
      <c r="X588" s="4" t="s">
        <v>3703</v>
      </c>
      <c r="Y588" s="4">
        <v>586892037</v>
      </c>
      <c r="Z588" s="4" t="s">
        <v>2008</v>
      </c>
      <c r="AA588" s="4" t="s">
        <v>85</v>
      </c>
      <c r="AB588" s="4" t="s">
        <v>4290</v>
      </c>
    </row>
    <row r="589" spans="1:28">
      <c r="A589" s="4">
        <v>588</v>
      </c>
      <c r="B589" s="5">
        <v>14307203</v>
      </c>
      <c r="C589" s="5">
        <v>206137330</v>
      </c>
      <c r="D589" s="115" t="s">
        <v>2954</v>
      </c>
      <c r="E589" s="4" t="s">
        <v>2955</v>
      </c>
      <c r="F589" s="7" t="s">
        <v>82</v>
      </c>
      <c r="G589" s="7" t="s">
        <v>75</v>
      </c>
      <c r="H589" s="7" t="s">
        <v>76</v>
      </c>
      <c r="I589" s="7" t="s">
        <v>1788</v>
      </c>
      <c r="J589" s="7" t="s">
        <v>5</v>
      </c>
      <c r="K589" s="4" t="s">
        <v>10</v>
      </c>
      <c r="L589" s="4" t="s">
        <v>24</v>
      </c>
      <c r="M589" s="4" t="s">
        <v>374</v>
      </c>
      <c r="N589" s="4"/>
      <c r="O589" s="89"/>
      <c r="P589" s="25">
        <v>45929</v>
      </c>
      <c r="Q589" s="7" t="s">
        <v>1112</v>
      </c>
      <c r="R589" s="4" t="s">
        <v>3260</v>
      </c>
      <c r="S589" s="6" t="s">
        <v>1795</v>
      </c>
      <c r="T589" s="4" t="s">
        <v>81</v>
      </c>
      <c r="U589" s="4" t="s">
        <v>349</v>
      </c>
      <c r="V589" s="4">
        <v>99</v>
      </c>
      <c r="W589" s="85"/>
      <c r="X589" s="4"/>
      <c r="Y589" s="4"/>
      <c r="Z589" s="4"/>
      <c r="AA589" s="4" t="s">
        <v>85</v>
      </c>
      <c r="AB589" s="4" t="s">
        <v>4290</v>
      </c>
    </row>
    <row r="590" spans="1:28" ht="14.5" customHeight="1">
      <c r="A590" s="4">
        <v>589</v>
      </c>
      <c r="B590" s="106">
        <v>15333914</v>
      </c>
      <c r="C590" s="5">
        <v>205256720</v>
      </c>
      <c r="D590" s="115" t="s">
        <v>4156</v>
      </c>
      <c r="E590" s="4" t="s">
        <v>4157</v>
      </c>
      <c r="F590" s="7" t="s">
        <v>82</v>
      </c>
      <c r="G590" s="7" t="s">
        <v>94</v>
      </c>
      <c r="H590" s="7" t="s">
        <v>89</v>
      </c>
      <c r="I590" s="7" t="s">
        <v>1788</v>
      </c>
      <c r="J590" s="7" t="s">
        <v>5</v>
      </c>
      <c r="K590" s="7" t="s">
        <v>10</v>
      </c>
      <c r="L590" s="7" t="s">
        <v>23</v>
      </c>
      <c r="M590" s="7" t="s">
        <v>3321</v>
      </c>
      <c r="N590" s="4" t="s">
        <v>2584</v>
      </c>
      <c r="O590" s="89"/>
      <c r="P590" s="25">
        <v>46048</v>
      </c>
      <c r="Q590" s="7" t="s">
        <v>1112</v>
      </c>
      <c r="R590" s="7" t="s">
        <v>3257</v>
      </c>
      <c r="S590" s="7" t="s">
        <v>1795</v>
      </c>
      <c r="T590" s="7" t="s">
        <v>81</v>
      </c>
      <c r="U590" s="4"/>
      <c r="V590" s="4">
        <v>99</v>
      </c>
      <c r="W590" s="85">
        <v>46104</v>
      </c>
      <c r="X590" s="4"/>
      <c r="Y590" s="4"/>
      <c r="Z590" s="4"/>
      <c r="AA590" s="4"/>
      <c r="AB590" s="4" t="e">
        <v>#N/A</v>
      </c>
    </row>
    <row r="591" spans="1:28">
      <c r="A591" s="4">
        <v>590</v>
      </c>
      <c r="B591" s="5">
        <v>12898790</v>
      </c>
      <c r="C591" s="5">
        <v>200061207</v>
      </c>
      <c r="D591" s="115" t="s">
        <v>1115</v>
      </c>
      <c r="E591" s="4" t="s">
        <v>1116</v>
      </c>
      <c r="F591" s="7" t="s">
        <v>82</v>
      </c>
      <c r="G591" s="7" t="s">
        <v>94</v>
      </c>
      <c r="H591" s="7" t="s">
        <v>89</v>
      </c>
      <c r="I591" s="6" t="s">
        <v>1788</v>
      </c>
      <c r="J591" s="7" t="s">
        <v>5</v>
      </c>
      <c r="K591" s="4" t="s">
        <v>10</v>
      </c>
      <c r="L591" s="4" t="s">
        <v>24</v>
      </c>
      <c r="M591" s="4" t="s">
        <v>374</v>
      </c>
      <c r="N591" s="4" t="s">
        <v>2583</v>
      </c>
      <c r="O591" s="89"/>
      <c r="P591" s="25">
        <v>45537</v>
      </c>
      <c r="Q591" s="7" t="s">
        <v>1113</v>
      </c>
      <c r="R591" s="90" t="s">
        <v>3255</v>
      </c>
      <c r="S591" s="6" t="s">
        <v>1795</v>
      </c>
      <c r="T591" s="4" t="s">
        <v>81</v>
      </c>
      <c r="U591" s="4" t="s">
        <v>107</v>
      </c>
      <c r="V591" s="4">
        <v>99</v>
      </c>
      <c r="W591" s="85">
        <v>46267</v>
      </c>
      <c r="X591" s="4" t="s">
        <v>3739</v>
      </c>
      <c r="Y591" s="4">
        <v>588662776</v>
      </c>
      <c r="Z591" s="4" t="s">
        <v>2009</v>
      </c>
      <c r="AA591" s="4" t="s">
        <v>85</v>
      </c>
      <c r="AB591" s="4" t="s">
        <v>4290</v>
      </c>
    </row>
    <row r="592" spans="1:28" ht="14.5" customHeight="1">
      <c r="A592" s="4">
        <v>591</v>
      </c>
      <c r="B592" s="5">
        <v>13260691</v>
      </c>
      <c r="C592" s="5">
        <v>204117189</v>
      </c>
      <c r="D592" s="115" t="s">
        <v>1480</v>
      </c>
      <c r="E592" s="4" t="s">
        <v>1481</v>
      </c>
      <c r="F592" s="7" t="s">
        <v>82</v>
      </c>
      <c r="G592" s="7" t="s">
        <v>76</v>
      </c>
      <c r="H592" s="7" t="s">
        <v>88</v>
      </c>
      <c r="I592" s="6" t="s">
        <v>1790</v>
      </c>
      <c r="J592" s="7" t="s">
        <v>5</v>
      </c>
      <c r="K592" s="4" t="s">
        <v>10</v>
      </c>
      <c r="L592" s="4" t="s">
        <v>27</v>
      </c>
      <c r="M592" s="4" t="s">
        <v>390</v>
      </c>
      <c r="N592" s="4" t="s">
        <v>2584</v>
      </c>
      <c r="O592" s="89"/>
      <c r="P592" s="25">
        <v>45561</v>
      </c>
      <c r="Q592" s="7" t="s">
        <v>1112</v>
      </c>
      <c r="R592" s="90" t="s">
        <v>3262</v>
      </c>
      <c r="S592" s="6" t="s">
        <v>1795</v>
      </c>
      <c r="T592" s="4" t="s">
        <v>81</v>
      </c>
      <c r="U592" s="4" t="s">
        <v>3263</v>
      </c>
      <c r="V592" s="4">
        <v>99</v>
      </c>
      <c r="W592" s="85">
        <v>46291</v>
      </c>
      <c r="X592" s="4" t="s">
        <v>3494</v>
      </c>
      <c r="Y592" s="4">
        <v>508480326</v>
      </c>
      <c r="Z592" s="4" t="s">
        <v>2010</v>
      </c>
      <c r="AA592" s="4" t="s">
        <v>85</v>
      </c>
      <c r="AB592" s="4" t="s">
        <v>4290</v>
      </c>
    </row>
    <row r="593" spans="1:28">
      <c r="A593" s="4">
        <v>592</v>
      </c>
      <c r="B593" s="5">
        <v>12894780</v>
      </c>
      <c r="C593" s="5">
        <v>204172240</v>
      </c>
      <c r="D593" s="115" t="s">
        <v>1608</v>
      </c>
      <c r="E593" s="4" t="s">
        <v>1609</v>
      </c>
      <c r="F593" s="7" t="s">
        <v>82</v>
      </c>
      <c r="G593" s="7" t="s">
        <v>87</v>
      </c>
      <c r="H593" s="7" t="s">
        <v>75</v>
      </c>
      <c r="I593" s="6" t="s">
        <v>1790</v>
      </c>
      <c r="J593" s="7" t="s">
        <v>5</v>
      </c>
      <c r="K593" s="4" t="s">
        <v>10</v>
      </c>
      <c r="L593" s="4" t="s">
        <v>22</v>
      </c>
      <c r="M593" s="4" t="s">
        <v>4314</v>
      </c>
      <c r="N593" s="4" t="s">
        <v>2584</v>
      </c>
      <c r="O593" s="89"/>
      <c r="P593" s="25">
        <v>45568</v>
      </c>
      <c r="Q593" s="7" t="s">
        <v>1113</v>
      </c>
      <c r="R593" s="90" t="s">
        <v>3252</v>
      </c>
      <c r="S593" s="6" t="s">
        <v>1795</v>
      </c>
      <c r="T593" s="4" t="s">
        <v>81</v>
      </c>
      <c r="U593" s="4" t="s">
        <v>112</v>
      </c>
      <c r="V593" s="4">
        <v>99</v>
      </c>
      <c r="W593" s="85">
        <v>45624</v>
      </c>
      <c r="X593" s="4" t="s">
        <v>1216</v>
      </c>
      <c r="Y593" s="4">
        <v>556742612</v>
      </c>
      <c r="Z593" s="4" t="s">
        <v>1616</v>
      </c>
      <c r="AA593" s="4" t="s">
        <v>95</v>
      </c>
      <c r="AB593" s="4" t="s">
        <v>4290</v>
      </c>
    </row>
    <row r="594" spans="1:28" ht="14.5" customHeight="1">
      <c r="A594" s="4">
        <v>593</v>
      </c>
      <c r="B594" s="5">
        <v>14712527</v>
      </c>
      <c r="C594" s="5">
        <v>206129609</v>
      </c>
      <c r="D594" s="115" t="s">
        <v>2921</v>
      </c>
      <c r="E594" s="4" t="s">
        <v>2922</v>
      </c>
      <c r="F594" s="7" t="s">
        <v>74</v>
      </c>
      <c r="G594" s="7" t="s">
        <v>75</v>
      </c>
      <c r="H594" s="7" t="s">
        <v>76</v>
      </c>
      <c r="I594" s="6" t="s">
        <v>1788</v>
      </c>
      <c r="J594" s="7" t="s">
        <v>5</v>
      </c>
      <c r="K594" s="4" t="s">
        <v>10</v>
      </c>
      <c r="L594" s="4" t="s">
        <v>24</v>
      </c>
      <c r="M594" s="4" t="s">
        <v>4361</v>
      </c>
      <c r="N594" s="4"/>
      <c r="O594" s="89"/>
      <c r="P594" s="25">
        <v>45929</v>
      </c>
      <c r="Q594" s="7" t="s">
        <v>1112</v>
      </c>
      <c r="R594" s="90" t="s">
        <v>2586</v>
      </c>
      <c r="S594" s="6" t="s">
        <v>1795</v>
      </c>
      <c r="T594" s="4" t="s">
        <v>81</v>
      </c>
      <c r="U594" s="4" t="s">
        <v>107</v>
      </c>
      <c r="V594" s="4">
        <v>99</v>
      </c>
      <c r="W594" s="85"/>
      <c r="X594" s="4"/>
      <c r="Y594" s="4"/>
      <c r="Z594" s="4"/>
      <c r="AA594" s="4" t="s">
        <v>2913</v>
      </c>
      <c r="AB594" s="4" t="s">
        <v>4290</v>
      </c>
    </row>
    <row r="595" spans="1:28" ht="14.5" customHeight="1">
      <c r="A595" s="4">
        <v>594</v>
      </c>
      <c r="B595" s="5">
        <v>13108031</v>
      </c>
      <c r="C595" s="5">
        <v>203908320</v>
      </c>
      <c r="D595" s="115" t="s">
        <v>1117</v>
      </c>
      <c r="E595" s="4" t="s">
        <v>1118</v>
      </c>
      <c r="F595" s="7" t="s">
        <v>82</v>
      </c>
      <c r="G595" s="7" t="s">
        <v>89</v>
      </c>
      <c r="H595" s="7" t="s">
        <v>90</v>
      </c>
      <c r="I595" s="6" t="s">
        <v>1790</v>
      </c>
      <c r="J595" s="7" t="s">
        <v>5</v>
      </c>
      <c r="K595" s="4" t="s">
        <v>10</v>
      </c>
      <c r="L595" s="4" t="s">
        <v>22</v>
      </c>
      <c r="M595" s="4" t="s">
        <v>3321</v>
      </c>
      <c r="N595" s="4" t="s">
        <v>2584</v>
      </c>
      <c r="O595" s="89"/>
      <c r="P595" s="25">
        <v>45537</v>
      </c>
      <c r="Q595" s="7" t="s">
        <v>1112</v>
      </c>
      <c r="R595" s="90" t="s">
        <v>3261</v>
      </c>
      <c r="S595" s="6" t="s">
        <v>1795</v>
      </c>
      <c r="T595" s="4" t="s">
        <v>81</v>
      </c>
      <c r="U595" s="4" t="s">
        <v>103</v>
      </c>
      <c r="V595" s="4">
        <v>99</v>
      </c>
      <c r="W595" s="85">
        <v>45593</v>
      </c>
      <c r="X595" s="4" t="s">
        <v>1216</v>
      </c>
      <c r="Y595" s="4">
        <v>585243329</v>
      </c>
      <c r="Z595" s="4" t="s">
        <v>2011</v>
      </c>
      <c r="AA595" s="4" t="s">
        <v>95</v>
      </c>
      <c r="AB595" s="4" t="s">
        <v>4290</v>
      </c>
    </row>
    <row r="596" spans="1:28" ht="14.5" customHeight="1">
      <c r="A596" s="4">
        <v>595</v>
      </c>
      <c r="B596" s="5">
        <v>13246449</v>
      </c>
      <c r="C596" s="5">
        <v>206137331</v>
      </c>
      <c r="D596" s="115" t="s">
        <v>2956</v>
      </c>
      <c r="E596" s="4" t="s">
        <v>2957</v>
      </c>
      <c r="F596" s="7" t="s">
        <v>82</v>
      </c>
      <c r="G596" s="7" t="s">
        <v>76</v>
      </c>
      <c r="H596" s="7" t="s">
        <v>88</v>
      </c>
      <c r="I596" s="6" t="s">
        <v>1788</v>
      </c>
      <c r="J596" s="7" t="s">
        <v>5</v>
      </c>
      <c r="K596" s="4" t="s">
        <v>10</v>
      </c>
      <c r="L596" s="4" t="s">
        <v>24</v>
      </c>
      <c r="M596" s="4" t="s">
        <v>374</v>
      </c>
      <c r="N596" s="4"/>
      <c r="O596" s="89"/>
      <c r="P596" s="25">
        <v>45929</v>
      </c>
      <c r="Q596" s="7" t="s">
        <v>1112</v>
      </c>
      <c r="R596" s="4" t="s">
        <v>3255</v>
      </c>
      <c r="S596" s="6" t="s">
        <v>1795</v>
      </c>
      <c r="T596" s="4" t="s">
        <v>81</v>
      </c>
      <c r="U596" s="4" t="s">
        <v>349</v>
      </c>
      <c r="V596" s="4">
        <v>99</v>
      </c>
      <c r="W596" s="85"/>
      <c r="X596" s="4"/>
      <c r="Y596" s="4"/>
      <c r="Z596" s="4"/>
      <c r="AA596" s="4" t="s">
        <v>85</v>
      </c>
      <c r="AB596" s="4" t="s">
        <v>4290</v>
      </c>
    </row>
    <row r="597" spans="1:28" ht="14.5" customHeight="1">
      <c r="A597" s="4">
        <v>596</v>
      </c>
      <c r="B597" s="5">
        <v>245617</v>
      </c>
      <c r="C597" s="5">
        <v>204373723</v>
      </c>
      <c r="D597" s="115" t="s">
        <v>1757</v>
      </c>
      <c r="E597" s="4" t="s">
        <v>1758</v>
      </c>
      <c r="F597" s="7" t="s">
        <v>82</v>
      </c>
      <c r="G597" s="7" t="s">
        <v>75</v>
      </c>
      <c r="H597" s="7" t="s">
        <v>76</v>
      </c>
      <c r="I597" s="6" t="s">
        <v>1790</v>
      </c>
      <c r="J597" s="7" t="s">
        <v>5</v>
      </c>
      <c r="K597" s="4" t="s">
        <v>10</v>
      </c>
      <c r="L597" s="4" t="s">
        <v>20</v>
      </c>
      <c r="M597" s="4" t="s">
        <v>3321</v>
      </c>
      <c r="N597" s="4" t="s">
        <v>2584</v>
      </c>
      <c r="O597" s="89"/>
      <c r="P597" s="25">
        <v>45593</v>
      </c>
      <c r="Q597" s="7" t="s">
        <v>1112</v>
      </c>
      <c r="R597" s="90" t="s">
        <v>3255</v>
      </c>
      <c r="S597" s="6" t="s">
        <v>1795</v>
      </c>
      <c r="T597" s="4" t="s">
        <v>81</v>
      </c>
      <c r="U597" s="4" t="s">
        <v>103</v>
      </c>
      <c r="V597" s="4">
        <v>99</v>
      </c>
      <c r="W597" s="85">
        <v>46323</v>
      </c>
      <c r="X597" s="4" t="s">
        <v>3474</v>
      </c>
      <c r="Y597" s="4">
        <v>501357626</v>
      </c>
      <c r="Z597" s="4" t="s">
        <v>2012</v>
      </c>
      <c r="AA597" s="4" t="s">
        <v>1194</v>
      </c>
      <c r="AB597" s="4" t="s">
        <v>4289</v>
      </c>
    </row>
    <row r="598" spans="1:28" ht="14.5" customHeight="1">
      <c r="A598" s="4">
        <v>597</v>
      </c>
      <c r="B598" s="5">
        <v>288026</v>
      </c>
      <c r="C598" s="5">
        <v>206239522</v>
      </c>
      <c r="D598" s="115" t="s">
        <v>3087</v>
      </c>
      <c r="E598" s="4" t="s">
        <v>3088</v>
      </c>
      <c r="F598" s="7" t="s">
        <v>82</v>
      </c>
      <c r="G598" s="7" t="s">
        <v>87</v>
      </c>
      <c r="H598" s="7" t="s">
        <v>75</v>
      </c>
      <c r="I598" s="7" t="s">
        <v>1789</v>
      </c>
      <c r="J598" s="7" t="s">
        <v>5</v>
      </c>
      <c r="K598" s="4" t="s">
        <v>10</v>
      </c>
      <c r="L598" s="4" t="s">
        <v>22</v>
      </c>
      <c r="M598" s="4" t="s">
        <v>374</v>
      </c>
      <c r="N598" s="4"/>
      <c r="O598" s="89"/>
      <c r="P598" s="25">
        <v>45943</v>
      </c>
      <c r="Q598" s="7" t="s">
        <v>1113</v>
      </c>
      <c r="R598" s="90" t="s">
        <v>3258</v>
      </c>
      <c r="S598" s="6" t="s">
        <v>1795</v>
      </c>
      <c r="T598" s="4" t="s">
        <v>81</v>
      </c>
      <c r="U598" s="4" t="s">
        <v>112</v>
      </c>
      <c r="V598" s="4">
        <v>99</v>
      </c>
      <c r="W598" s="85"/>
      <c r="X598" s="4"/>
      <c r="Y598" s="4"/>
      <c r="Z598" s="4"/>
      <c r="AA598" s="4" t="s">
        <v>85</v>
      </c>
      <c r="AB598" s="4" t="s">
        <v>4289</v>
      </c>
    </row>
    <row r="599" spans="1:28">
      <c r="A599" s="4">
        <v>598</v>
      </c>
      <c r="B599" s="5">
        <v>13674294</v>
      </c>
      <c r="C599" s="5">
        <v>203965455</v>
      </c>
      <c r="D599" s="115" t="s">
        <v>1317</v>
      </c>
      <c r="E599" s="4" t="s">
        <v>1318</v>
      </c>
      <c r="F599" s="7" t="s">
        <v>82</v>
      </c>
      <c r="G599" s="7" t="s">
        <v>75</v>
      </c>
      <c r="H599" s="7" t="s">
        <v>76</v>
      </c>
      <c r="I599" s="6" t="s">
        <v>1788</v>
      </c>
      <c r="J599" s="7" t="s">
        <v>5</v>
      </c>
      <c r="K599" s="4" t="s">
        <v>10</v>
      </c>
      <c r="L599" s="4" t="s">
        <v>24</v>
      </c>
      <c r="M599" s="4" t="s">
        <v>4314</v>
      </c>
      <c r="N599" s="4" t="s">
        <v>2584</v>
      </c>
      <c r="O599" s="89"/>
      <c r="P599" s="25">
        <v>45544</v>
      </c>
      <c r="Q599" s="7" t="s">
        <v>1113</v>
      </c>
      <c r="R599" s="90" t="s">
        <v>3260</v>
      </c>
      <c r="S599" s="6" t="s">
        <v>1795</v>
      </c>
      <c r="T599" s="4" t="s">
        <v>81</v>
      </c>
      <c r="U599" s="4" t="s">
        <v>107</v>
      </c>
      <c r="V599" s="4">
        <v>99</v>
      </c>
      <c r="W599" s="85">
        <v>45909</v>
      </c>
      <c r="X599" s="4" t="s">
        <v>3688</v>
      </c>
      <c r="Y599" s="4">
        <v>544579772</v>
      </c>
      <c r="Z599" s="4" t="s">
        <v>2013</v>
      </c>
      <c r="AA599" s="4" t="s">
        <v>1207</v>
      </c>
      <c r="AB599" s="4" t="s">
        <v>4290</v>
      </c>
    </row>
    <row r="600" spans="1:28">
      <c r="A600" s="4">
        <v>599</v>
      </c>
      <c r="B600" s="5">
        <v>12057676</v>
      </c>
      <c r="C600" s="5">
        <v>203468743</v>
      </c>
      <c r="D600" s="115" t="s">
        <v>495</v>
      </c>
      <c r="E600" s="4" t="s">
        <v>496</v>
      </c>
      <c r="F600" s="7" t="s">
        <v>82</v>
      </c>
      <c r="G600" s="7" t="s">
        <v>90</v>
      </c>
      <c r="H600" s="7" t="s">
        <v>87</v>
      </c>
      <c r="I600" s="6" t="s">
        <v>1788</v>
      </c>
      <c r="J600" s="7" t="s">
        <v>5</v>
      </c>
      <c r="K600" s="4" t="s">
        <v>10</v>
      </c>
      <c r="L600" s="4" t="s">
        <v>24</v>
      </c>
      <c r="M600" s="4" t="s">
        <v>390</v>
      </c>
      <c r="N600" s="4" t="s">
        <v>2583</v>
      </c>
      <c r="O600" s="89"/>
      <c r="P600" s="25">
        <v>45456</v>
      </c>
      <c r="Q600" s="7" t="s">
        <v>351</v>
      </c>
      <c r="R600" s="90" t="s">
        <v>3261</v>
      </c>
      <c r="S600" s="6" t="s">
        <v>1795</v>
      </c>
      <c r="T600" s="4" t="s">
        <v>81</v>
      </c>
      <c r="U600" s="4" t="s">
        <v>349</v>
      </c>
      <c r="V600" s="4">
        <v>99</v>
      </c>
      <c r="W600" s="85">
        <v>45821</v>
      </c>
      <c r="X600" s="4" t="s">
        <v>3698</v>
      </c>
      <c r="Y600" s="4">
        <v>568133430</v>
      </c>
      <c r="Z600" s="4" t="s">
        <v>2014</v>
      </c>
      <c r="AA600" s="4" t="s">
        <v>1203</v>
      </c>
      <c r="AB600" s="4" t="s">
        <v>4289</v>
      </c>
    </row>
    <row r="601" spans="1:28">
      <c r="A601" s="4">
        <v>600</v>
      </c>
      <c r="B601" s="4">
        <v>15281142</v>
      </c>
      <c r="C601" s="5">
        <v>206897640</v>
      </c>
      <c r="D601" s="115" t="s">
        <v>3630</v>
      </c>
      <c r="E601" s="4" t="s">
        <v>4381</v>
      </c>
      <c r="F601" s="7" t="s">
        <v>82</v>
      </c>
      <c r="G601" s="7" t="s">
        <v>94</v>
      </c>
      <c r="H601" s="7" t="s">
        <v>89</v>
      </c>
      <c r="I601" s="4" t="s">
        <v>1789</v>
      </c>
      <c r="J601" s="4" t="s">
        <v>5</v>
      </c>
      <c r="K601" s="4" t="s">
        <v>10</v>
      </c>
      <c r="L601" s="4" t="s">
        <v>24</v>
      </c>
      <c r="M601" s="4" t="s">
        <v>374</v>
      </c>
      <c r="N601" s="4"/>
      <c r="O601" s="4"/>
      <c r="P601" s="25">
        <v>46238</v>
      </c>
      <c r="Q601" s="4" t="s">
        <v>351</v>
      </c>
      <c r="R601" s="4"/>
      <c r="S601" s="6" t="s">
        <v>1796</v>
      </c>
      <c r="T601" s="4" t="s">
        <v>81</v>
      </c>
      <c r="U601" s="4"/>
      <c r="V601" s="4">
        <v>99</v>
      </c>
      <c r="W601" s="4"/>
      <c r="X601" s="4"/>
      <c r="Y601" s="4"/>
      <c r="Z601" s="4"/>
      <c r="AA601" s="4"/>
      <c r="AB601" s="4"/>
    </row>
    <row r="602" spans="1:28">
      <c r="A602" s="4">
        <v>601</v>
      </c>
      <c r="B602" s="5">
        <v>11333447</v>
      </c>
      <c r="C602" s="5">
        <v>203908861</v>
      </c>
      <c r="D602" s="115" t="s">
        <v>1119</v>
      </c>
      <c r="E602" s="4" t="s">
        <v>1120</v>
      </c>
      <c r="F602" s="7" t="s">
        <v>74</v>
      </c>
      <c r="G602" s="7" t="s">
        <v>75</v>
      </c>
      <c r="H602" s="7" t="s">
        <v>76</v>
      </c>
      <c r="I602" s="6" t="s">
        <v>1790</v>
      </c>
      <c r="J602" s="7" t="s">
        <v>5</v>
      </c>
      <c r="K602" s="4" t="s">
        <v>10</v>
      </c>
      <c r="L602" s="4" t="s">
        <v>22</v>
      </c>
      <c r="M602" s="4" t="s">
        <v>4361</v>
      </c>
      <c r="N602" s="4" t="s">
        <v>2584</v>
      </c>
      <c r="O602" s="89"/>
      <c r="P602" s="25">
        <v>45537</v>
      </c>
      <c r="Q602" s="7" t="s">
        <v>1113</v>
      </c>
      <c r="R602" s="90" t="s">
        <v>2586</v>
      </c>
      <c r="S602" s="6" t="s">
        <v>1795</v>
      </c>
      <c r="T602" s="4" t="s">
        <v>81</v>
      </c>
      <c r="U602" s="4" t="s">
        <v>349</v>
      </c>
      <c r="V602" s="4">
        <v>99</v>
      </c>
      <c r="W602" s="85">
        <v>45593</v>
      </c>
      <c r="X602" s="4" t="s">
        <v>1216</v>
      </c>
      <c r="Y602" s="4">
        <v>502579228</v>
      </c>
      <c r="Z602" s="4" t="s">
        <v>2015</v>
      </c>
      <c r="AA602" s="4" t="s">
        <v>95</v>
      </c>
      <c r="AB602" s="4" t="s">
        <v>4289</v>
      </c>
    </row>
    <row r="603" spans="1:28">
      <c r="A603" s="4">
        <v>602</v>
      </c>
      <c r="B603" s="106">
        <v>12718670</v>
      </c>
      <c r="C603" s="106">
        <v>204946685</v>
      </c>
      <c r="D603" s="5" t="s">
        <v>2448</v>
      </c>
      <c r="E603" s="115" t="s">
        <v>2449</v>
      </c>
      <c r="F603" s="7" t="s">
        <v>74</v>
      </c>
      <c r="G603" s="7" t="s">
        <v>89</v>
      </c>
      <c r="H603" s="7" t="s">
        <v>90</v>
      </c>
      <c r="I603" s="7" t="s">
        <v>1789</v>
      </c>
      <c r="J603" s="7" t="s">
        <v>5</v>
      </c>
      <c r="K603" s="4" t="s">
        <v>10</v>
      </c>
      <c r="L603" s="4" t="s">
        <v>22</v>
      </c>
      <c r="M603" s="4" t="s">
        <v>390</v>
      </c>
      <c r="N603" s="4" t="s">
        <v>2584</v>
      </c>
      <c r="O603" s="25"/>
      <c r="P603" s="25">
        <v>45719</v>
      </c>
      <c r="Q603" s="7" t="s">
        <v>351</v>
      </c>
      <c r="R603" s="6" t="s">
        <v>3258</v>
      </c>
      <c r="S603" s="6" t="s">
        <v>1795</v>
      </c>
      <c r="T603" s="6" t="s">
        <v>81</v>
      </c>
      <c r="U603" s="6" t="s">
        <v>107</v>
      </c>
      <c r="V603" s="4">
        <v>99</v>
      </c>
      <c r="W603" s="6">
        <v>45775</v>
      </c>
      <c r="X603" s="6" t="s">
        <v>1216</v>
      </c>
      <c r="Y603" s="4">
        <v>525537218</v>
      </c>
      <c r="Z603" s="6" t="s">
        <v>4325</v>
      </c>
      <c r="AA603" s="6" t="s">
        <v>85</v>
      </c>
      <c r="AB603" s="4">
        <v>0</v>
      </c>
    </row>
    <row r="604" spans="1:28">
      <c r="A604" s="4">
        <v>603</v>
      </c>
      <c r="B604" s="5">
        <v>52360</v>
      </c>
      <c r="C604" s="5">
        <v>201502749</v>
      </c>
      <c r="D604" s="115" t="s">
        <v>1540</v>
      </c>
      <c r="E604" s="4" t="s">
        <v>1544</v>
      </c>
      <c r="F604" s="7" t="s">
        <v>74</v>
      </c>
      <c r="G604" s="7" t="s">
        <v>88</v>
      </c>
      <c r="H604" s="7" t="s">
        <v>94</v>
      </c>
      <c r="I604" s="6" t="s">
        <v>1790</v>
      </c>
      <c r="J604" s="7" t="s">
        <v>5</v>
      </c>
      <c r="K604" s="4" t="s">
        <v>10</v>
      </c>
      <c r="L604" s="4" t="s">
        <v>27</v>
      </c>
      <c r="M604" s="4" t="s">
        <v>2741</v>
      </c>
      <c r="N604" s="4" t="s">
        <v>2584</v>
      </c>
      <c r="O604" s="89"/>
      <c r="P604" s="25">
        <v>45561</v>
      </c>
      <c r="Q604" s="7" t="s">
        <v>1113</v>
      </c>
      <c r="R604" s="90" t="s">
        <v>3260</v>
      </c>
      <c r="S604" s="6" t="s">
        <v>1795</v>
      </c>
      <c r="T604" s="4" t="s">
        <v>81</v>
      </c>
      <c r="U604" s="4" t="s">
        <v>103</v>
      </c>
      <c r="V604" s="4">
        <v>99</v>
      </c>
      <c r="W604" s="85">
        <v>46291</v>
      </c>
      <c r="X604" s="4" t="s">
        <v>3694</v>
      </c>
      <c r="Y604" s="4">
        <v>523691308</v>
      </c>
      <c r="Z604" s="4" t="s">
        <v>2016</v>
      </c>
      <c r="AA604" s="4" t="s">
        <v>85</v>
      </c>
      <c r="AB604" s="4" t="s">
        <v>4289</v>
      </c>
    </row>
    <row r="605" spans="1:28" ht="14.5" customHeight="1">
      <c r="A605" s="4">
        <v>604</v>
      </c>
      <c r="B605" s="5">
        <v>12415324</v>
      </c>
      <c r="C605" s="4">
        <v>110804937</v>
      </c>
      <c r="D605" s="115" t="s">
        <v>389</v>
      </c>
      <c r="E605" s="6" t="s">
        <v>3522</v>
      </c>
      <c r="F605" s="7" t="s">
        <v>82</v>
      </c>
      <c r="G605" s="7" t="s">
        <v>87</v>
      </c>
      <c r="H605" s="7" t="s">
        <v>75</v>
      </c>
      <c r="I605" s="6" t="s">
        <v>244</v>
      </c>
      <c r="J605" s="7" t="s">
        <v>5</v>
      </c>
      <c r="K605" s="4" t="s">
        <v>10</v>
      </c>
      <c r="L605" s="4" t="s">
        <v>21</v>
      </c>
      <c r="M605" s="4" t="s">
        <v>4313</v>
      </c>
      <c r="N605" s="89" t="s">
        <v>2583</v>
      </c>
      <c r="O605" s="89"/>
      <c r="P605" s="25">
        <v>44800</v>
      </c>
      <c r="Q605" s="7" t="s">
        <v>1111</v>
      </c>
      <c r="R605" s="4"/>
      <c r="S605" s="6" t="s">
        <v>1795</v>
      </c>
      <c r="T605" s="4" t="s">
        <v>81</v>
      </c>
      <c r="U605" s="4"/>
      <c r="V605" s="4">
        <v>3</v>
      </c>
      <c r="W605" s="4"/>
      <c r="X605" s="4" t="s">
        <v>3696</v>
      </c>
      <c r="Y605" s="4"/>
      <c r="Z605" s="4"/>
      <c r="AA605" s="4"/>
      <c r="AB605" s="4" t="s">
        <v>4289</v>
      </c>
    </row>
    <row r="606" spans="1:28">
      <c r="A606" s="4">
        <v>605</v>
      </c>
      <c r="B606" s="106">
        <v>14450942</v>
      </c>
      <c r="C606" s="106">
        <v>205236906</v>
      </c>
      <c r="D606" s="5" t="s">
        <v>2499</v>
      </c>
      <c r="E606" s="115" t="s">
        <v>2500</v>
      </c>
      <c r="F606" s="7" t="s">
        <v>74</v>
      </c>
      <c r="G606" s="7" t="s">
        <v>76</v>
      </c>
      <c r="H606" s="7" t="s">
        <v>88</v>
      </c>
      <c r="I606" s="6" t="s">
        <v>1790</v>
      </c>
      <c r="J606" s="7" t="s">
        <v>5</v>
      </c>
      <c r="K606" s="4" t="s">
        <v>10</v>
      </c>
      <c r="L606" s="4" t="s">
        <v>22</v>
      </c>
      <c r="M606" s="4" t="s">
        <v>2676</v>
      </c>
      <c r="N606" s="4" t="s">
        <v>2584</v>
      </c>
      <c r="O606" s="25"/>
      <c r="P606" s="25">
        <v>45789</v>
      </c>
      <c r="Q606" s="7" t="s">
        <v>1112</v>
      </c>
      <c r="R606" s="6" t="s">
        <v>3256</v>
      </c>
      <c r="S606" s="6" t="s">
        <v>1795</v>
      </c>
      <c r="T606" s="6" t="s">
        <v>81</v>
      </c>
      <c r="U606" s="6" t="s">
        <v>349</v>
      </c>
      <c r="V606" s="4">
        <v>99</v>
      </c>
      <c r="W606" s="6">
        <v>45831</v>
      </c>
      <c r="X606" s="6" t="s">
        <v>1216</v>
      </c>
      <c r="Y606" s="4">
        <v>504476032</v>
      </c>
      <c r="Z606" s="6" t="s">
        <v>4326</v>
      </c>
      <c r="AA606" s="6" t="s">
        <v>85</v>
      </c>
      <c r="AB606" s="4">
        <v>0</v>
      </c>
    </row>
    <row r="607" spans="1:28" ht="14.5" customHeight="1">
      <c r="A607" s="4">
        <v>606</v>
      </c>
      <c r="B607" s="5">
        <v>12871964</v>
      </c>
      <c r="C607" s="5">
        <v>204299070</v>
      </c>
      <c r="D607" s="115" t="s">
        <v>1673</v>
      </c>
      <c r="E607" s="4" t="s">
        <v>1674</v>
      </c>
      <c r="F607" s="7" t="s">
        <v>82</v>
      </c>
      <c r="G607" s="7" t="s">
        <v>90</v>
      </c>
      <c r="H607" s="7" t="s">
        <v>87</v>
      </c>
      <c r="I607" s="6" t="s">
        <v>1790</v>
      </c>
      <c r="J607" s="7" t="s">
        <v>5</v>
      </c>
      <c r="K607" s="4" t="s">
        <v>10</v>
      </c>
      <c r="L607" s="4" t="s">
        <v>27</v>
      </c>
      <c r="M607" s="4" t="s">
        <v>374</v>
      </c>
      <c r="N607" s="4" t="s">
        <v>2584</v>
      </c>
      <c r="O607" s="89"/>
      <c r="P607" s="25">
        <v>45586</v>
      </c>
      <c r="Q607" s="7" t="s">
        <v>1113</v>
      </c>
      <c r="R607" s="90" t="s">
        <v>3264</v>
      </c>
      <c r="S607" s="6" t="s">
        <v>1795</v>
      </c>
      <c r="T607" s="4" t="s">
        <v>81</v>
      </c>
      <c r="U607" s="4" t="s">
        <v>103</v>
      </c>
      <c r="V607" s="4">
        <v>99</v>
      </c>
      <c r="W607" s="85">
        <v>46316</v>
      </c>
      <c r="X607" s="4" t="s">
        <v>3690</v>
      </c>
      <c r="Y607" s="4">
        <v>582633204</v>
      </c>
      <c r="Z607" s="4" t="s">
        <v>2017</v>
      </c>
      <c r="AA607" s="4" t="s">
        <v>2275</v>
      </c>
      <c r="AB607" s="4" t="s">
        <v>4289</v>
      </c>
    </row>
    <row r="608" spans="1:28">
      <c r="A608" s="4">
        <v>607</v>
      </c>
      <c r="B608" s="5">
        <v>12467488</v>
      </c>
      <c r="C608" s="5">
        <v>203522193</v>
      </c>
      <c r="D608" s="115" t="s">
        <v>420</v>
      </c>
      <c r="E608" s="4" t="s">
        <v>421</v>
      </c>
      <c r="F608" s="7" t="s">
        <v>82</v>
      </c>
      <c r="G608" s="7" t="s">
        <v>87</v>
      </c>
      <c r="H608" s="7" t="s">
        <v>75</v>
      </c>
      <c r="I608" s="6" t="s">
        <v>1790</v>
      </c>
      <c r="J608" s="7" t="s">
        <v>5</v>
      </c>
      <c r="K608" s="4" t="s">
        <v>10</v>
      </c>
      <c r="L608" s="4" t="s">
        <v>20</v>
      </c>
      <c r="M608" s="4" t="s">
        <v>390</v>
      </c>
      <c r="N608" s="4" t="s">
        <v>2583</v>
      </c>
      <c r="O608" s="89"/>
      <c r="P608" s="25">
        <v>45463</v>
      </c>
      <c r="Q608" s="7" t="s">
        <v>351</v>
      </c>
      <c r="R608" s="90" t="s">
        <v>3252</v>
      </c>
      <c r="S608" s="6" t="s">
        <v>1795</v>
      </c>
      <c r="T608" s="4" t="s">
        <v>81</v>
      </c>
      <c r="U608" s="4" t="s">
        <v>349</v>
      </c>
      <c r="V608" s="4">
        <v>99</v>
      </c>
      <c r="W608" s="85">
        <v>46193</v>
      </c>
      <c r="X608" s="4" t="s">
        <v>3698</v>
      </c>
      <c r="Y608" s="4">
        <v>502682294</v>
      </c>
      <c r="Z608" s="4" t="s">
        <v>2018</v>
      </c>
      <c r="AA608" s="4" t="s">
        <v>95</v>
      </c>
      <c r="AB608" s="4" t="s">
        <v>4289</v>
      </c>
    </row>
    <row r="609" spans="1:28">
      <c r="A609" s="4">
        <v>608</v>
      </c>
      <c r="B609" s="5">
        <v>13497098</v>
      </c>
      <c r="C609" s="5">
        <v>203851103</v>
      </c>
      <c r="D609" s="115" t="s">
        <v>808</v>
      </c>
      <c r="E609" s="4" t="s">
        <v>809</v>
      </c>
      <c r="F609" s="7" t="s">
        <v>74</v>
      </c>
      <c r="G609" s="7" t="s">
        <v>90</v>
      </c>
      <c r="H609" s="7" t="s">
        <v>87</v>
      </c>
      <c r="I609" s="6" t="s">
        <v>1788</v>
      </c>
      <c r="J609" s="7" t="s">
        <v>5</v>
      </c>
      <c r="K609" s="4" t="s">
        <v>10</v>
      </c>
      <c r="L609" s="4" t="s">
        <v>24</v>
      </c>
      <c r="M609" s="4" t="s">
        <v>3321</v>
      </c>
      <c r="N609" s="4" t="s">
        <v>2584</v>
      </c>
      <c r="O609" s="89"/>
      <c r="P609" s="25">
        <v>45524</v>
      </c>
      <c r="Q609" s="7" t="s">
        <v>351</v>
      </c>
      <c r="R609" s="90" t="s">
        <v>3262</v>
      </c>
      <c r="S609" s="6" t="s">
        <v>1795</v>
      </c>
      <c r="T609" s="4" t="s">
        <v>92</v>
      </c>
      <c r="U609" s="4" t="s">
        <v>349</v>
      </c>
      <c r="V609" s="4">
        <v>99</v>
      </c>
      <c r="W609" s="85">
        <v>45889</v>
      </c>
      <c r="X609" s="4" t="s">
        <v>3688</v>
      </c>
      <c r="Y609" s="4">
        <v>545442647</v>
      </c>
      <c r="Z609" s="4" t="s">
        <v>2019</v>
      </c>
      <c r="AA609" s="4" t="s">
        <v>1203</v>
      </c>
      <c r="AB609" s="4" t="s">
        <v>4289</v>
      </c>
    </row>
    <row r="610" spans="1:28">
      <c r="A610" s="4">
        <v>609</v>
      </c>
      <c r="B610" s="5">
        <v>11807548</v>
      </c>
      <c r="C610" s="5">
        <v>206850851</v>
      </c>
      <c r="D610" s="115" t="s">
        <v>3315</v>
      </c>
      <c r="E610" s="5" t="s">
        <v>3284</v>
      </c>
      <c r="F610" s="7" t="s">
        <v>74</v>
      </c>
      <c r="G610" s="7" t="s">
        <v>90</v>
      </c>
      <c r="H610" s="7" t="s">
        <v>87</v>
      </c>
      <c r="I610" s="7" t="s">
        <v>1789</v>
      </c>
      <c r="J610" s="7" t="s">
        <v>5</v>
      </c>
      <c r="K610" s="4" t="s">
        <v>10</v>
      </c>
      <c r="L610" s="5" t="s">
        <v>22</v>
      </c>
      <c r="M610" s="5" t="s">
        <v>3321</v>
      </c>
      <c r="N610" s="5" t="s">
        <v>3289</v>
      </c>
      <c r="O610" s="89"/>
      <c r="P610" s="25">
        <v>46013</v>
      </c>
      <c r="Q610" s="7" t="s">
        <v>1112</v>
      </c>
      <c r="R610" s="4" t="s">
        <v>3264</v>
      </c>
      <c r="S610" s="5" t="s">
        <v>1795</v>
      </c>
      <c r="T610" s="5" t="s">
        <v>81</v>
      </c>
      <c r="U610" s="5"/>
      <c r="V610" s="5">
        <v>99</v>
      </c>
      <c r="W610" s="91">
        <v>45648</v>
      </c>
      <c r="X610" s="5" t="s">
        <v>3290</v>
      </c>
      <c r="Y610" s="5">
        <v>508662877</v>
      </c>
      <c r="Z610" s="5" t="s">
        <v>3303</v>
      </c>
      <c r="AA610" s="4" t="s">
        <v>95</v>
      </c>
      <c r="AB610" s="4" t="s">
        <v>4289</v>
      </c>
    </row>
    <row r="611" spans="1:28">
      <c r="A611" s="4">
        <v>610</v>
      </c>
      <c r="B611" s="5">
        <v>11912479</v>
      </c>
      <c r="C611" s="5">
        <v>203965006</v>
      </c>
      <c r="D611" s="115" t="s">
        <v>1231</v>
      </c>
      <c r="E611" s="4" t="s">
        <v>1232</v>
      </c>
      <c r="F611" s="7" t="s">
        <v>82</v>
      </c>
      <c r="G611" s="7" t="s">
        <v>89</v>
      </c>
      <c r="H611" s="7" t="s">
        <v>90</v>
      </c>
      <c r="I611" s="6" t="s">
        <v>1790</v>
      </c>
      <c r="J611" s="7" t="s">
        <v>5</v>
      </c>
      <c r="K611" s="4" t="s">
        <v>10</v>
      </c>
      <c r="L611" s="4" t="s">
        <v>20</v>
      </c>
      <c r="M611" s="4" t="s">
        <v>390</v>
      </c>
      <c r="N611" s="4" t="s">
        <v>2583</v>
      </c>
      <c r="O611" s="89"/>
      <c r="P611" s="25">
        <v>45544</v>
      </c>
      <c r="Q611" s="7" t="s">
        <v>1112</v>
      </c>
      <c r="R611" s="90" t="s">
        <v>3257</v>
      </c>
      <c r="S611" s="6" t="s">
        <v>1795</v>
      </c>
      <c r="T611" s="4" t="s">
        <v>81</v>
      </c>
      <c r="U611" s="4" t="s">
        <v>349</v>
      </c>
      <c r="V611" s="4">
        <v>99</v>
      </c>
      <c r="W611" s="85">
        <v>46274</v>
      </c>
      <c r="X611" s="4" t="s">
        <v>3474</v>
      </c>
      <c r="Y611" s="4">
        <v>568567157</v>
      </c>
      <c r="Z611" s="4" t="s">
        <v>2020</v>
      </c>
      <c r="AA611" s="4" t="s">
        <v>1194</v>
      </c>
      <c r="AB611" s="4" t="s">
        <v>4289</v>
      </c>
    </row>
    <row r="612" spans="1:28">
      <c r="A612" s="4">
        <v>611</v>
      </c>
      <c r="B612" s="106">
        <v>11401258</v>
      </c>
      <c r="C612" s="106">
        <v>204864796</v>
      </c>
      <c r="D612" s="5" t="s">
        <v>2491</v>
      </c>
      <c r="E612" s="115" t="s">
        <v>2492</v>
      </c>
      <c r="F612" s="7" t="s">
        <v>74</v>
      </c>
      <c r="G612" s="7" t="s">
        <v>90</v>
      </c>
      <c r="H612" s="7" t="s">
        <v>87</v>
      </c>
      <c r="I612" s="6" t="s">
        <v>2509</v>
      </c>
      <c r="J612" s="7" t="s">
        <v>5</v>
      </c>
      <c r="K612" s="4" t="s">
        <v>10</v>
      </c>
      <c r="L612" s="4" t="s">
        <v>22</v>
      </c>
      <c r="M612" s="4" t="s">
        <v>4361</v>
      </c>
      <c r="N612" s="4" t="s">
        <v>2584</v>
      </c>
      <c r="O612" s="25"/>
      <c r="P612" s="25">
        <v>45789</v>
      </c>
      <c r="Q612" s="7" t="s">
        <v>1112</v>
      </c>
      <c r="R612" s="6" t="s">
        <v>3256</v>
      </c>
      <c r="S612" s="6" t="s">
        <v>1795</v>
      </c>
      <c r="T612" s="6" t="s">
        <v>81</v>
      </c>
      <c r="U612" s="6" t="s">
        <v>107</v>
      </c>
      <c r="V612" s="4">
        <v>99</v>
      </c>
      <c r="W612" s="6">
        <v>45831</v>
      </c>
      <c r="X612" s="6" t="s">
        <v>1216</v>
      </c>
      <c r="Y612" s="4">
        <v>55864426</v>
      </c>
      <c r="Z612" s="6" t="s">
        <v>4327</v>
      </c>
      <c r="AA612" s="6" t="s">
        <v>85</v>
      </c>
      <c r="AB612" s="4">
        <v>0</v>
      </c>
    </row>
    <row r="613" spans="1:28" ht="14.5" customHeight="1">
      <c r="A613" s="4">
        <v>612</v>
      </c>
      <c r="B613" s="5">
        <v>13273358</v>
      </c>
      <c r="C613" s="5">
        <v>203477173</v>
      </c>
      <c r="D613" s="115" t="s">
        <v>424</v>
      </c>
      <c r="E613" s="4" t="s">
        <v>425</v>
      </c>
      <c r="F613" s="7" t="s">
        <v>82</v>
      </c>
      <c r="G613" s="7" t="s">
        <v>89</v>
      </c>
      <c r="H613" s="7" t="s">
        <v>90</v>
      </c>
      <c r="I613" s="6" t="s">
        <v>1790</v>
      </c>
      <c r="J613" s="7" t="s">
        <v>5</v>
      </c>
      <c r="K613" s="4" t="s">
        <v>10</v>
      </c>
      <c r="L613" s="4" t="s">
        <v>20</v>
      </c>
      <c r="M613" s="4" t="s">
        <v>390</v>
      </c>
      <c r="N613" s="4" t="s">
        <v>2584</v>
      </c>
      <c r="O613" s="89"/>
      <c r="P613" s="25">
        <v>45456</v>
      </c>
      <c r="Q613" s="7" t="s">
        <v>351</v>
      </c>
      <c r="R613" s="90" t="s">
        <v>3262</v>
      </c>
      <c r="S613" s="6" t="s">
        <v>1795</v>
      </c>
      <c r="T613" s="4" t="s">
        <v>92</v>
      </c>
      <c r="U613" s="4" t="s">
        <v>103</v>
      </c>
      <c r="V613" s="4">
        <v>99</v>
      </c>
      <c r="W613" s="85">
        <v>46186</v>
      </c>
      <c r="X613" s="4" t="s">
        <v>3688</v>
      </c>
      <c r="Y613" s="4">
        <v>553910406</v>
      </c>
      <c r="Z613" s="4" t="s">
        <v>2021</v>
      </c>
      <c r="AA613" s="4" t="s">
        <v>85</v>
      </c>
      <c r="AB613" s="4" t="s">
        <v>4289</v>
      </c>
    </row>
    <row r="614" spans="1:28" ht="14.5" customHeight="1">
      <c r="A614" s="4">
        <v>613</v>
      </c>
      <c r="B614" s="5">
        <v>14039778</v>
      </c>
      <c r="C614" s="5">
        <v>206915466</v>
      </c>
      <c r="D614" s="115" t="s">
        <v>3869</v>
      </c>
      <c r="E614" s="4" t="s">
        <v>3870</v>
      </c>
      <c r="F614" s="7" t="s">
        <v>82</v>
      </c>
      <c r="G614" s="7" t="s">
        <v>89</v>
      </c>
      <c r="H614" s="7" t="s">
        <v>90</v>
      </c>
      <c r="I614" s="7" t="s">
        <v>1789</v>
      </c>
      <c r="J614" s="7" t="s">
        <v>5</v>
      </c>
      <c r="K614" s="7" t="s">
        <v>10</v>
      </c>
      <c r="L614" s="7" t="s">
        <v>22</v>
      </c>
      <c r="M614" s="7" t="s">
        <v>3321</v>
      </c>
      <c r="N614" s="4" t="s">
        <v>2584</v>
      </c>
      <c r="O614" s="89"/>
      <c r="P614" s="25">
        <v>46034</v>
      </c>
      <c r="Q614" s="7" t="s">
        <v>1192</v>
      </c>
      <c r="R614" s="4" t="s">
        <v>3262</v>
      </c>
      <c r="S614" s="6" t="s">
        <v>1795</v>
      </c>
      <c r="T614" s="4" t="s">
        <v>81</v>
      </c>
      <c r="U614" s="4"/>
      <c r="V614" s="4">
        <v>99</v>
      </c>
      <c r="W614" s="85">
        <v>46448</v>
      </c>
      <c r="X614" s="4" t="s">
        <v>3290</v>
      </c>
      <c r="Y614" s="4">
        <v>525422456</v>
      </c>
      <c r="Z614" s="4" t="s">
        <v>3876</v>
      </c>
      <c r="AA614" s="4" t="s">
        <v>3658</v>
      </c>
      <c r="AB614" s="4" t="e">
        <v>#N/A</v>
      </c>
    </row>
    <row r="615" spans="1:28" ht="14.5" customHeight="1">
      <c r="A615" s="4">
        <v>614</v>
      </c>
      <c r="B615" s="5">
        <v>12786920</v>
      </c>
      <c r="C615" s="5">
        <v>203850770</v>
      </c>
      <c r="D615" s="115" t="s">
        <v>746</v>
      </c>
      <c r="E615" s="4" t="s">
        <v>747</v>
      </c>
      <c r="F615" s="7" t="s">
        <v>82</v>
      </c>
      <c r="G615" s="7" t="s">
        <v>90</v>
      </c>
      <c r="H615" s="7" t="s">
        <v>87</v>
      </c>
      <c r="I615" s="6" t="s">
        <v>1790</v>
      </c>
      <c r="J615" s="7" t="s">
        <v>5</v>
      </c>
      <c r="K615" s="4" t="s">
        <v>10</v>
      </c>
      <c r="L615" s="4" t="s">
        <v>22</v>
      </c>
      <c r="M615" s="4" t="s">
        <v>3321</v>
      </c>
      <c r="N615" s="4" t="s">
        <v>2584</v>
      </c>
      <c r="O615" s="89"/>
      <c r="P615" s="25">
        <v>45524</v>
      </c>
      <c r="Q615" s="7" t="s">
        <v>1112</v>
      </c>
      <c r="R615" s="90" t="s">
        <v>2586</v>
      </c>
      <c r="S615" s="6" t="s">
        <v>1795</v>
      </c>
      <c r="T615" s="4" t="s">
        <v>81</v>
      </c>
      <c r="U615" s="4" t="s">
        <v>103</v>
      </c>
      <c r="V615" s="4">
        <v>99</v>
      </c>
      <c r="W615" s="85">
        <v>45580</v>
      </c>
      <c r="X615" s="4" t="s">
        <v>1216</v>
      </c>
      <c r="Y615" s="4">
        <v>552986076</v>
      </c>
      <c r="Z615" s="4" t="s">
        <v>2022</v>
      </c>
      <c r="AA615" s="4" t="s">
        <v>95</v>
      </c>
      <c r="AB615" s="4" t="s">
        <v>4289</v>
      </c>
    </row>
    <row r="616" spans="1:28" ht="14.5" customHeight="1">
      <c r="A616" s="4">
        <v>615</v>
      </c>
      <c r="B616" s="5">
        <v>13297485</v>
      </c>
      <c r="C616" s="5">
        <v>204116439</v>
      </c>
      <c r="D616" s="115" t="s">
        <v>1482</v>
      </c>
      <c r="E616" s="4" t="s">
        <v>1483</v>
      </c>
      <c r="F616" s="7" t="s">
        <v>74</v>
      </c>
      <c r="G616" s="7" t="s">
        <v>94</v>
      </c>
      <c r="H616" s="7" t="s">
        <v>89</v>
      </c>
      <c r="I616" s="6" t="s">
        <v>1790</v>
      </c>
      <c r="J616" s="7" t="s">
        <v>5</v>
      </c>
      <c r="K616" s="4" t="s">
        <v>10</v>
      </c>
      <c r="L616" s="4" t="s">
        <v>27</v>
      </c>
      <c r="M616" s="4" t="s">
        <v>3321</v>
      </c>
      <c r="N616" s="4" t="s">
        <v>2584</v>
      </c>
      <c r="O616" s="89"/>
      <c r="P616" s="25">
        <v>45561</v>
      </c>
      <c r="Q616" s="7" t="s">
        <v>1192</v>
      </c>
      <c r="R616" s="90" t="s">
        <v>3252</v>
      </c>
      <c r="S616" s="6" t="s">
        <v>1795</v>
      </c>
      <c r="T616" s="4" t="s">
        <v>81</v>
      </c>
      <c r="U616" s="4" t="s">
        <v>349</v>
      </c>
      <c r="V616" s="4">
        <v>99</v>
      </c>
      <c r="W616" s="85">
        <v>46291</v>
      </c>
      <c r="X616" s="4" t="s">
        <v>3739</v>
      </c>
      <c r="Y616" s="4">
        <v>557030239</v>
      </c>
      <c r="Z616" s="4">
        <v>0</v>
      </c>
      <c r="AA616" s="4" t="s">
        <v>1196</v>
      </c>
      <c r="AB616" s="4" t="s">
        <v>4289</v>
      </c>
    </row>
    <row r="617" spans="1:28" ht="14.5" customHeight="1">
      <c r="A617" s="4">
        <v>616</v>
      </c>
      <c r="B617" s="5">
        <v>11437605</v>
      </c>
      <c r="C617" s="5">
        <v>112649477</v>
      </c>
      <c r="D617" s="115" t="s">
        <v>1618</v>
      </c>
      <c r="E617" s="4" t="s">
        <v>1619</v>
      </c>
      <c r="F617" s="7" t="s">
        <v>82</v>
      </c>
      <c r="G617" s="7" t="s">
        <v>94</v>
      </c>
      <c r="H617" s="7" t="s">
        <v>89</v>
      </c>
      <c r="I617" s="6" t="s">
        <v>1790</v>
      </c>
      <c r="J617" s="7" t="s">
        <v>5</v>
      </c>
      <c r="K617" s="4" t="s">
        <v>10</v>
      </c>
      <c r="L617" s="4" t="s">
        <v>27</v>
      </c>
      <c r="M617" s="4" t="s">
        <v>4314</v>
      </c>
      <c r="N617" s="4" t="s">
        <v>2584</v>
      </c>
      <c r="O617" s="89"/>
      <c r="P617" s="25">
        <v>45568</v>
      </c>
      <c r="Q617" s="7" t="s">
        <v>1113</v>
      </c>
      <c r="R617" s="90" t="s">
        <v>3256</v>
      </c>
      <c r="S617" s="6" t="s">
        <v>1795</v>
      </c>
      <c r="T617" s="4" t="s">
        <v>81</v>
      </c>
      <c r="U617" s="4" t="s">
        <v>103</v>
      </c>
      <c r="V617" s="4">
        <v>99</v>
      </c>
      <c r="W617" s="85">
        <v>46298</v>
      </c>
      <c r="X617" s="4" t="s">
        <v>1216</v>
      </c>
      <c r="Y617" s="4">
        <v>503124865</v>
      </c>
      <c r="Z617" s="4" t="s">
        <v>1620</v>
      </c>
      <c r="AA617" s="4" t="s">
        <v>127</v>
      </c>
      <c r="AB617" s="4" t="s">
        <v>4290</v>
      </c>
    </row>
    <row r="618" spans="1:28" ht="14.5" customHeight="1">
      <c r="A618" s="4">
        <v>617</v>
      </c>
      <c r="B618" s="5">
        <v>14070315</v>
      </c>
      <c r="C618" s="5">
        <v>205846579</v>
      </c>
      <c r="D618" s="115" t="s">
        <v>2674</v>
      </c>
      <c r="E618" s="4" t="s">
        <v>2675</v>
      </c>
      <c r="F618" s="7" t="s">
        <v>82</v>
      </c>
      <c r="G618" s="7" t="s">
        <v>75</v>
      </c>
      <c r="H618" s="7" t="s">
        <v>76</v>
      </c>
      <c r="I618" s="7" t="s">
        <v>1789</v>
      </c>
      <c r="J618" s="7" t="s">
        <v>5</v>
      </c>
      <c r="K618" s="4" t="s">
        <v>10</v>
      </c>
      <c r="L618" s="4" t="s">
        <v>23</v>
      </c>
      <c r="M618" s="4" t="s">
        <v>374</v>
      </c>
      <c r="N618" s="4"/>
      <c r="O618" s="89"/>
      <c r="P618" s="25">
        <v>45894</v>
      </c>
      <c r="Q618" s="7" t="s">
        <v>1112</v>
      </c>
      <c r="R618" s="90" t="s">
        <v>3261</v>
      </c>
      <c r="S618" s="6" t="s">
        <v>1795</v>
      </c>
      <c r="T618" s="4" t="s">
        <v>92</v>
      </c>
      <c r="U618" s="4" t="s">
        <v>349</v>
      </c>
      <c r="V618" s="4">
        <v>99</v>
      </c>
      <c r="W618" s="85">
        <v>45949</v>
      </c>
      <c r="X618" s="4" t="s">
        <v>3527</v>
      </c>
      <c r="Y618" s="4">
        <v>505320141</v>
      </c>
      <c r="Z618" s="4" t="s">
        <v>2768</v>
      </c>
      <c r="AA618" s="4" t="s">
        <v>1204</v>
      </c>
      <c r="AB618" s="4" t="s">
        <v>4289</v>
      </c>
    </row>
    <row r="619" spans="1:28" ht="14.5" customHeight="1">
      <c r="A619" s="4">
        <v>618</v>
      </c>
      <c r="B619" s="5">
        <v>11074780</v>
      </c>
      <c r="C619" s="5">
        <v>203555843</v>
      </c>
      <c r="D619" s="115" t="s">
        <v>428</v>
      </c>
      <c r="E619" s="4" t="s">
        <v>429</v>
      </c>
      <c r="F619" s="7" t="s">
        <v>74</v>
      </c>
      <c r="G619" s="7" t="s">
        <v>88</v>
      </c>
      <c r="H619" s="7" t="s">
        <v>94</v>
      </c>
      <c r="I619" s="6" t="s">
        <v>1790</v>
      </c>
      <c r="J619" s="7" t="s">
        <v>5</v>
      </c>
      <c r="K619" s="4" t="s">
        <v>10</v>
      </c>
      <c r="L619" s="4" t="s">
        <v>20</v>
      </c>
      <c r="M619" s="4" t="s">
        <v>4314</v>
      </c>
      <c r="N619" s="4" t="s">
        <v>2583</v>
      </c>
      <c r="O619" s="89"/>
      <c r="P619" s="25">
        <v>45470</v>
      </c>
      <c r="Q619" s="7" t="s">
        <v>1112</v>
      </c>
      <c r="R619" s="90" t="s">
        <v>3260</v>
      </c>
      <c r="S619" s="6" t="s">
        <v>1795</v>
      </c>
      <c r="T619" s="4" t="s">
        <v>81</v>
      </c>
      <c r="U619" s="4" t="s">
        <v>107</v>
      </c>
      <c r="V619" s="4">
        <v>99</v>
      </c>
      <c r="W619" s="85">
        <v>46200</v>
      </c>
      <c r="X619" s="4" t="s">
        <v>3739</v>
      </c>
      <c r="Y619" s="4">
        <v>566364178</v>
      </c>
      <c r="Z619" s="4" t="s">
        <v>2023</v>
      </c>
      <c r="AA619" s="4" t="s">
        <v>2269</v>
      </c>
      <c r="AB619" s="4" t="s">
        <v>4289</v>
      </c>
    </row>
    <row r="620" spans="1:28">
      <c r="A620" s="4">
        <v>619</v>
      </c>
      <c r="B620" s="4">
        <v>14876457</v>
      </c>
      <c r="C620" s="5">
        <v>205852635</v>
      </c>
      <c r="D620" s="115" t="s">
        <v>2693</v>
      </c>
      <c r="E620" s="4" t="s">
        <v>4395</v>
      </c>
      <c r="F620" s="7" t="s">
        <v>82</v>
      </c>
      <c r="G620" s="7" t="s">
        <v>87</v>
      </c>
      <c r="H620" s="7" t="s">
        <v>75</v>
      </c>
      <c r="I620" s="7" t="s">
        <v>1788</v>
      </c>
      <c r="J620" s="4" t="s">
        <v>5</v>
      </c>
      <c r="K620" s="4" t="s">
        <v>10</v>
      </c>
      <c r="L620" s="4" t="s">
        <v>23</v>
      </c>
      <c r="M620" s="4" t="s">
        <v>4314</v>
      </c>
      <c r="N620" s="4"/>
      <c r="O620" s="4"/>
      <c r="P620" s="25">
        <v>46239</v>
      </c>
      <c r="Q620" s="4" t="s">
        <v>351</v>
      </c>
      <c r="R620" s="4"/>
      <c r="S620" s="6" t="s">
        <v>1796</v>
      </c>
      <c r="T620" s="4" t="s">
        <v>81</v>
      </c>
      <c r="U620" s="4"/>
      <c r="V620" s="4">
        <v>99</v>
      </c>
      <c r="W620" s="4"/>
      <c r="X620" s="4"/>
      <c r="Y620" s="4"/>
      <c r="Z620" s="4"/>
      <c r="AA620" s="4"/>
      <c r="AB620" s="4"/>
    </row>
    <row r="621" spans="1:28">
      <c r="A621" s="4">
        <v>620</v>
      </c>
      <c r="B621" s="5">
        <v>14054680</v>
      </c>
      <c r="C621" s="5">
        <v>203992092</v>
      </c>
      <c r="D621" s="115" t="s">
        <v>1327</v>
      </c>
      <c r="E621" s="4" t="s">
        <v>1328</v>
      </c>
      <c r="F621" s="7" t="s">
        <v>82</v>
      </c>
      <c r="G621" s="7" t="s">
        <v>76</v>
      </c>
      <c r="H621" s="7" t="s">
        <v>88</v>
      </c>
      <c r="I621" s="6" t="s">
        <v>1788</v>
      </c>
      <c r="J621" s="7" t="s">
        <v>5</v>
      </c>
      <c r="K621" s="4" t="s">
        <v>10</v>
      </c>
      <c r="L621" s="4" t="s">
        <v>24</v>
      </c>
      <c r="M621" s="4" t="s">
        <v>390</v>
      </c>
      <c r="N621" s="4" t="s">
        <v>2584</v>
      </c>
      <c r="O621" s="89"/>
      <c r="P621" s="25">
        <v>45547</v>
      </c>
      <c r="Q621" s="7" t="s">
        <v>1112</v>
      </c>
      <c r="R621" s="90" t="s">
        <v>3254</v>
      </c>
      <c r="S621" s="6" t="s">
        <v>1795</v>
      </c>
      <c r="T621" s="4" t="s">
        <v>81</v>
      </c>
      <c r="U621" s="4" t="s">
        <v>103</v>
      </c>
      <c r="V621" s="4">
        <v>99</v>
      </c>
      <c r="W621" s="85">
        <v>46277</v>
      </c>
      <c r="X621" s="4" t="s">
        <v>3739</v>
      </c>
      <c r="Y621" s="4">
        <v>506112451</v>
      </c>
      <c r="Z621" s="4" t="s">
        <v>2024</v>
      </c>
      <c r="AA621" s="4" t="s">
        <v>85</v>
      </c>
      <c r="AB621" s="4" t="s">
        <v>4289</v>
      </c>
    </row>
    <row r="622" spans="1:28">
      <c r="A622" s="4">
        <v>621</v>
      </c>
      <c r="B622" s="5">
        <v>14534159</v>
      </c>
      <c r="C622" s="5">
        <v>205839289</v>
      </c>
      <c r="D622" s="115" t="s">
        <v>2664</v>
      </c>
      <c r="E622" s="4" t="s">
        <v>2665</v>
      </c>
      <c r="F622" s="7" t="s">
        <v>74</v>
      </c>
      <c r="G622" s="7" t="s">
        <v>89</v>
      </c>
      <c r="H622" s="7" t="s">
        <v>90</v>
      </c>
      <c r="I622" s="7" t="s">
        <v>1789</v>
      </c>
      <c r="J622" s="7" t="s">
        <v>5</v>
      </c>
      <c r="K622" s="4" t="s">
        <v>10</v>
      </c>
      <c r="L622" s="4" t="s">
        <v>22</v>
      </c>
      <c r="M622" s="4" t="s">
        <v>390</v>
      </c>
      <c r="N622" s="4"/>
      <c r="O622" s="89"/>
      <c r="P622" s="25">
        <v>45894</v>
      </c>
      <c r="Q622" s="7" t="s">
        <v>1192</v>
      </c>
      <c r="R622" s="90" t="s">
        <v>3260</v>
      </c>
      <c r="S622" s="6" t="s">
        <v>1795</v>
      </c>
      <c r="T622" s="4" t="s">
        <v>81</v>
      </c>
      <c r="U622" s="4" t="s">
        <v>103</v>
      </c>
      <c r="V622" s="4">
        <v>99</v>
      </c>
      <c r="W622" s="85">
        <v>45949</v>
      </c>
      <c r="X622" s="4" t="s">
        <v>2758</v>
      </c>
      <c r="Y622" s="4">
        <v>567069915</v>
      </c>
      <c r="Z622" s="4" t="s">
        <v>2764</v>
      </c>
      <c r="AA622" s="4" t="s">
        <v>95</v>
      </c>
      <c r="AB622" s="4" t="s">
        <v>4289</v>
      </c>
    </row>
    <row r="623" spans="1:28">
      <c r="A623" s="4">
        <v>622</v>
      </c>
      <c r="B623" s="106">
        <v>12795884</v>
      </c>
      <c r="C623" s="106">
        <v>203850772</v>
      </c>
      <c r="D623" s="5" t="s">
        <v>748</v>
      </c>
      <c r="E623" s="115" t="s">
        <v>749</v>
      </c>
      <c r="F623" s="7" t="s">
        <v>82</v>
      </c>
      <c r="G623" s="7" t="s">
        <v>87</v>
      </c>
      <c r="H623" s="7" t="s">
        <v>75</v>
      </c>
      <c r="I623" s="7" t="s">
        <v>1789</v>
      </c>
      <c r="J623" s="7" t="s">
        <v>5</v>
      </c>
      <c r="K623" s="4" t="s">
        <v>10</v>
      </c>
      <c r="L623" s="4" t="s">
        <v>22</v>
      </c>
      <c r="M623" s="4" t="s">
        <v>4361</v>
      </c>
      <c r="N623" s="4" t="s">
        <v>2584</v>
      </c>
      <c r="O623" s="25"/>
      <c r="P623" s="25">
        <v>45524</v>
      </c>
      <c r="Q623" s="7" t="s">
        <v>1112</v>
      </c>
      <c r="R623" s="6" t="s">
        <v>3253</v>
      </c>
      <c r="S623" s="6" t="s">
        <v>1795</v>
      </c>
      <c r="T623" s="6" t="s">
        <v>81</v>
      </c>
      <c r="U623" s="6" t="s">
        <v>349</v>
      </c>
      <c r="V623" s="4">
        <v>99</v>
      </c>
      <c r="W623" s="6">
        <v>45580</v>
      </c>
      <c r="X623" s="6" t="s">
        <v>1216</v>
      </c>
      <c r="Y623" s="4">
        <v>552068945</v>
      </c>
      <c r="Z623" s="6" t="s">
        <v>4328</v>
      </c>
      <c r="AA623" s="6" t="s">
        <v>95</v>
      </c>
      <c r="AB623" s="4">
        <v>0</v>
      </c>
    </row>
    <row r="624" spans="1:28">
      <c r="A624" s="4">
        <v>623</v>
      </c>
      <c r="B624" s="106">
        <v>11011187</v>
      </c>
      <c r="C624" s="106">
        <v>205977116</v>
      </c>
      <c r="D624" s="5" t="s">
        <v>2860</v>
      </c>
      <c r="E624" s="115" t="s">
        <v>2861</v>
      </c>
      <c r="F624" s="7" t="s">
        <v>74</v>
      </c>
      <c r="G624" s="7" t="s">
        <v>89</v>
      </c>
      <c r="H624" s="7" t="s">
        <v>90</v>
      </c>
      <c r="I624" s="6" t="s">
        <v>1790</v>
      </c>
      <c r="J624" s="7" t="s">
        <v>5</v>
      </c>
      <c r="K624" s="4" t="s">
        <v>10</v>
      </c>
      <c r="L624" s="4" t="s">
        <v>22</v>
      </c>
      <c r="M624" s="4" t="s">
        <v>390</v>
      </c>
      <c r="N624" s="4"/>
      <c r="O624" s="25"/>
      <c r="P624" s="25">
        <v>45915</v>
      </c>
      <c r="Q624" s="7" t="s">
        <v>1112</v>
      </c>
      <c r="R624" s="4" t="s">
        <v>3258</v>
      </c>
      <c r="S624" s="6" t="s">
        <v>1795</v>
      </c>
      <c r="T624" s="6" t="s">
        <v>81</v>
      </c>
      <c r="U624" s="6" t="s">
        <v>349</v>
      </c>
      <c r="V624" s="4">
        <v>99</v>
      </c>
      <c r="W624" s="6">
        <v>0</v>
      </c>
      <c r="X624" s="6">
        <v>0</v>
      </c>
      <c r="Y624" s="4">
        <v>0</v>
      </c>
      <c r="Z624" s="6">
        <v>0</v>
      </c>
      <c r="AA624" s="6" t="s">
        <v>95</v>
      </c>
      <c r="AB624" s="4">
        <v>0</v>
      </c>
    </row>
    <row r="625" spans="1:28">
      <c r="A625" s="4">
        <v>624</v>
      </c>
      <c r="B625" s="5">
        <v>12629390</v>
      </c>
      <c r="C625" s="5">
        <v>203850778</v>
      </c>
      <c r="D625" s="115" t="s">
        <v>750</v>
      </c>
      <c r="E625" s="4" t="s">
        <v>751</v>
      </c>
      <c r="F625" s="7" t="s">
        <v>74</v>
      </c>
      <c r="G625" s="7" t="s">
        <v>87</v>
      </c>
      <c r="H625" s="7" t="s">
        <v>75</v>
      </c>
      <c r="I625" s="6" t="s">
        <v>1790</v>
      </c>
      <c r="J625" s="7" t="s">
        <v>5</v>
      </c>
      <c r="K625" s="4" t="s">
        <v>10</v>
      </c>
      <c r="L625" s="4" t="s">
        <v>22</v>
      </c>
      <c r="M625" s="4" t="s">
        <v>3321</v>
      </c>
      <c r="N625" s="4" t="s">
        <v>2584</v>
      </c>
      <c r="O625" s="89"/>
      <c r="P625" s="25">
        <v>45524</v>
      </c>
      <c r="Q625" s="7" t="s">
        <v>1112</v>
      </c>
      <c r="R625" s="90" t="s">
        <v>3256</v>
      </c>
      <c r="S625" s="6" t="s">
        <v>1795</v>
      </c>
      <c r="T625" s="4" t="s">
        <v>81</v>
      </c>
      <c r="U625" s="4" t="s">
        <v>349</v>
      </c>
      <c r="V625" s="4">
        <v>99</v>
      </c>
      <c r="W625" s="85">
        <v>45580</v>
      </c>
      <c r="X625" s="4" t="s">
        <v>1216</v>
      </c>
      <c r="Y625" s="4">
        <v>563916447</v>
      </c>
      <c r="Z625" s="4" t="s">
        <v>2025</v>
      </c>
      <c r="AA625" s="4" t="s">
        <v>95</v>
      </c>
      <c r="AB625" s="4" t="s">
        <v>4289</v>
      </c>
    </row>
    <row r="626" spans="1:28">
      <c r="A626" s="4">
        <v>625</v>
      </c>
      <c r="B626" s="5">
        <v>11632504</v>
      </c>
      <c r="C626" s="5">
        <v>102865830</v>
      </c>
      <c r="D626" s="115" t="s">
        <v>462</v>
      </c>
      <c r="E626" s="4" t="s">
        <v>463</v>
      </c>
      <c r="F626" s="7" t="s">
        <v>82</v>
      </c>
      <c r="G626" s="7" t="s">
        <v>90</v>
      </c>
      <c r="H626" s="7" t="s">
        <v>87</v>
      </c>
      <c r="I626" s="6" t="s">
        <v>119</v>
      </c>
      <c r="J626" s="7" t="s">
        <v>5</v>
      </c>
      <c r="K626" s="4" t="s">
        <v>10</v>
      </c>
      <c r="L626" s="4" t="s">
        <v>21</v>
      </c>
      <c r="M626" s="4" t="s">
        <v>4314</v>
      </c>
      <c r="N626" s="4" t="s">
        <v>2583</v>
      </c>
      <c r="O626" s="89"/>
      <c r="P626" s="25">
        <v>43012</v>
      </c>
      <c r="Q626" s="7" t="s">
        <v>436</v>
      </c>
      <c r="R626" s="90" t="s">
        <v>2586</v>
      </c>
      <c r="S626" s="6" t="s">
        <v>1795</v>
      </c>
      <c r="T626" s="4" t="s">
        <v>81</v>
      </c>
      <c r="U626" s="4" t="s">
        <v>132</v>
      </c>
      <c r="V626" s="4">
        <v>1</v>
      </c>
      <c r="W626" s="85"/>
      <c r="X626" s="4" t="s">
        <v>3473</v>
      </c>
      <c r="Y626" s="4">
        <v>0</v>
      </c>
      <c r="Z626" s="4" t="e">
        <v>#N/A</v>
      </c>
      <c r="AA626" s="4" t="s">
        <v>1194</v>
      </c>
      <c r="AB626" s="4" t="s">
        <v>4289</v>
      </c>
    </row>
    <row r="627" spans="1:28">
      <c r="A627" s="4">
        <v>626</v>
      </c>
      <c r="B627" s="5">
        <v>293154</v>
      </c>
      <c r="C627" s="5">
        <v>111164491</v>
      </c>
      <c r="D627" s="115" t="s">
        <v>439</v>
      </c>
      <c r="E627" s="4" t="s">
        <v>440</v>
      </c>
      <c r="F627" s="7" t="s">
        <v>82</v>
      </c>
      <c r="G627" s="7" t="s">
        <v>94</v>
      </c>
      <c r="H627" s="7" t="s">
        <v>89</v>
      </c>
      <c r="I627" s="6" t="s">
        <v>119</v>
      </c>
      <c r="J627" s="7" t="s">
        <v>5</v>
      </c>
      <c r="K627" s="4" t="s">
        <v>10</v>
      </c>
      <c r="L627" s="4" t="s">
        <v>21</v>
      </c>
      <c r="M627" s="4" t="s">
        <v>3321</v>
      </c>
      <c r="N627" s="4" t="s">
        <v>2583</v>
      </c>
      <c r="O627" s="89"/>
      <c r="P627" s="25">
        <v>44797</v>
      </c>
      <c r="Q627" s="7" t="s">
        <v>1112</v>
      </c>
      <c r="R627" s="90" t="s">
        <v>3258</v>
      </c>
      <c r="S627" s="6" t="s">
        <v>1795</v>
      </c>
      <c r="T627" s="4" t="s">
        <v>81</v>
      </c>
      <c r="U627" s="4" t="s">
        <v>103</v>
      </c>
      <c r="V627" s="4">
        <v>1</v>
      </c>
      <c r="W627" s="85"/>
      <c r="X627" s="4" t="s">
        <v>3492</v>
      </c>
      <c r="Y627" s="4">
        <v>0</v>
      </c>
      <c r="Z627" s="4" t="e">
        <v>#N/A</v>
      </c>
      <c r="AA627" s="4" t="s">
        <v>1202</v>
      </c>
      <c r="AB627" s="4" t="s">
        <v>4289</v>
      </c>
    </row>
    <row r="628" spans="1:28">
      <c r="A628" s="4">
        <v>627</v>
      </c>
      <c r="B628" s="5">
        <v>11637656</v>
      </c>
      <c r="C628" s="5">
        <v>206239763</v>
      </c>
      <c r="D628" s="115" t="s">
        <v>3108</v>
      </c>
      <c r="E628" s="4" t="s">
        <v>3063</v>
      </c>
      <c r="F628" s="7" t="s">
        <v>74</v>
      </c>
      <c r="G628" s="7" t="s">
        <v>94</v>
      </c>
      <c r="H628" s="7" t="s">
        <v>89</v>
      </c>
      <c r="I628" s="6" t="s">
        <v>1788</v>
      </c>
      <c r="J628" s="7" t="s">
        <v>5</v>
      </c>
      <c r="K628" s="4" t="s">
        <v>10</v>
      </c>
      <c r="L628" s="4" t="s">
        <v>24</v>
      </c>
      <c r="M628" s="4" t="s">
        <v>4314</v>
      </c>
      <c r="N628" s="4" t="s">
        <v>2584</v>
      </c>
      <c r="O628" s="89"/>
      <c r="P628" s="25">
        <v>45943</v>
      </c>
      <c r="Q628" s="7" t="s">
        <v>1112</v>
      </c>
      <c r="R628" s="4" t="s">
        <v>3252</v>
      </c>
      <c r="S628" s="6" t="s">
        <v>3012</v>
      </c>
      <c r="T628" s="4" t="s">
        <v>92</v>
      </c>
      <c r="U628" s="4" t="s">
        <v>349</v>
      </c>
      <c r="V628" s="4">
        <v>99</v>
      </c>
      <c r="W628" s="85" t="s">
        <v>3072</v>
      </c>
      <c r="X628" s="4" t="s">
        <v>3690</v>
      </c>
      <c r="Y628" s="4">
        <v>567893122</v>
      </c>
      <c r="Z628" s="4" t="s">
        <v>3078</v>
      </c>
      <c r="AA628" s="4" t="s">
        <v>85</v>
      </c>
      <c r="AB628" s="4" t="s">
        <v>4289</v>
      </c>
    </row>
    <row r="629" spans="1:28">
      <c r="A629" s="4">
        <v>628</v>
      </c>
      <c r="B629" s="106">
        <v>778811</v>
      </c>
      <c r="C629" s="106">
        <v>204009672</v>
      </c>
      <c r="D629" s="5" t="s">
        <v>1399</v>
      </c>
      <c r="E629" s="115" t="s">
        <v>1400</v>
      </c>
      <c r="F629" s="7" t="s">
        <v>74</v>
      </c>
      <c r="G629" s="7" t="s">
        <v>76</v>
      </c>
      <c r="H629" s="7" t="s">
        <v>88</v>
      </c>
      <c r="I629" s="6" t="s">
        <v>1790</v>
      </c>
      <c r="J629" s="7" t="s">
        <v>5</v>
      </c>
      <c r="K629" s="4" t="s">
        <v>10</v>
      </c>
      <c r="L629" s="4" t="s">
        <v>22</v>
      </c>
      <c r="M629" s="4" t="s">
        <v>3615</v>
      </c>
      <c r="N629" s="4" t="s">
        <v>2584</v>
      </c>
      <c r="O629" s="25"/>
      <c r="P629" s="25">
        <v>45551</v>
      </c>
      <c r="Q629" s="7" t="s">
        <v>1112</v>
      </c>
      <c r="R629" s="6" t="s">
        <v>3261</v>
      </c>
      <c r="S629" s="6" t="s">
        <v>1795</v>
      </c>
      <c r="T629" s="6" t="s">
        <v>81</v>
      </c>
      <c r="U629" s="6" t="s">
        <v>103</v>
      </c>
      <c r="V629" s="4">
        <v>99</v>
      </c>
      <c r="W629" s="6">
        <v>45607</v>
      </c>
      <c r="X629" s="6" t="s">
        <v>1216</v>
      </c>
      <c r="Y629" s="4">
        <v>552745179</v>
      </c>
      <c r="Z629" s="6" t="s">
        <v>4329</v>
      </c>
      <c r="AA629" s="6" t="s">
        <v>1202</v>
      </c>
      <c r="AB629" s="4">
        <v>0</v>
      </c>
    </row>
    <row r="630" spans="1:28" ht="14.5" customHeight="1">
      <c r="A630" s="4">
        <v>629</v>
      </c>
      <c r="B630" s="5">
        <v>11417737</v>
      </c>
      <c r="C630" s="5">
        <v>206239523</v>
      </c>
      <c r="D630" s="115" t="s">
        <v>3089</v>
      </c>
      <c r="E630" s="4" t="s">
        <v>3090</v>
      </c>
      <c r="F630" s="7" t="s">
        <v>82</v>
      </c>
      <c r="G630" s="7" t="s">
        <v>89</v>
      </c>
      <c r="H630" s="7" t="s">
        <v>90</v>
      </c>
      <c r="I630" s="7" t="s">
        <v>1789</v>
      </c>
      <c r="J630" s="7" t="s">
        <v>5</v>
      </c>
      <c r="K630" s="4" t="s">
        <v>10</v>
      </c>
      <c r="L630" s="4" t="s">
        <v>23</v>
      </c>
      <c r="M630" s="4" t="s">
        <v>4361</v>
      </c>
      <c r="N630" s="4"/>
      <c r="O630" s="89"/>
      <c r="P630" s="25">
        <v>45943</v>
      </c>
      <c r="Q630" s="7" t="s">
        <v>1112</v>
      </c>
      <c r="R630" s="90" t="s">
        <v>3261</v>
      </c>
      <c r="S630" s="6" t="s">
        <v>1795</v>
      </c>
      <c r="T630" s="4" t="s">
        <v>92</v>
      </c>
      <c r="U630" s="4" t="s">
        <v>107</v>
      </c>
      <c r="V630" s="4">
        <v>99</v>
      </c>
      <c r="W630" s="85"/>
      <c r="X630" s="4"/>
      <c r="Y630" s="4"/>
      <c r="Z630" s="4"/>
      <c r="AA630" s="4" t="s">
        <v>1204</v>
      </c>
      <c r="AB630" s="4" t="s">
        <v>4289</v>
      </c>
    </row>
    <row r="631" spans="1:28">
      <c r="A631" s="4">
        <v>630</v>
      </c>
      <c r="B631" s="5">
        <v>13615463</v>
      </c>
      <c r="C631" s="5">
        <v>205846573</v>
      </c>
      <c r="D631" s="115" t="s">
        <v>2677</v>
      </c>
      <c r="E631" s="4" t="s">
        <v>2678</v>
      </c>
      <c r="F631" s="7" t="s">
        <v>82</v>
      </c>
      <c r="G631" s="7" t="s">
        <v>87</v>
      </c>
      <c r="H631" s="7" t="s">
        <v>75</v>
      </c>
      <c r="I631" s="7" t="s">
        <v>1789</v>
      </c>
      <c r="J631" s="7" t="s">
        <v>5</v>
      </c>
      <c r="K631" s="4" t="s">
        <v>10</v>
      </c>
      <c r="L631" s="4" t="s">
        <v>23</v>
      </c>
      <c r="M631" s="4" t="s">
        <v>374</v>
      </c>
      <c r="N631" s="4"/>
      <c r="O631" s="89"/>
      <c r="P631" s="25">
        <v>45894</v>
      </c>
      <c r="Q631" s="7" t="s">
        <v>1112</v>
      </c>
      <c r="R631" s="90" t="s">
        <v>3257</v>
      </c>
      <c r="S631" s="6" t="s">
        <v>1795</v>
      </c>
      <c r="T631" s="4" t="s">
        <v>92</v>
      </c>
      <c r="U631" s="4" t="s">
        <v>107</v>
      </c>
      <c r="V631" s="4">
        <v>99</v>
      </c>
      <c r="W631" s="85">
        <v>45949</v>
      </c>
      <c r="X631" s="4" t="s">
        <v>3527</v>
      </c>
      <c r="Y631" s="4">
        <v>583024293</v>
      </c>
      <c r="Z631" s="4" t="s">
        <v>2769</v>
      </c>
      <c r="AA631" s="4" t="s">
        <v>1204</v>
      </c>
      <c r="AB631" s="4" t="s">
        <v>4289</v>
      </c>
    </row>
    <row r="632" spans="1:28">
      <c r="A632" s="4">
        <v>631</v>
      </c>
      <c r="B632" s="5">
        <v>13048175</v>
      </c>
      <c r="C632" s="5">
        <v>206930130</v>
      </c>
      <c r="D632" s="115" t="s">
        <v>3927</v>
      </c>
      <c r="E632" s="4" t="s">
        <v>3928</v>
      </c>
      <c r="F632" s="7" t="s">
        <v>74</v>
      </c>
      <c r="G632" s="7" t="s">
        <v>88</v>
      </c>
      <c r="H632" s="7" t="s">
        <v>94</v>
      </c>
      <c r="I632" s="7" t="s">
        <v>1788</v>
      </c>
      <c r="J632" s="7" t="s">
        <v>5</v>
      </c>
      <c r="K632" s="7" t="s">
        <v>10</v>
      </c>
      <c r="L632" s="7" t="s">
        <v>23</v>
      </c>
      <c r="M632" s="7" t="s">
        <v>390</v>
      </c>
      <c r="N632" s="4" t="s">
        <v>2584</v>
      </c>
      <c r="O632" s="89"/>
      <c r="P632" s="25">
        <v>46037</v>
      </c>
      <c r="Q632" s="7" t="s">
        <v>1112</v>
      </c>
      <c r="R632" s="4" t="s">
        <v>3262</v>
      </c>
      <c r="S632" s="6" t="s">
        <v>1795</v>
      </c>
      <c r="T632" s="4" t="s">
        <v>92</v>
      </c>
      <c r="U632" s="4"/>
      <c r="V632" s="4">
        <v>99</v>
      </c>
      <c r="W632" s="4"/>
      <c r="X632" s="4" t="s">
        <v>3929</v>
      </c>
      <c r="Y632" s="4" t="s">
        <v>3930</v>
      </c>
      <c r="Z632" s="4" t="s">
        <v>3931</v>
      </c>
      <c r="AA632" s="4" t="s">
        <v>3911</v>
      </c>
      <c r="AB632" s="4" t="s">
        <v>4289</v>
      </c>
    </row>
    <row r="633" spans="1:28">
      <c r="A633" s="4">
        <v>632</v>
      </c>
      <c r="B633" s="5">
        <v>13898099</v>
      </c>
      <c r="C633" s="5">
        <v>204868506</v>
      </c>
      <c r="D633" s="115" t="s">
        <v>2493</v>
      </c>
      <c r="E633" s="4" t="s">
        <v>2494</v>
      </c>
      <c r="F633" s="7" t="s">
        <v>74</v>
      </c>
      <c r="G633" s="7" t="s">
        <v>89</v>
      </c>
      <c r="H633" s="7" t="s">
        <v>90</v>
      </c>
      <c r="I633" s="6" t="s">
        <v>1790</v>
      </c>
      <c r="J633" s="7" t="s">
        <v>5</v>
      </c>
      <c r="K633" s="4" t="s">
        <v>10</v>
      </c>
      <c r="L633" s="4" t="s">
        <v>22</v>
      </c>
      <c r="M633" s="4" t="s">
        <v>4314</v>
      </c>
      <c r="N633" s="4" t="s">
        <v>2584</v>
      </c>
      <c r="O633" s="89"/>
      <c r="P633" s="25">
        <v>45789</v>
      </c>
      <c r="Q633" s="7" t="s">
        <v>1112</v>
      </c>
      <c r="R633" s="90" t="s">
        <v>3255</v>
      </c>
      <c r="S633" s="6" t="s">
        <v>1795</v>
      </c>
      <c r="T633" s="4" t="s">
        <v>81</v>
      </c>
      <c r="U633" s="4" t="s">
        <v>349</v>
      </c>
      <c r="V633" s="4">
        <v>99</v>
      </c>
      <c r="W633" s="85">
        <v>45831</v>
      </c>
      <c r="X633" s="4" t="s">
        <v>1216</v>
      </c>
      <c r="Y633" s="4">
        <v>553720064</v>
      </c>
      <c r="Z633" s="4" t="s">
        <v>2512</v>
      </c>
      <c r="AA633" s="4" t="s">
        <v>85</v>
      </c>
      <c r="AB633" s="4" t="s">
        <v>4289</v>
      </c>
    </row>
    <row r="634" spans="1:28">
      <c r="A634" s="4">
        <v>633</v>
      </c>
      <c r="B634" s="5">
        <v>13939303</v>
      </c>
      <c r="C634" s="5">
        <v>206873782</v>
      </c>
      <c r="D634" s="115" t="s">
        <v>3620</v>
      </c>
      <c r="E634" s="4" t="s">
        <v>3641</v>
      </c>
      <c r="F634" s="7" t="s">
        <v>82</v>
      </c>
      <c r="G634" s="7" t="s">
        <v>90</v>
      </c>
      <c r="H634" s="7" t="s">
        <v>87</v>
      </c>
      <c r="I634" s="7" t="s">
        <v>1789</v>
      </c>
      <c r="J634" s="6" t="s">
        <v>5</v>
      </c>
      <c r="K634" s="6" t="s">
        <v>10</v>
      </c>
      <c r="L634" s="4" t="s">
        <v>22</v>
      </c>
      <c r="M634" s="4" t="s">
        <v>3321</v>
      </c>
      <c r="N634" s="4" t="s">
        <v>2584</v>
      </c>
      <c r="O634" s="89"/>
      <c r="P634" s="25">
        <v>46030</v>
      </c>
      <c r="Q634" s="7" t="s">
        <v>1112</v>
      </c>
      <c r="R634" s="4" t="s">
        <v>3260</v>
      </c>
      <c r="S634" s="6" t="s">
        <v>1795</v>
      </c>
      <c r="T634" s="4" t="s">
        <v>81</v>
      </c>
      <c r="U634" s="4"/>
      <c r="V634" s="4">
        <v>99</v>
      </c>
      <c r="W634" s="85">
        <v>46395</v>
      </c>
      <c r="X634" s="4" t="s">
        <v>3290</v>
      </c>
      <c r="Y634" s="4">
        <v>507955107</v>
      </c>
      <c r="Z634" s="4" t="s">
        <v>3663</v>
      </c>
      <c r="AA634" s="4" t="s">
        <v>3016</v>
      </c>
      <c r="AB634" s="4" t="e">
        <v>#N/A</v>
      </c>
    </row>
    <row r="635" spans="1:28">
      <c r="A635" s="4">
        <v>634</v>
      </c>
      <c r="B635" s="5">
        <v>11800551</v>
      </c>
      <c r="C635" s="5">
        <v>203341965</v>
      </c>
      <c r="D635" s="115" t="s">
        <v>399</v>
      </c>
      <c r="E635" s="4" t="s">
        <v>400</v>
      </c>
      <c r="F635" s="7" t="s">
        <v>82</v>
      </c>
      <c r="G635" s="7" t="s">
        <v>87</v>
      </c>
      <c r="H635" s="7" t="s">
        <v>75</v>
      </c>
      <c r="I635" s="6" t="s">
        <v>1790</v>
      </c>
      <c r="J635" s="7" t="s">
        <v>5</v>
      </c>
      <c r="K635" s="4" t="s">
        <v>10</v>
      </c>
      <c r="L635" s="4" t="s">
        <v>20</v>
      </c>
      <c r="M635" s="4" t="s">
        <v>4314</v>
      </c>
      <c r="N635" s="4" t="s">
        <v>2583</v>
      </c>
      <c r="O635" s="89"/>
      <c r="P635" s="25">
        <v>45432</v>
      </c>
      <c r="Q635" s="7" t="s">
        <v>351</v>
      </c>
      <c r="R635" s="90" t="s">
        <v>2586</v>
      </c>
      <c r="S635" s="6" t="s">
        <v>1795</v>
      </c>
      <c r="T635" s="4" t="s">
        <v>81</v>
      </c>
      <c r="U635" s="4" t="s">
        <v>103</v>
      </c>
      <c r="V635" s="4">
        <v>99</v>
      </c>
      <c r="W635" s="85">
        <v>46162</v>
      </c>
      <c r="X635" s="4" t="s">
        <v>3492</v>
      </c>
      <c r="Y635" s="4">
        <v>557646096</v>
      </c>
      <c r="Z635" s="4" t="s">
        <v>2026</v>
      </c>
      <c r="AA635" s="4" t="s">
        <v>1194</v>
      </c>
      <c r="AB635" s="4" t="s">
        <v>4289</v>
      </c>
    </row>
    <row r="636" spans="1:28" ht="14.5" customHeight="1">
      <c r="A636" s="4">
        <v>635</v>
      </c>
      <c r="B636" s="4">
        <v>11283043</v>
      </c>
      <c r="C636" s="5">
        <v>205252356</v>
      </c>
      <c r="D636" s="115" t="s">
        <v>4164</v>
      </c>
      <c r="E636" s="4" t="s">
        <v>4388</v>
      </c>
      <c r="F636" s="7" t="s">
        <v>82</v>
      </c>
      <c r="G636" s="7" t="s">
        <v>94</v>
      </c>
      <c r="H636" s="7" t="s">
        <v>89</v>
      </c>
      <c r="I636" s="4" t="s">
        <v>1789</v>
      </c>
      <c r="J636" s="4" t="s">
        <v>5</v>
      </c>
      <c r="K636" s="4" t="s">
        <v>10</v>
      </c>
      <c r="L636" s="4" t="s">
        <v>23</v>
      </c>
      <c r="M636" s="4" t="s">
        <v>4314</v>
      </c>
      <c r="N636" s="4"/>
      <c r="O636" s="4"/>
      <c r="P636" s="25">
        <v>46238</v>
      </c>
      <c r="Q636" s="4" t="s">
        <v>1112</v>
      </c>
      <c r="R636" s="4"/>
      <c r="S636" s="6" t="s">
        <v>1796</v>
      </c>
      <c r="T636" s="4" t="s">
        <v>92</v>
      </c>
      <c r="U636" s="4"/>
      <c r="V636" s="4">
        <v>99</v>
      </c>
      <c r="W636" s="4"/>
      <c r="X636" s="4"/>
      <c r="Y636" s="4"/>
      <c r="Z636" s="4"/>
      <c r="AA636" s="4"/>
      <c r="AB636" s="4"/>
    </row>
    <row r="637" spans="1:28">
      <c r="A637" s="4">
        <v>636</v>
      </c>
      <c r="B637" s="5">
        <v>14887573</v>
      </c>
      <c r="C637" s="5">
        <v>109808051</v>
      </c>
      <c r="D637" s="115" t="s">
        <v>456</v>
      </c>
      <c r="E637" s="4" t="s">
        <v>457</v>
      </c>
      <c r="F637" s="7" t="s">
        <v>74</v>
      </c>
      <c r="G637" s="7" t="s">
        <v>76</v>
      </c>
      <c r="H637" s="7" t="s">
        <v>88</v>
      </c>
      <c r="I637" s="6" t="s">
        <v>119</v>
      </c>
      <c r="J637" s="7" t="s">
        <v>5</v>
      </c>
      <c r="K637" s="4" t="s">
        <v>10</v>
      </c>
      <c r="L637" s="4" t="s">
        <v>21</v>
      </c>
      <c r="M637" s="4" t="s">
        <v>393</v>
      </c>
      <c r="N637" s="4" t="s">
        <v>2583</v>
      </c>
      <c r="O637" s="89"/>
      <c r="P637" s="25">
        <v>44875</v>
      </c>
      <c r="Q637" s="7" t="s">
        <v>436</v>
      </c>
      <c r="R637" s="90" t="s">
        <v>3254</v>
      </c>
      <c r="S637" s="6" t="s">
        <v>1795</v>
      </c>
      <c r="T637" s="4" t="s">
        <v>81</v>
      </c>
      <c r="U637" s="4" t="s">
        <v>132</v>
      </c>
      <c r="V637" s="4">
        <v>1</v>
      </c>
      <c r="W637" s="85"/>
      <c r="X637" s="4" t="s">
        <v>3474</v>
      </c>
      <c r="Y637" s="4">
        <v>0</v>
      </c>
      <c r="Z637" s="4" t="e">
        <v>#N/A</v>
      </c>
      <c r="AA637" s="4" t="s">
        <v>127</v>
      </c>
      <c r="AB637" s="4" t="s">
        <v>4290</v>
      </c>
    </row>
    <row r="638" spans="1:28">
      <c r="A638" s="4">
        <v>637</v>
      </c>
      <c r="B638" s="5">
        <v>163530</v>
      </c>
      <c r="C638" s="5">
        <v>203735959</v>
      </c>
      <c r="D638" s="115" t="s">
        <v>317</v>
      </c>
      <c r="E638" s="4" t="s">
        <v>318</v>
      </c>
      <c r="F638" s="7" t="s">
        <v>82</v>
      </c>
      <c r="G638" s="7" t="s">
        <v>89</v>
      </c>
      <c r="H638" s="7" t="s">
        <v>90</v>
      </c>
      <c r="I638" s="6" t="s">
        <v>1790</v>
      </c>
      <c r="J638" s="7" t="s">
        <v>5</v>
      </c>
      <c r="K638" s="4" t="s">
        <v>10</v>
      </c>
      <c r="L638" s="4" t="s">
        <v>22</v>
      </c>
      <c r="M638" s="4" t="s">
        <v>390</v>
      </c>
      <c r="N638" s="4" t="s">
        <v>2584</v>
      </c>
      <c r="O638" s="89"/>
      <c r="P638" s="25">
        <v>45502</v>
      </c>
      <c r="Q638" s="7" t="s">
        <v>1112</v>
      </c>
      <c r="R638" s="90" t="s">
        <v>3258</v>
      </c>
      <c r="S638" s="6" t="s">
        <v>1795</v>
      </c>
      <c r="T638" s="4" t="s">
        <v>81</v>
      </c>
      <c r="U638" s="4" t="s">
        <v>349</v>
      </c>
      <c r="V638" s="4">
        <v>99</v>
      </c>
      <c r="W638" s="85">
        <v>45558</v>
      </c>
      <c r="X638" s="4" t="s">
        <v>1216</v>
      </c>
      <c r="Y638" s="4">
        <v>554882941</v>
      </c>
      <c r="Z638" s="4" t="s">
        <v>2027</v>
      </c>
      <c r="AA638" s="4" t="s">
        <v>95</v>
      </c>
      <c r="AB638" s="4" t="s">
        <v>4289</v>
      </c>
    </row>
    <row r="639" spans="1:28">
      <c r="A639" s="4">
        <v>638</v>
      </c>
      <c r="B639" s="5">
        <v>12281800</v>
      </c>
      <c r="C639" s="5">
        <v>203964989</v>
      </c>
      <c r="D639" s="115" t="s">
        <v>1299</v>
      </c>
      <c r="E639" s="4" t="s">
        <v>1300</v>
      </c>
      <c r="F639" s="7" t="s">
        <v>74</v>
      </c>
      <c r="G639" s="7" t="s">
        <v>90</v>
      </c>
      <c r="H639" s="7" t="s">
        <v>87</v>
      </c>
      <c r="I639" s="6" t="s">
        <v>1790</v>
      </c>
      <c r="J639" s="7" t="s">
        <v>5</v>
      </c>
      <c r="K639" s="4" t="s">
        <v>10</v>
      </c>
      <c r="L639" s="4" t="s">
        <v>20</v>
      </c>
      <c r="M639" s="4" t="s">
        <v>3321</v>
      </c>
      <c r="N639" s="4" t="s">
        <v>2584</v>
      </c>
      <c r="O639" s="89"/>
      <c r="P639" s="25">
        <v>45544</v>
      </c>
      <c r="Q639" s="7" t="s">
        <v>1112</v>
      </c>
      <c r="R639" s="90" t="s">
        <v>3264</v>
      </c>
      <c r="S639" s="6" t="s">
        <v>1795</v>
      </c>
      <c r="T639" s="4" t="s">
        <v>81</v>
      </c>
      <c r="U639" s="4" t="s">
        <v>132</v>
      </c>
      <c r="V639" s="4">
        <v>99</v>
      </c>
      <c r="W639" s="85">
        <v>46274</v>
      </c>
      <c r="X639" s="4" t="s">
        <v>3473</v>
      </c>
      <c r="Y639" s="4">
        <v>551934876</v>
      </c>
      <c r="Z639" s="4" t="s">
        <v>2028</v>
      </c>
      <c r="AA639" s="4" t="s">
        <v>1194</v>
      </c>
      <c r="AB639" s="4" t="s">
        <v>4290</v>
      </c>
    </row>
    <row r="640" spans="1:28">
      <c r="A640" s="4">
        <v>639</v>
      </c>
      <c r="B640" s="5">
        <v>11663227</v>
      </c>
      <c r="C640" s="5">
        <v>203964995</v>
      </c>
      <c r="D640" s="115" t="s">
        <v>1295</v>
      </c>
      <c r="E640" s="4" t="s">
        <v>1296</v>
      </c>
      <c r="F640" s="7" t="s">
        <v>74</v>
      </c>
      <c r="G640" s="7" t="s">
        <v>94</v>
      </c>
      <c r="H640" s="7" t="s">
        <v>89</v>
      </c>
      <c r="I640" s="6" t="s">
        <v>1790</v>
      </c>
      <c r="J640" s="7" t="s">
        <v>5</v>
      </c>
      <c r="K640" s="4" t="s">
        <v>10</v>
      </c>
      <c r="L640" s="4" t="s">
        <v>20</v>
      </c>
      <c r="M640" s="4" t="s">
        <v>4314</v>
      </c>
      <c r="N640" s="4" t="s">
        <v>2584</v>
      </c>
      <c r="O640" s="89"/>
      <c r="P640" s="25">
        <v>45544</v>
      </c>
      <c r="Q640" s="7" t="s">
        <v>1112</v>
      </c>
      <c r="R640" s="90" t="s">
        <v>3257</v>
      </c>
      <c r="S640" s="6" t="s">
        <v>1795</v>
      </c>
      <c r="T640" s="4" t="s">
        <v>81</v>
      </c>
      <c r="U640" s="4" t="s">
        <v>103</v>
      </c>
      <c r="V640" s="4">
        <v>99</v>
      </c>
      <c r="W640" s="85">
        <v>46274</v>
      </c>
      <c r="X640" s="4" t="s">
        <v>3473</v>
      </c>
      <c r="Y640" s="4">
        <v>589499426</v>
      </c>
      <c r="Z640" s="4" t="s">
        <v>2029</v>
      </c>
      <c r="AA640" s="4" t="s">
        <v>1194</v>
      </c>
      <c r="AB640" s="4" t="s">
        <v>4289</v>
      </c>
    </row>
    <row r="641" spans="1:28" ht="14.5" customHeight="1">
      <c r="A641" s="4">
        <v>640</v>
      </c>
      <c r="B641" s="5">
        <v>13156980</v>
      </c>
      <c r="C641" s="5">
        <v>206850960</v>
      </c>
      <c r="D641" s="115" t="s">
        <v>3318</v>
      </c>
      <c r="E641" s="5" t="s">
        <v>3287</v>
      </c>
      <c r="F641" s="7" t="s">
        <v>74</v>
      </c>
      <c r="G641" s="7" t="s">
        <v>76</v>
      </c>
      <c r="H641" s="7" t="s">
        <v>88</v>
      </c>
      <c r="I641" s="7" t="s">
        <v>1789</v>
      </c>
      <c r="J641" s="7" t="s">
        <v>5</v>
      </c>
      <c r="K641" s="4" t="s">
        <v>10</v>
      </c>
      <c r="L641" s="5" t="s">
        <v>22</v>
      </c>
      <c r="M641" s="4" t="s">
        <v>4361</v>
      </c>
      <c r="N641" s="5" t="s">
        <v>3289</v>
      </c>
      <c r="O641" s="89"/>
      <c r="P641" s="25">
        <v>46013</v>
      </c>
      <c r="Q641" s="7" t="s">
        <v>1112</v>
      </c>
      <c r="R641" s="90" t="s">
        <v>3256</v>
      </c>
      <c r="S641" s="5" t="s">
        <v>1795</v>
      </c>
      <c r="T641" s="5" t="s">
        <v>81</v>
      </c>
      <c r="U641" s="5"/>
      <c r="V641" s="5">
        <v>99</v>
      </c>
      <c r="W641" s="91">
        <v>45648</v>
      </c>
      <c r="X641" s="5" t="s">
        <v>3290</v>
      </c>
      <c r="Y641" s="5">
        <v>507934315</v>
      </c>
      <c r="Z641" s="5" t="s">
        <v>3306</v>
      </c>
      <c r="AA641" s="4" t="s">
        <v>95</v>
      </c>
      <c r="AB641" s="4" t="s">
        <v>4290</v>
      </c>
    </row>
    <row r="642" spans="1:28">
      <c r="A642" s="4">
        <v>641</v>
      </c>
      <c r="B642" s="5">
        <v>14908701</v>
      </c>
      <c r="C642" s="5">
        <v>206199915</v>
      </c>
      <c r="D642" s="115" t="s">
        <v>2998</v>
      </c>
      <c r="E642" s="4" t="s">
        <v>2999</v>
      </c>
      <c r="F642" s="7" t="s">
        <v>74</v>
      </c>
      <c r="G642" s="7" t="s">
        <v>89</v>
      </c>
      <c r="H642" s="7" t="s">
        <v>90</v>
      </c>
      <c r="I642" s="6" t="s">
        <v>1788</v>
      </c>
      <c r="J642" s="7" t="s">
        <v>5</v>
      </c>
      <c r="K642" s="4" t="s">
        <v>10</v>
      </c>
      <c r="L642" s="4" t="s">
        <v>24</v>
      </c>
      <c r="M642" s="4" t="s">
        <v>4314</v>
      </c>
      <c r="N642" s="4" t="s">
        <v>2584</v>
      </c>
      <c r="O642" s="89"/>
      <c r="P642" s="25">
        <v>45936</v>
      </c>
      <c r="Q642" s="7" t="s">
        <v>1112</v>
      </c>
      <c r="R642" s="90" t="s">
        <v>3257</v>
      </c>
      <c r="S642" s="6" t="s">
        <v>3012</v>
      </c>
      <c r="T642" s="4" t="s">
        <v>81</v>
      </c>
      <c r="U642" s="4" t="s">
        <v>103</v>
      </c>
      <c r="V642" s="4">
        <v>99</v>
      </c>
      <c r="W642" s="85">
        <v>45996</v>
      </c>
      <c r="X642" s="4" t="s">
        <v>3657</v>
      </c>
      <c r="Y642" s="4">
        <v>522945540</v>
      </c>
      <c r="Z642" s="4" t="s">
        <v>3041</v>
      </c>
      <c r="AA642" s="4" t="s">
        <v>3015</v>
      </c>
      <c r="AB642" s="4" t="s">
        <v>4289</v>
      </c>
    </row>
    <row r="643" spans="1:28">
      <c r="A643" s="4">
        <v>642</v>
      </c>
      <c r="B643" s="5">
        <v>11474085</v>
      </c>
      <c r="C643" s="5">
        <v>204009348</v>
      </c>
      <c r="D643" s="115" t="s">
        <v>1393</v>
      </c>
      <c r="E643" s="4" t="s">
        <v>1394</v>
      </c>
      <c r="F643" s="7" t="s">
        <v>82</v>
      </c>
      <c r="G643" s="7" t="s">
        <v>75</v>
      </c>
      <c r="H643" s="7" t="s">
        <v>76</v>
      </c>
      <c r="I643" s="6" t="s">
        <v>1790</v>
      </c>
      <c r="J643" s="7" t="s">
        <v>5</v>
      </c>
      <c r="K643" s="4" t="s">
        <v>10</v>
      </c>
      <c r="L643" s="4" t="s">
        <v>22</v>
      </c>
      <c r="M643" s="4" t="s">
        <v>390</v>
      </c>
      <c r="N643" s="4" t="s">
        <v>2584</v>
      </c>
      <c r="O643" s="89"/>
      <c r="P643" s="25">
        <v>45551</v>
      </c>
      <c r="Q643" s="7" t="s">
        <v>1112</v>
      </c>
      <c r="R643" s="90" t="s">
        <v>3261</v>
      </c>
      <c r="S643" s="6" t="s">
        <v>1795</v>
      </c>
      <c r="T643" s="4" t="s">
        <v>81</v>
      </c>
      <c r="U643" s="4" t="s">
        <v>103</v>
      </c>
      <c r="V643" s="4">
        <v>99</v>
      </c>
      <c r="W643" s="85">
        <v>45607</v>
      </c>
      <c r="X643" s="4" t="s">
        <v>1216</v>
      </c>
      <c r="Y643" s="4">
        <v>503958246</v>
      </c>
      <c r="Z643" s="4" t="s">
        <v>2030</v>
      </c>
      <c r="AA643" s="4" t="s">
        <v>1202</v>
      </c>
      <c r="AB643" s="4" t="s">
        <v>4289</v>
      </c>
    </row>
    <row r="644" spans="1:28">
      <c r="A644" s="4">
        <v>643</v>
      </c>
      <c r="B644" s="5">
        <v>13205387</v>
      </c>
      <c r="C644" s="5">
        <v>203850997</v>
      </c>
      <c r="D644" s="115" t="s">
        <v>796</v>
      </c>
      <c r="E644" s="4" t="s">
        <v>797</v>
      </c>
      <c r="F644" s="7" t="s">
        <v>82</v>
      </c>
      <c r="G644" s="7" t="s">
        <v>75</v>
      </c>
      <c r="H644" s="7" t="s">
        <v>76</v>
      </c>
      <c r="I644" s="6" t="s">
        <v>1788</v>
      </c>
      <c r="J644" s="7" t="s">
        <v>5</v>
      </c>
      <c r="K644" s="4" t="s">
        <v>10</v>
      </c>
      <c r="L644" s="4" t="s">
        <v>24</v>
      </c>
      <c r="M644" s="4" t="s">
        <v>374</v>
      </c>
      <c r="N644" s="4" t="s">
        <v>2584</v>
      </c>
      <c r="O644" s="89"/>
      <c r="P644" s="25">
        <v>45524</v>
      </c>
      <c r="Q644" s="7" t="s">
        <v>1113</v>
      </c>
      <c r="R644" s="90" t="s">
        <v>3256</v>
      </c>
      <c r="S644" s="6" t="s">
        <v>1795</v>
      </c>
      <c r="T644" s="4" t="s">
        <v>81</v>
      </c>
      <c r="U644" s="4" t="s">
        <v>112</v>
      </c>
      <c r="V644" s="4">
        <v>99</v>
      </c>
      <c r="W644" s="85">
        <v>45889</v>
      </c>
      <c r="X644" s="4" t="s">
        <v>3688</v>
      </c>
      <c r="Y644" s="4">
        <v>559059175</v>
      </c>
      <c r="Z644" s="4" t="s">
        <v>2031</v>
      </c>
      <c r="AA644" s="4" t="s">
        <v>85</v>
      </c>
      <c r="AB644" s="4" t="s">
        <v>4289</v>
      </c>
    </row>
    <row r="645" spans="1:28">
      <c r="A645" s="4">
        <v>644</v>
      </c>
      <c r="B645" s="5">
        <v>12126391</v>
      </c>
      <c r="C645" s="5">
        <v>203965024</v>
      </c>
      <c r="D645" s="115" t="s">
        <v>1233</v>
      </c>
      <c r="E645" s="4" t="s">
        <v>1234</v>
      </c>
      <c r="F645" s="7" t="s">
        <v>74</v>
      </c>
      <c r="G645" s="7" t="s">
        <v>88</v>
      </c>
      <c r="H645" s="7" t="s">
        <v>94</v>
      </c>
      <c r="I645" s="6" t="s">
        <v>1790</v>
      </c>
      <c r="J645" s="7" t="s">
        <v>5</v>
      </c>
      <c r="K645" s="4" t="s">
        <v>10</v>
      </c>
      <c r="L645" s="4" t="s">
        <v>20</v>
      </c>
      <c r="M645" s="4" t="s">
        <v>3321</v>
      </c>
      <c r="N645" s="4" t="s">
        <v>2584</v>
      </c>
      <c r="O645" s="89"/>
      <c r="P645" s="25">
        <v>45544</v>
      </c>
      <c r="Q645" s="7" t="s">
        <v>1112</v>
      </c>
      <c r="R645" s="90" t="s">
        <v>3252</v>
      </c>
      <c r="S645" s="6" t="s">
        <v>1795</v>
      </c>
      <c r="T645" s="4" t="s">
        <v>81</v>
      </c>
      <c r="U645" s="4" t="s">
        <v>349</v>
      </c>
      <c r="V645" s="4">
        <v>99</v>
      </c>
      <c r="W645" s="85">
        <v>46274</v>
      </c>
      <c r="X645" s="4" t="s">
        <v>3703</v>
      </c>
      <c r="Y645" s="4">
        <v>504930321</v>
      </c>
      <c r="Z645" s="4" t="s">
        <v>2032</v>
      </c>
      <c r="AA645" s="4" t="s">
        <v>1211</v>
      </c>
      <c r="AB645" s="4" t="s">
        <v>4289</v>
      </c>
    </row>
    <row r="646" spans="1:28">
      <c r="A646" s="4">
        <v>645</v>
      </c>
      <c r="B646" s="5">
        <v>14662172</v>
      </c>
      <c r="C646" s="5">
        <v>203342030</v>
      </c>
      <c r="D646" s="115" t="s">
        <v>413</v>
      </c>
      <c r="E646" s="4" t="s">
        <v>414</v>
      </c>
      <c r="F646" s="7" t="s">
        <v>74</v>
      </c>
      <c r="G646" s="7" t="s">
        <v>88</v>
      </c>
      <c r="H646" s="7" t="s">
        <v>94</v>
      </c>
      <c r="I646" s="6" t="s">
        <v>1790</v>
      </c>
      <c r="J646" s="7" t="s">
        <v>5</v>
      </c>
      <c r="K646" s="4" t="s">
        <v>10</v>
      </c>
      <c r="L646" s="4" t="s">
        <v>20</v>
      </c>
      <c r="M646" s="4" t="s">
        <v>4314</v>
      </c>
      <c r="N646" s="4" t="s">
        <v>2583</v>
      </c>
      <c r="O646" s="89"/>
      <c r="P646" s="25">
        <v>45432</v>
      </c>
      <c r="Q646" s="7" t="s">
        <v>1113</v>
      </c>
      <c r="R646" s="90" t="s">
        <v>3252</v>
      </c>
      <c r="S646" s="6" t="s">
        <v>1795</v>
      </c>
      <c r="T646" s="4" t="s">
        <v>81</v>
      </c>
      <c r="U646" s="4" t="s">
        <v>107</v>
      </c>
      <c r="V646" s="4">
        <v>99</v>
      </c>
      <c r="W646" s="85">
        <v>46162</v>
      </c>
      <c r="X646" s="4" t="s">
        <v>3688</v>
      </c>
      <c r="Y646" s="4">
        <v>506845497</v>
      </c>
      <c r="Z646" s="4" t="s">
        <v>2033</v>
      </c>
      <c r="AA646" s="4" t="s">
        <v>1204</v>
      </c>
      <c r="AB646" s="4" t="s">
        <v>4289</v>
      </c>
    </row>
    <row r="647" spans="1:28" ht="14.5" customHeight="1">
      <c r="A647" s="4">
        <v>646</v>
      </c>
      <c r="B647" s="5">
        <v>72881</v>
      </c>
      <c r="C647" s="5">
        <v>204172225</v>
      </c>
      <c r="D647" s="115" t="s">
        <v>1602</v>
      </c>
      <c r="E647" s="4" t="s">
        <v>1603</v>
      </c>
      <c r="F647" s="7" t="s">
        <v>74</v>
      </c>
      <c r="G647" s="7" t="s">
        <v>87</v>
      </c>
      <c r="H647" s="7" t="s">
        <v>75</v>
      </c>
      <c r="I647" s="7" t="s">
        <v>1789</v>
      </c>
      <c r="J647" s="7" t="s">
        <v>5</v>
      </c>
      <c r="K647" s="4" t="s">
        <v>10</v>
      </c>
      <c r="L647" s="4" t="s">
        <v>22</v>
      </c>
      <c r="M647" s="4" t="s">
        <v>3321</v>
      </c>
      <c r="N647" s="4" t="s">
        <v>2584</v>
      </c>
      <c r="O647" s="89"/>
      <c r="P647" s="25">
        <v>45568</v>
      </c>
      <c r="Q647" s="7" t="s">
        <v>1112</v>
      </c>
      <c r="R647" s="90" t="s">
        <v>3254</v>
      </c>
      <c r="S647" s="6" t="s">
        <v>1795</v>
      </c>
      <c r="T647" s="4" t="s">
        <v>81</v>
      </c>
      <c r="U647" s="4" t="s">
        <v>349</v>
      </c>
      <c r="V647" s="4">
        <v>99</v>
      </c>
      <c r="W647" s="85">
        <v>45624</v>
      </c>
      <c r="X647" s="4" t="s">
        <v>1216</v>
      </c>
      <c r="Y647" s="4">
        <v>502172153</v>
      </c>
      <c r="Z647" s="4" t="s">
        <v>1614</v>
      </c>
      <c r="AA647" s="4" t="s">
        <v>95</v>
      </c>
      <c r="AB647" s="4" t="s">
        <v>4289</v>
      </c>
    </row>
    <row r="648" spans="1:28">
      <c r="A648" s="4">
        <v>647</v>
      </c>
      <c r="B648" s="5">
        <v>11434801</v>
      </c>
      <c r="C648" s="5">
        <v>206926474</v>
      </c>
      <c r="D648" s="115" t="s">
        <v>3949</v>
      </c>
      <c r="E648" s="4" t="s">
        <v>3950</v>
      </c>
      <c r="F648" s="7" t="s">
        <v>74</v>
      </c>
      <c r="G648" s="7" t="s">
        <v>76</v>
      </c>
      <c r="H648" s="7" t="s">
        <v>88</v>
      </c>
      <c r="I648" s="7" t="s">
        <v>1789</v>
      </c>
      <c r="J648" s="7" t="s">
        <v>5</v>
      </c>
      <c r="K648" s="7" t="s">
        <v>10</v>
      </c>
      <c r="L648" s="7" t="s">
        <v>22</v>
      </c>
      <c r="M648" s="7" t="s">
        <v>3321</v>
      </c>
      <c r="N648" s="4" t="s">
        <v>2584</v>
      </c>
      <c r="O648" s="89"/>
      <c r="P648" s="25">
        <v>46037</v>
      </c>
      <c r="Q648" s="7" t="s">
        <v>3940</v>
      </c>
      <c r="R648" s="4" t="s">
        <v>3261</v>
      </c>
      <c r="S648" s="6" t="s">
        <v>1795</v>
      </c>
      <c r="T648" s="4" t="s">
        <v>81</v>
      </c>
      <c r="U648" s="4"/>
      <c r="V648" s="4">
        <v>99</v>
      </c>
      <c r="W648" s="4"/>
      <c r="X648" s="4" t="s">
        <v>3290</v>
      </c>
      <c r="Y648" s="4">
        <v>503214754</v>
      </c>
      <c r="Z648" s="4" t="s">
        <v>3951</v>
      </c>
      <c r="AA648" s="4" t="s">
        <v>95</v>
      </c>
      <c r="AB648" s="4" t="e">
        <v>#N/A</v>
      </c>
    </row>
    <row r="649" spans="1:28">
      <c r="A649" s="4">
        <v>648</v>
      </c>
      <c r="B649" s="5">
        <v>12796138</v>
      </c>
      <c r="C649" s="5">
        <v>205236902</v>
      </c>
      <c r="D649" s="115" t="s">
        <v>2507</v>
      </c>
      <c r="E649" s="4" t="s">
        <v>2508</v>
      </c>
      <c r="F649" s="7" t="s">
        <v>82</v>
      </c>
      <c r="G649" s="7" t="s">
        <v>94</v>
      </c>
      <c r="H649" s="7" t="s">
        <v>89</v>
      </c>
      <c r="I649" s="6" t="s">
        <v>1790</v>
      </c>
      <c r="J649" s="7" t="s">
        <v>5</v>
      </c>
      <c r="K649" s="4" t="s">
        <v>10</v>
      </c>
      <c r="L649" s="4" t="s">
        <v>22</v>
      </c>
      <c r="M649" s="4" t="s">
        <v>374</v>
      </c>
      <c r="N649" s="4" t="s">
        <v>2584</v>
      </c>
      <c r="O649" s="89"/>
      <c r="P649" s="25">
        <v>45789</v>
      </c>
      <c r="Q649" s="7" t="s">
        <v>1112</v>
      </c>
      <c r="R649" s="90" t="s">
        <v>2586</v>
      </c>
      <c r="S649" s="6" t="s">
        <v>1795</v>
      </c>
      <c r="T649" s="4" t="s">
        <v>81</v>
      </c>
      <c r="U649" s="4" t="s">
        <v>103</v>
      </c>
      <c r="V649" s="4">
        <v>99</v>
      </c>
      <c r="W649" s="85">
        <v>45831</v>
      </c>
      <c r="X649" s="4" t="s">
        <v>1216</v>
      </c>
      <c r="Y649" s="4">
        <v>504519310</v>
      </c>
      <c r="Z649" s="4" t="s">
        <v>2514</v>
      </c>
      <c r="AA649" s="4" t="s">
        <v>85</v>
      </c>
      <c r="AB649" s="4" t="s">
        <v>4289</v>
      </c>
    </row>
    <row r="650" spans="1:28">
      <c r="A650" s="4">
        <v>649</v>
      </c>
      <c r="B650" s="5">
        <v>12782554</v>
      </c>
      <c r="C650" s="5">
        <v>204053434</v>
      </c>
      <c r="D650" s="115" t="s">
        <v>1476</v>
      </c>
      <c r="E650" s="4" t="s">
        <v>1452</v>
      </c>
      <c r="F650" s="7" t="s">
        <v>74</v>
      </c>
      <c r="G650" s="7" t="s">
        <v>76</v>
      </c>
      <c r="H650" s="7" t="s">
        <v>88</v>
      </c>
      <c r="I650" s="6" t="s">
        <v>1790</v>
      </c>
      <c r="J650" s="7" t="s">
        <v>5</v>
      </c>
      <c r="K650" s="4" t="s">
        <v>10</v>
      </c>
      <c r="L650" s="4" t="s">
        <v>20</v>
      </c>
      <c r="M650" s="4" t="s">
        <v>4361</v>
      </c>
      <c r="N650" s="4" t="s">
        <v>2584</v>
      </c>
      <c r="O650" s="89"/>
      <c r="P650" s="25">
        <v>45558</v>
      </c>
      <c r="Q650" s="7" t="s">
        <v>1192</v>
      </c>
      <c r="R650" s="90" t="s">
        <v>3254</v>
      </c>
      <c r="S650" s="6" t="s">
        <v>1795</v>
      </c>
      <c r="T650" s="4" t="s">
        <v>81</v>
      </c>
      <c r="U650" s="4" t="s">
        <v>107</v>
      </c>
      <c r="V650" s="4">
        <v>99</v>
      </c>
      <c r="W650" s="85">
        <v>46288</v>
      </c>
      <c r="X650" s="4" t="s">
        <v>1197</v>
      </c>
      <c r="Y650" s="4">
        <v>522849208</v>
      </c>
      <c r="Z650" s="4" t="s">
        <v>2034</v>
      </c>
      <c r="AA650" s="4" t="s">
        <v>1194</v>
      </c>
      <c r="AB650" s="4" t="s">
        <v>4290</v>
      </c>
    </row>
    <row r="651" spans="1:28">
      <c r="A651" s="4">
        <v>650</v>
      </c>
      <c r="B651" s="5">
        <v>12569522</v>
      </c>
      <c r="C651" s="5">
        <v>205236897</v>
      </c>
      <c r="D651" s="115" t="s">
        <v>2505</v>
      </c>
      <c r="E651" s="4" t="s">
        <v>2506</v>
      </c>
      <c r="F651" s="7" t="s">
        <v>82</v>
      </c>
      <c r="G651" s="7" t="s">
        <v>75</v>
      </c>
      <c r="H651" s="7" t="s">
        <v>76</v>
      </c>
      <c r="I651" s="6" t="s">
        <v>1790</v>
      </c>
      <c r="J651" s="7" t="s">
        <v>5</v>
      </c>
      <c r="K651" s="4" t="s">
        <v>10</v>
      </c>
      <c r="L651" s="4" t="s">
        <v>22</v>
      </c>
      <c r="M651" s="4" t="s">
        <v>374</v>
      </c>
      <c r="N651" s="4" t="s">
        <v>2584</v>
      </c>
      <c r="O651" s="89"/>
      <c r="P651" s="25">
        <v>45789</v>
      </c>
      <c r="Q651" s="7" t="s">
        <v>1112</v>
      </c>
      <c r="R651" s="90" t="s">
        <v>3255</v>
      </c>
      <c r="S651" s="6" t="s">
        <v>1795</v>
      </c>
      <c r="T651" s="4" t="s">
        <v>81</v>
      </c>
      <c r="U651" s="4" t="s">
        <v>112</v>
      </c>
      <c r="V651" s="4">
        <v>99</v>
      </c>
      <c r="W651" s="85">
        <v>45831</v>
      </c>
      <c r="X651" s="4" t="s">
        <v>1216</v>
      </c>
      <c r="Y651" s="4">
        <v>506893527</v>
      </c>
      <c r="Z651" s="4" t="s">
        <v>2513</v>
      </c>
      <c r="AA651" s="4" t="s">
        <v>85</v>
      </c>
      <c r="AB651" s="4" t="s">
        <v>4289</v>
      </c>
    </row>
    <row r="652" spans="1:28">
      <c r="A652" s="4">
        <v>651</v>
      </c>
      <c r="B652" s="5">
        <v>11136294</v>
      </c>
      <c r="C652" s="5">
        <v>204013688</v>
      </c>
      <c r="D652" s="115" t="s">
        <v>1407</v>
      </c>
      <c r="E652" s="4" t="s">
        <v>1408</v>
      </c>
      <c r="F652" s="7" t="s">
        <v>82</v>
      </c>
      <c r="G652" s="7" t="s">
        <v>75</v>
      </c>
      <c r="H652" s="7" t="s">
        <v>76</v>
      </c>
      <c r="I652" s="6" t="s">
        <v>1788</v>
      </c>
      <c r="J652" s="7" t="s">
        <v>5</v>
      </c>
      <c r="K652" s="4" t="s">
        <v>10</v>
      </c>
      <c r="L652" s="4" t="s">
        <v>24</v>
      </c>
      <c r="M652" s="4" t="s">
        <v>390</v>
      </c>
      <c r="N652" s="4" t="s">
        <v>2584</v>
      </c>
      <c r="O652" s="89"/>
      <c r="P652" s="25">
        <v>45551</v>
      </c>
      <c r="Q652" s="7" t="s">
        <v>1112</v>
      </c>
      <c r="R652" s="90" t="s">
        <v>3257</v>
      </c>
      <c r="S652" s="6" t="s">
        <v>1795</v>
      </c>
      <c r="T652" s="4" t="s">
        <v>81</v>
      </c>
      <c r="U652" s="4" t="s">
        <v>3263</v>
      </c>
      <c r="V652" s="4">
        <v>99</v>
      </c>
      <c r="W652" s="85">
        <v>45916</v>
      </c>
      <c r="X652" s="4" t="s">
        <v>3690</v>
      </c>
      <c r="Y652" s="4">
        <v>525759499</v>
      </c>
      <c r="Z652" s="4" t="s">
        <v>1430</v>
      </c>
      <c r="AA652" s="4" t="s">
        <v>1578</v>
      </c>
      <c r="AB652" s="4" t="s">
        <v>4289</v>
      </c>
    </row>
    <row r="653" spans="1:28">
      <c r="A653" s="4">
        <v>652</v>
      </c>
      <c r="B653" s="5">
        <v>13701673</v>
      </c>
      <c r="C653" s="5">
        <v>206897553</v>
      </c>
      <c r="D653" s="115" t="s">
        <v>3636</v>
      </c>
      <c r="E653" s="4" t="s">
        <v>3656</v>
      </c>
      <c r="F653" s="7" t="s">
        <v>82</v>
      </c>
      <c r="G653" s="7" t="s">
        <v>88</v>
      </c>
      <c r="H653" s="7" t="s">
        <v>94</v>
      </c>
      <c r="I653" s="7" t="s">
        <v>1788</v>
      </c>
      <c r="J653" s="6" t="s">
        <v>5</v>
      </c>
      <c r="K653" s="6" t="s">
        <v>10</v>
      </c>
      <c r="L653" s="4" t="s">
        <v>24</v>
      </c>
      <c r="M653" s="4" t="s">
        <v>4314</v>
      </c>
      <c r="N653" s="4" t="s">
        <v>2584</v>
      </c>
      <c r="O653" s="89"/>
      <c r="P653" s="25">
        <v>46030</v>
      </c>
      <c r="Q653" s="7" t="s">
        <v>1113</v>
      </c>
      <c r="R653" s="4" t="s">
        <v>3252</v>
      </c>
      <c r="S653" s="6" t="s">
        <v>1795</v>
      </c>
      <c r="T653" s="4" t="s">
        <v>92</v>
      </c>
      <c r="U653" s="4"/>
      <c r="V653" s="4">
        <v>99</v>
      </c>
      <c r="W653" s="85">
        <v>46395</v>
      </c>
      <c r="X653" s="4" t="s">
        <v>3690</v>
      </c>
      <c r="Y653" s="4">
        <v>554761928</v>
      </c>
      <c r="Z653" s="4" t="s">
        <v>3674</v>
      </c>
      <c r="AA653" s="4"/>
      <c r="AB653" s="4" t="e">
        <v>#N/A</v>
      </c>
    </row>
    <row r="654" spans="1:28" ht="14.5" customHeight="1">
      <c r="A654" s="4">
        <v>653</v>
      </c>
      <c r="B654" s="5">
        <v>12942869</v>
      </c>
      <c r="C654" s="5">
        <v>205854273</v>
      </c>
      <c r="D654" s="115" t="s">
        <v>2687</v>
      </c>
      <c r="E654" s="4" t="s">
        <v>2688</v>
      </c>
      <c r="F654" s="7" t="s">
        <v>74</v>
      </c>
      <c r="G654" s="7" t="s">
        <v>89</v>
      </c>
      <c r="H654" s="7" t="s">
        <v>90</v>
      </c>
      <c r="I654" s="7" t="s">
        <v>1788</v>
      </c>
      <c r="J654" s="7" t="s">
        <v>5</v>
      </c>
      <c r="K654" s="4" t="s">
        <v>10</v>
      </c>
      <c r="L654" s="4" t="s">
        <v>23</v>
      </c>
      <c r="M654" s="4" t="s">
        <v>374</v>
      </c>
      <c r="N654" s="4"/>
      <c r="O654" s="89"/>
      <c r="P654" s="25">
        <v>45894</v>
      </c>
      <c r="Q654" s="7" t="s">
        <v>1112</v>
      </c>
      <c r="R654" s="90" t="s">
        <v>3257</v>
      </c>
      <c r="S654" s="6" t="s">
        <v>1795</v>
      </c>
      <c r="T654" s="4" t="s">
        <v>92</v>
      </c>
      <c r="U654" s="4" t="s">
        <v>107</v>
      </c>
      <c r="V654" s="4">
        <v>99</v>
      </c>
      <c r="W654" s="85">
        <v>45949</v>
      </c>
      <c r="X654" s="4" t="s">
        <v>3527</v>
      </c>
      <c r="Y654" s="4">
        <v>569087361</v>
      </c>
      <c r="Z654" s="4" t="s">
        <v>2772</v>
      </c>
      <c r="AA654" s="4" t="s">
        <v>95</v>
      </c>
      <c r="AB654" s="4" t="s">
        <v>4289</v>
      </c>
    </row>
    <row r="655" spans="1:28">
      <c r="A655" s="4">
        <v>654</v>
      </c>
      <c r="B655" s="5">
        <v>11800463</v>
      </c>
      <c r="C655" s="5">
        <v>206926475</v>
      </c>
      <c r="D655" s="115" t="s">
        <v>3943</v>
      </c>
      <c r="E655" s="4" t="s">
        <v>3944</v>
      </c>
      <c r="F655" s="7" t="s">
        <v>74</v>
      </c>
      <c r="G655" s="7" t="s">
        <v>94</v>
      </c>
      <c r="H655" s="7" t="s">
        <v>89</v>
      </c>
      <c r="I655" s="7" t="s">
        <v>1789</v>
      </c>
      <c r="J655" s="7" t="s">
        <v>5</v>
      </c>
      <c r="K655" s="7" t="s">
        <v>10</v>
      </c>
      <c r="L655" s="7" t="s">
        <v>22</v>
      </c>
      <c r="M655" s="4" t="s">
        <v>2741</v>
      </c>
      <c r="N655" s="4" t="s">
        <v>2584</v>
      </c>
      <c r="O655" s="89"/>
      <c r="P655" s="25">
        <v>46037</v>
      </c>
      <c r="Q655" s="7" t="s">
        <v>3940</v>
      </c>
      <c r="R655" s="90" t="s">
        <v>3256</v>
      </c>
      <c r="S655" s="6" t="s">
        <v>1795</v>
      </c>
      <c r="T655" s="4" t="s">
        <v>81</v>
      </c>
      <c r="U655" s="4"/>
      <c r="V655" s="4">
        <v>99</v>
      </c>
      <c r="W655" s="4"/>
      <c r="X655" s="4" t="s">
        <v>3290</v>
      </c>
      <c r="Y655" s="4">
        <v>598789856</v>
      </c>
      <c r="Z655" s="4" t="s">
        <v>3945</v>
      </c>
      <c r="AA655" s="4" t="s">
        <v>95</v>
      </c>
      <c r="AB655" s="4" t="e">
        <v>#N/A</v>
      </c>
    </row>
    <row r="656" spans="1:28">
      <c r="A656" s="4">
        <v>655</v>
      </c>
      <c r="B656" s="5">
        <v>11318087</v>
      </c>
      <c r="C656" s="5">
        <v>206128846</v>
      </c>
      <c r="D656" s="115" t="s">
        <v>2923</v>
      </c>
      <c r="E656" s="4" t="s">
        <v>2924</v>
      </c>
      <c r="F656" s="7" t="s">
        <v>74</v>
      </c>
      <c r="G656" s="7" t="s">
        <v>89</v>
      </c>
      <c r="H656" s="7" t="s">
        <v>90</v>
      </c>
      <c r="I656" s="7" t="s">
        <v>1788</v>
      </c>
      <c r="J656" s="7" t="s">
        <v>5</v>
      </c>
      <c r="K656" s="4" t="s">
        <v>10</v>
      </c>
      <c r="L656" s="4" t="s">
        <v>24</v>
      </c>
      <c r="M656" s="4" t="s">
        <v>393</v>
      </c>
      <c r="N656" s="4"/>
      <c r="O656" s="89"/>
      <c r="P656" s="25">
        <v>45929</v>
      </c>
      <c r="Q656" s="7" t="s">
        <v>1112</v>
      </c>
      <c r="R656" s="4" t="s">
        <v>3252</v>
      </c>
      <c r="S656" s="6" t="s">
        <v>1795</v>
      </c>
      <c r="T656" s="4" t="s">
        <v>81</v>
      </c>
      <c r="U656" s="4" t="s">
        <v>349</v>
      </c>
      <c r="V656" s="4">
        <v>99</v>
      </c>
      <c r="W656" s="85"/>
      <c r="X656" s="4"/>
      <c r="Y656" s="4"/>
      <c r="Z656" s="4"/>
      <c r="AA656" s="4" t="s">
        <v>1196</v>
      </c>
      <c r="AB656" s="4" t="s">
        <v>4289</v>
      </c>
    </row>
    <row r="657" spans="1:28">
      <c r="A657" s="4">
        <v>656</v>
      </c>
      <c r="B657" s="5">
        <v>13139454</v>
      </c>
      <c r="C657" s="5">
        <v>204013691</v>
      </c>
      <c r="D657" s="115" t="s">
        <v>1409</v>
      </c>
      <c r="E657" s="4" t="s">
        <v>1410</v>
      </c>
      <c r="F657" s="7" t="s">
        <v>82</v>
      </c>
      <c r="G657" s="7" t="s">
        <v>87</v>
      </c>
      <c r="H657" s="7" t="s">
        <v>75</v>
      </c>
      <c r="I657" s="6" t="s">
        <v>1788</v>
      </c>
      <c r="J657" s="7" t="s">
        <v>5</v>
      </c>
      <c r="K657" s="4" t="s">
        <v>10</v>
      </c>
      <c r="L657" s="4" t="s">
        <v>24</v>
      </c>
      <c r="M657" s="4" t="s">
        <v>374</v>
      </c>
      <c r="N657" s="4" t="s">
        <v>2584</v>
      </c>
      <c r="O657" s="89"/>
      <c r="P657" s="25">
        <v>45551</v>
      </c>
      <c r="Q657" s="7" t="s">
        <v>1112</v>
      </c>
      <c r="R657" s="90" t="s">
        <v>3252</v>
      </c>
      <c r="S657" s="6" t="s">
        <v>1795</v>
      </c>
      <c r="T657" s="4" t="s">
        <v>81</v>
      </c>
      <c r="U657" s="4" t="s">
        <v>107</v>
      </c>
      <c r="V657" s="4">
        <v>99</v>
      </c>
      <c r="W657" s="85">
        <v>45916</v>
      </c>
      <c r="X657" s="4" t="s">
        <v>3690</v>
      </c>
      <c r="Y657" s="4">
        <v>543207324</v>
      </c>
      <c r="Z657" s="4" t="s">
        <v>1431</v>
      </c>
      <c r="AA657" s="4" t="s">
        <v>1207</v>
      </c>
      <c r="AB657" s="4" t="s">
        <v>4289</v>
      </c>
    </row>
    <row r="658" spans="1:28">
      <c r="A658" s="4">
        <v>657</v>
      </c>
      <c r="B658" s="106">
        <v>14008973</v>
      </c>
      <c r="C658" s="106">
        <v>205848051</v>
      </c>
      <c r="D658" s="5" t="s">
        <v>2679</v>
      </c>
      <c r="E658" s="115" t="s">
        <v>2680</v>
      </c>
      <c r="F658" s="7" t="s">
        <v>82</v>
      </c>
      <c r="G658" s="7" t="s">
        <v>89</v>
      </c>
      <c r="H658" s="7" t="s">
        <v>90</v>
      </c>
      <c r="I658" s="7" t="s">
        <v>1789</v>
      </c>
      <c r="J658" s="7" t="s">
        <v>5</v>
      </c>
      <c r="K658" s="4" t="s">
        <v>10</v>
      </c>
      <c r="L658" s="4" t="s">
        <v>23</v>
      </c>
      <c r="M658" s="4" t="s">
        <v>2676</v>
      </c>
      <c r="N658" s="4"/>
      <c r="O658" s="25"/>
      <c r="P658" s="25">
        <v>45894</v>
      </c>
      <c r="Q658" s="7" t="s">
        <v>1112</v>
      </c>
      <c r="R658" s="6" t="s">
        <v>3257</v>
      </c>
      <c r="S658" s="6" t="s">
        <v>1795</v>
      </c>
      <c r="T658" s="6" t="s">
        <v>81</v>
      </c>
      <c r="U658" s="6" t="s">
        <v>349</v>
      </c>
      <c r="V658" s="4">
        <v>99</v>
      </c>
      <c r="W658" s="6">
        <v>45949</v>
      </c>
      <c r="X658" s="6" t="s">
        <v>3523</v>
      </c>
      <c r="Y658" s="4">
        <v>522453480</v>
      </c>
      <c r="Z658" s="6" t="s">
        <v>4330</v>
      </c>
      <c r="AA658" s="6" t="s">
        <v>85</v>
      </c>
      <c r="AB658" s="4">
        <v>0</v>
      </c>
    </row>
    <row r="659" spans="1:28">
      <c r="A659" s="4">
        <v>658</v>
      </c>
      <c r="B659" s="5">
        <v>14718114</v>
      </c>
      <c r="C659" s="5">
        <v>203908868</v>
      </c>
      <c r="D659" s="115" t="s">
        <v>1121</v>
      </c>
      <c r="E659" s="4" t="s">
        <v>1122</v>
      </c>
      <c r="F659" s="7" t="s">
        <v>82</v>
      </c>
      <c r="G659" s="7" t="s">
        <v>89</v>
      </c>
      <c r="H659" s="7" t="s">
        <v>90</v>
      </c>
      <c r="I659" s="6" t="s">
        <v>1788</v>
      </c>
      <c r="J659" s="7" t="s">
        <v>5</v>
      </c>
      <c r="K659" s="4" t="s">
        <v>10</v>
      </c>
      <c r="L659" s="4" t="s">
        <v>24</v>
      </c>
      <c r="M659" s="4" t="s">
        <v>374</v>
      </c>
      <c r="N659" s="4" t="s">
        <v>2584</v>
      </c>
      <c r="O659" s="89"/>
      <c r="P659" s="25">
        <v>45537</v>
      </c>
      <c r="Q659" s="7" t="s">
        <v>1112</v>
      </c>
      <c r="R659" s="90" t="s">
        <v>3264</v>
      </c>
      <c r="S659" s="6" t="s">
        <v>1795</v>
      </c>
      <c r="T659" s="4" t="s">
        <v>81</v>
      </c>
      <c r="U659" s="4" t="s">
        <v>112</v>
      </c>
      <c r="V659" s="4">
        <v>99</v>
      </c>
      <c r="W659" s="85">
        <v>45902</v>
      </c>
      <c r="X659" s="4" t="s">
        <v>3694</v>
      </c>
      <c r="Y659" s="4">
        <v>521141784</v>
      </c>
      <c r="Z659" s="4" t="s">
        <v>2035</v>
      </c>
      <c r="AA659" s="4" t="s">
        <v>85</v>
      </c>
      <c r="AB659" s="4" t="s">
        <v>4289</v>
      </c>
    </row>
    <row r="660" spans="1:28">
      <c r="A660" s="4">
        <v>659</v>
      </c>
      <c r="B660" s="5">
        <v>12726194</v>
      </c>
      <c r="C660" s="5">
        <v>206072090</v>
      </c>
      <c r="D660" s="115" t="s">
        <v>2878</v>
      </c>
      <c r="E660" s="4" t="s">
        <v>2899</v>
      </c>
      <c r="F660" s="7" t="s">
        <v>74</v>
      </c>
      <c r="G660" s="7" t="s">
        <v>76</v>
      </c>
      <c r="H660" s="7" t="s">
        <v>88</v>
      </c>
      <c r="I660" s="6" t="s">
        <v>1788</v>
      </c>
      <c r="J660" s="7" t="s">
        <v>5</v>
      </c>
      <c r="K660" s="4" t="s">
        <v>10</v>
      </c>
      <c r="L660" s="4" t="s">
        <v>24</v>
      </c>
      <c r="M660" s="4" t="s">
        <v>3321</v>
      </c>
      <c r="N660" s="4" t="s">
        <v>2584</v>
      </c>
      <c r="O660" s="89"/>
      <c r="P660" s="25">
        <v>45922</v>
      </c>
      <c r="Q660" s="7" t="s">
        <v>1112</v>
      </c>
      <c r="R660" s="90" t="s">
        <v>3254</v>
      </c>
      <c r="S660" s="6" t="s">
        <v>1795</v>
      </c>
      <c r="T660" s="4" t="s">
        <v>81</v>
      </c>
      <c r="U660" s="4" t="s">
        <v>349</v>
      </c>
      <c r="V660" s="4">
        <v>99</v>
      </c>
      <c r="W660" s="85">
        <v>45983</v>
      </c>
      <c r="X660" s="4" t="s">
        <v>3473</v>
      </c>
      <c r="Y660" s="4"/>
      <c r="Z660" s="4"/>
      <c r="AA660" s="4" t="s">
        <v>85</v>
      </c>
      <c r="AB660" s="4" t="s">
        <v>4289</v>
      </c>
    </row>
    <row r="661" spans="1:28">
      <c r="A661" s="4">
        <v>660</v>
      </c>
      <c r="B661" s="5">
        <v>12064240</v>
      </c>
      <c r="C661" s="5">
        <v>203965180</v>
      </c>
      <c r="D661" s="115" t="s">
        <v>1245</v>
      </c>
      <c r="E661" s="4" t="s">
        <v>1246</v>
      </c>
      <c r="F661" s="7" t="s">
        <v>82</v>
      </c>
      <c r="G661" s="7" t="s">
        <v>87</v>
      </c>
      <c r="H661" s="7" t="s">
        <v>75</v>
      </c>
      <c r="I661" s="6" t="s">
        <v>1788</v>
      </c>
      <c r="J661" s="7" t="s">
        <v>5</v>
      </c>
      <c r="K661" s="4" t="s">
        <v>10</v>
      </c>
      <c r="L661" s="4" t="s">
        <v>24</v>
      </c>
      <c r="M661" s="4" t="s">
        <v>374</v>
      </c>
      <c r="N661" s="4" t="s">
        <v>2584</v>
      </c>
      <c r="O661" s="89"/>
      <c r="P661" s="25">
        <v>45544</v>
      </c>
      <c r="Q661" s="7" t="s">
        <v>1112</v>
      </c>
      <c r="R661" s="90" t="s">
        <v>3260</v>
      </c>
      <c r="S661" s="6" t="s">
        <v>1795</v>
      </c>
      <c r="T661" s="4" t="s">
        <v>81</v>
      </c>
      <c r="U661" s="4" t="s">
        <v>107</v>
      </c>
      <c r="V661" s="4">
        <v>99</v>
      </c>
      <c r="W661" s="85">
        <v>46274</v>
      </c>
      <c r="X661" s="4" t="s">
        <v>3696</v>
      </c>
      <c r="Y661" s="4">
        <v>523077194</v>
      </c>
      <c r="Z661" s="4" t="s">
        <v>2036</v>
      </c>
      <c r="AA661" s="4" t="s">
        <v>85</v>
      </c>
      <c r="AB661" s="4" t="s">
        <v>4289</v>
      </c>
    </row>
    <row r="662" spans="1:28">
      <c r="A662" s="4">
        <v>661</v>
      </c>
      <c r="B662" s="5">
        <v>11160633</v>
      </c>
      <c r="C662" s="5">
        <v>201161555</v>
      </c>
      <c r="D662" s="115" t="s">
        <v>1702</v>
      </c>
      <c r="E662" s="4" t="s">
        <v>1675</v>
      </c>
      <c r="F662" s="7" t="s">
        <v>74</v>
      </c>
      <c r="G662" s="7" t="s">
        <v>90</v>
      </c>
      <c r="H662" s="7" t="s">
        <v>87</v>
      </c>
      <c r="I662" s="6" t="s">
        <v>1790</v>
      </c>
      <c r="J662" s="7" t="s">
        <v>5</v>
      </c>
      <c r="K662" s="4" t="s">
        <v>10</v>
      </c>
      <c r="L662" s="4" t="s">
        <v>27</v>
      </c>
      <c r="M662" s="4" t="s">
        <v>374</v>
      </c>
      <c r="N662" s="4" t="s">
        <v>2584</v>
      </c>
      <c r="O662" s="89"/>
      <c r="P662" s="25">
        <v>45586</v>
      </c>
      <c r="Q662" s="7" t="s">
        <v>1113</v>
      </c>
      <c r="R662" s="90" t="s">
        <v>3264</v>
      </c>
      <c r="S662" s="6" t="s">
        <v>1795</v>
      </c>
      <c r="T662" s="4" t="s">
        <v>81</v>
      </c>
      <c r="U662" s="4" t="s">
        <v>107</v>
      </c>
      <c r="V662" s="4">
        <v>99</v>
      </c>
      <c r="W662" s="85">
        <v>46316</v>
      </c>
      <c r="X662" s="4" t="s">
        <v>3752</v>
      </c>
      <c r="Y662" s="4">
        <v>555580211</v>
      </c>
      <c r="Z662" s="4">
        <v>0</v>
      </c>
      <c r="AA662" s="4" t="s">
        <v>85</v>
      </c>
      <c r="AB662" s="4" t="s">
        <v>4289</v>
      </c>
    </row>
    <row r="663" spans="1:28">
      <c r="A663" s="4">
        <v>662</v>
      </c>
      <c r="B663" s="5">
        <v>13753395</v>
      </c>
      <c r="C663" s="5">
        <v>204117188</v>
      </c>
      <c r="D663" s="115" t="s">
        <v>1484</v>
      </c>
      <c r="E663" s="4" t="s">
        <v>1485</v>
      </c>
      <c r="F663" s="7" t="s">
        <v>74</v>
      </c>
      <c r="G663" s="7" t="s">
        <v>87</v>
      </c>
      <c r="H663" s="7" t="s">
        <v>75</v>
      </c>
      <c r="I663" s="6" t="s">
        <v>1790</v>
      </c>
      <c r="J663" s="7" t="s">
        <v>5</v>
      </c>
      <c r="K663" s="4" t="s">
        <v>10</v>
      </c>
      <c r="L663" s="4" t="s">
        <v>27</v>
      </c>
      <c r="M663" s="4" t="s">
        <v>390</v>
      </c>
      <c r="N663" s="4" t="s">
        <v>2584</v>
      </c>
      <c r="O663" s="89"/>
      <c r="P663" s="25">
        <v>45561</v>
      </c>
      <c r="Q663" s="7" t="s">
        <v>1192</v>
      </c>
      <c r="R663" s="90" t="s">
        <v>3264</v>
      </c>
      <c r="S663" s="6" t="s">
        <v>1795</v>
      </c>
      <c r="T663" s="4" t="s">
        <v>92</v>
      </c>
      <c r="U663" s="4" t="s">
        <v>349</v>
      </c>
      <c r="V663" s="4">
        <v>99</v>
      </c>
      <c r="W663" s="85">
        <v>46291</v>
      </c>
      <c r="X663" s="4" t="s">
        <v>3494</v>
      </c>
      <c r="Y663" s="4">
        <v>553600973</v>
      </c>
      <c r="Z663" s="4" t="s">
        <v>2037</v>
      </c>
      <c r="AA663" s="4" t="s">
        <v>1196</v>
      </c>
      <c r="AB663" s="4" t="s">
        <v>4289</v>
      </c>
    </row>
    <row r="664" spans="1:28">
      <c r="A664" s="4">
        <v>663</v>
      </c>
      <c r="B664" s="106">
        <v>13958928</v>
      </c>
      <c r="C664" s="106">
        <v>204172234</v>
      </c>
      <c r="D664" s="5" t="s">
        <v>1604</v>
      </c>
      <c r="E664" s="115" t="s">
        <v>1605</v>
      </c>
      <c r="F664" s="7" t="s">
        <v>82</v>
      </c>
      <c r="G664" s="7" t="s">
        <v>75</v>
      </c>
      <c r="H664" s="7" t="s">
        <v>76</v>
      </c>
      <c r="I664" s="7" t="s">
        <v>1789</v>
      </c>
      <c r="J664" s="7" t="s">
        <v>5</v>
      </c>
      <c r="K664" s="4" t="s">
        <v>10</v>
      </c>
      <c r="L664" s="4" t="s">
        <v>22</v>
      </c>
      <c r="M664" s="4" t="s">
        <v>2676</v>
      </c>
      <c r="N664" s="4" t="s">
        <v>2584</v>
      </c>
      <c r="O664" s="25"/>
      <c r="P664" s="25">
        <v>45568</v>
      </c>
      <c r="Q664" s="7" t="s">
        <v>1112</v>
      </c>
      <c r="R664" s="6" t="s">
        <v>3253</v>
      </c>
      <c r="S664" s="6" t="s">
        <v>1795</v>
      </c>
      <c r="T664" s="6" t="s">
        <v>81</v>
      </c>
      <c r="U664" s="6" t="s">
        <v>107</v>
      </c>
      <c r="V664" s="4">
        <v>99</v>
      </c>
      <c r="W664" s="6">
        <v>45624</v>
      </c>
      <c r="X664" s="6" t="s">
        <v>1216</v>
      </c>
      <c r="Y664" s="4">
        <v>503989216</v>
      </c>
      <c r="Z664" s="6" t="s">
        <v>4331</v>
      </c>
      <c r="AA664" s="6" t="s">
        <v>95</v>
      </c>
      <c r="AB664" s="4">
        <v>0</v>
      </c>
    </row>
    <row r="665" spans="1:28">
      <c r="A665" s="4">
        <v>664</v>
      </c>
      <c r="B665" s="106">
        <v>11717554</v>
      </c>
      <c r="C665" s="106">
        <v>204009916</v>
      </c>
      <c r="D665" s="5" t="s">
        <v>1388</v>
      </c>
      <c r="E665" s="115" t="s">
        <v>1389</v>
      </c>
      <c r="F665" s="7" t="s">
        <v>74</v>
      </c>
      <c r="G665" s="7" t="s">
        <v>89</v>
      </c>
      <c r="H665" s="7" t="s">
        <v>90</v>
      </c>
      <c r="I665" s="6" t="s">
        <v>1790</v>
      </c>
      <c r="J665" s="7" t="s">
        <v>5</v>
      </c>
      <c r="K665" s="4" t="s">
        <v>10</v>
      </c>
      <c r="L665" s="4" t="s">
        <v>22</v>
      </c>
      <c r="M665" s="4" t="s">
        <v>2676</v>
      </c>
      <c r="N665" s="4" t="s">
        <v>2584</v>
      </c>
      <c r="O665" s="25"/>
      <c r="P665" s="25">
        <v>45551</v>
      </c>
      <c r="Q665" s="7" t="s">
        <v>1112</v>
      </c>
      <c r="R665" s="6" t="s">
        <v>2586</v>
      </c>
      <c r="S665" s="6" t="s">
        <v>1795</v>
      </c>
      <c r="T665" s="6" t="s">
        <v>81</v>
      </c>
      <c r="U665" s="6" t="s">
        <v>103</v>
      </c>
      <c r="V665" s="4">
        <v>99</v>
      </c>
      <c r="W665" s="6">
        <v>45607</v>
      </c>
      <c r="X665" s="6" t="s">
        <v>1216</v>
      </c>
      <c r="Y665" s="4">
        <v>503123243</v>
      </c>
      <c r="Z665" s="6" t="s">
        <v>4332</v>
      </c>
      <c r="AA665" s="6" t="s">
        <v>1202</v>
      </c>
      <c r="AB665" s="4">
        <v>0</v>
      </c>
    </row>
    <row r="666" spans="1:28">
      <c r="A666" s="4">
        <v>665</v>
      </c>
      <c r="B666" s="5">
        <v>11164562</v>
      </c>
      <c r="C666" s="5">
        <v>203512948</v>
      </c>
      <c r="D666" s="115" t="s">
        <v>513</v>
      </c>
      <c r="E666" s="4" t="s">
        <v>514</v>
      </c>
      <c r="F666" s="7" t="s">
        <v>82</v>
      </c>
      <c r="G666" s="7" t="s">
        <v>75</v>
      </c>
      <c r="H666" s="7" t="s">
        <v>76</v>
      </c>
      <c r="I666" s="6" t="s">
        <v>1788</v>
      </c>
      <c r="J666" s="7" t="s">
        <v>5</v>
      </c>
      <c r="K666" s="4" t="s">
        <v>10</v>
      </c>
      <c r="L666" s="4" t="s">
        <v>24</v>
      </c>
      <c r="M666" s="4" t="s">
        <v>374</v>
      </c>
      <c r="N666" s="4" t="s">
        <v>2583</v>
      </c>
      <c r="O666" s="89"/>
      <c r="P666" s="25">
        <v>45463</v>
      </c>
      <c r="Q666" s="7" t="s">
        <v>1112</v>
      </c>
      <c r="R666" s="90" t="s">
        <v>2586</v>
      </c>
      <c r="S666" s="6" t="s">
        <v>1795</v>
      </c>
      <c r="T666" s="4" t="s">
        <v>81</v>
      </c>
      <c r="U666" s="4" t="s">
        <v>112</v>
      </c>
      <c r="V666" s="4">
        <v>99</v>
      </c>
      <c r="W666" s="85">
        <v>45828</v>
      </c>
      <c r="X666" s="4" t="s">
        <v>3694</v>
      </c>
      <c r="Y666" s="4">
        <v>524861071</v>
      </c>
      <c r="Z666" s="4" t="s">
        <v>2038</v>
      </c>
      <c r="AA666" s="4" t="s">
        <v>85</v>
      </c>
      <c r="AB666" s="4" t="s">
        <v>4289</v>
      </c>
    </row>
    <row r="667" spans="1:28">
      <c r="A667" s="4">
        <v>666</v>
      </c>
      <c r="B667" s="5">
        <v>15289990</v>
      </c>
      <c r="C667" s="5">
        <v>204137703</v>
      </c>
      <c r="D667" s="115" t="s">
        <v>1586</v>
      </c>
      <c r="E667" s="4" t="s">
        <v>1552</v>
      </c>
      <c r="F667" s="7" t="s">
        <v>82</v>
      </c>
      <c r="G667" s="7" t="s">
        <v>75</v>
      </c>
      <c r="H667" s="7" t="s">
        <v>76</v>
      </c>
      <c r="I667" s="6" t="s">
        <v>1790</v>
      </c>
      <c r="J667" s="7" t="s">
        <v>5</v>
      </c>
      <c r="K667" s="4" t="s">
        <v>10</v>
      </c>
      <c r="L667" s="4" t="s">
        <v>27</v>
      </c>
      <c r="M667" s="4" t="s">
        <v>374</v>
      </c>
      <c r="N667" s="4" t="s">
        <v>2584</v>
      </c>
      <c r="O667" s="89"/>
      <c r="P667" s="25">
        <v>45565</v>
      </c>
      <c r="Q667" s="7" t="s">
        <v>1112</v>
      </c>
      <c r="R667" s="90" t="s">
        <v>3252</v>
      </c>
      <c r="S667" s="6" t="s">
        <v>1795</v>
      </c>
      <c r="T667" s="4" t="s">
        <v>81</v>
      </c>
      <c r="U667" s="4" t="s">
        <v>107</v>
      </c>
      <c r="V667" s="4">
        <v>99</v>
      </c>
      <c r="W667" s="85">
        <v>46295</v>
      </c>
      <c r="X667" s="4" t="s">
        <v>3690</v>
      </c>
      <c r="Y667" s="4">
        <v>567017984</v>
      </c>
      <c r="Z667" s="4" t="s">
        <v>1569</v>
      </c>
      <c r="AA667" s="4" t="s">
        <v>1207</v>
      </c>
      <c r="AB667" s="4" t="s">
        <v>4289</v>
      </c>
    </row>
    <row r="668" spans="1:28">
      <c r="A668" s="4">
        <v>667</v>
      </c>
      <c r="B668" s="5">
        <v>13664096</v>
      </c>
      <c r="C668" s="5">
        <v>204299063</v>
      </c>
      <c r="D668" s="115" t="s">
        <v>1676</v>
      </c>
      <c r="E668" s="4" t="s">
        <v>1677</v>
      </c>
      <c r="F668" s="7" t="s">
        <v>82</v>
      </c>
      <c r="G668" s="7" t="s">
        <v>88</v>
      </c>
      <c r="H668" s="7" t="s">
        <v>94</v>
      </c>
      <c r="I668" s="6" t="s">
        <v>1790</v>
      </c>
      <c r="J668" s="7" t="s">
        <v>5</v>
      </c>
      <c r="K668" s="4" t="s">
        <v>10</v>
      </c>
      <c r="L668" s="4" t="s">
        <v>27</v>
      </c>
      <c r="M668" s="4" t="s">
        <v>374</v>
      </c>
      <c r="N668" s="4" t="s">
        <v>2584</v>
      </c>
      <c r="O668" s="89"/>
      <c r="P668" s="25">
        <v>45586</v>
      </c>
      <c r="Q668" s="7" t="s">
        <v>1113</v>
      </c>
      <c r="R668" s="90" t="s">
        <v>3258</v>
      </c>
      <c r="S668" s="6" t="s">
        <v>1795</v>
      </c>
      <c r="T668" s="4" t="s">
        <v>81</v>
      </c>
      <c r="U668" s="4" t="s">
        <v>112</v>
      </c>
      <c r="V668" s="4">
        <v>99</v>
      </c>
      <c r="W668" s="85">
        <v>46316</v>
      </c>
      <c r="X668" s="4" t="s">
        <v>3690</v>
      </c>
      <c r="Y668" s="4">
        <v>581142187</v>
      </c>
      <c r="Z668" s="4" t="s">
        <v>2039</v>
      </c>
      <c r="AA668" s="4" t="s">
        <v>85</v>
      </c>
      <c r="AB668" s="4" t="s">
        <v>4289</v>
      </c>
    </row>
    <row r="669" spans="1:28">
      <c r="A669" s="4">
        <v>668</v>
      </c>
      <c r="B669" s="5">
        <v>11541120</v>
      </c>
      <c r="C669" s="5">
        <v>206239521</v>
      </c>
      <c r="D669" s="115" t="s">
        <v>3091</v>
      </c>
      <c r="E669" s="4" t="s">
        <v>3092</v>
      </c>
      <c r="F669" s="7" t="s">
        <v>82</v>
      </c>
      <c r="G669" s="7" t="s">
        <v>90</v>
      </c>
      <c r="H669" s="7" t="s">
        <v>87</v>
      </c>
      <c r="I669" s="7" t="s">
        <v>1789</v>
      </c>
      <c r="J669" s="7" t="s">
        <v>5</v>
      </c>
      <c r="K669" s="4" t="s">
        <v>10</v>
      </c>
      <c r="L669" s="4" t="s">
        <v>22</v>
      </c>
      <c r="M669" s="4" t="s">
        <v>374</v>
      </c>
      <c r="N669" s="4"/>
      <c r="O669" s="89"/>
      <c r="P669" s="25">
        <v>45943</v>
      </c>
      <c r="Q669" s="7" t="s">
        <v>1113</v>
      </c>
      <c r="R669" s="4" t="s">
        <v>3255</v>
      </c>
      <c r="S669" s="6" t="s">
        <v>1795</v>
      </c>
      <c r="T669" s="4" t="s">
        <v>81</v>
      </c>
      <c r="U669" s="4" t="s">
        <v>349</v>
      </c>
      <c r="V669" s="4">
        <v>99</v>
      </c>
      <c r="W669" s="85"/>
      <c r="X669" s="4"/>
      <c r="Y669" s="4"/>
      <c r="Z669" s="4"/>
      <c r="AA669" s="4" t="s">
        <v>85</v>
      </c>
      <c r="AB669" s="4" t="s">
        <v>4289</v>
      </c>
    </row>
    <row r="670" spans="1:28" ht="14.5" customHeight="1">
      <c r="A670" s="4">
        <v>669</v>
      </c>
      <c r="B670" s="5">
        <v>11105154</v>
      </c>
      <c r="C670" s="5">
        <v>206239750</v>
      </c>
      <c r="D670" s="115" t="s">
        <v>3093</v>
      </c>
      <c r="E670" s="4" t="s">
        <v>3094</v>
      </c>
      <c r="F670" s="7" t="s">
        <v>74</v>
      </c>
      <c r="G670" s="7" t="s">
        <v>90</v>
      </c>
      <c r="H670" s="7" t="s">
        <v>87</v>
      </c>
      <c r="I670" s="7" t="s">
        <v>1789</v>
      </c>
      <c r="J670" s="7" t="s">
        <v>5</v>
      </c>
      <c r="K670" s="4" t="s">
        <v>10</v>
      </c>
      <c r="L670" s="4" t="s">
        <v>22</v>
      </c>
      <c r="M670" s="4" t="s">
        <v>374</v>
      </c>
      <c r="N670" s="4"/>
      <c r="O670" s="89"/>
      <c r="P670" s="25">
        <v>45943</v>
      </c>
      <c r="Q670" s="7" t="s">
        <v>1113</v>
      </c>
      <c r="R670" s="7" t="s">
        <v>3257</v>
      </c>
      <c r="S670" s="6" t="s">
        <v>1795</v>
      </c>
      <c r="T670" s="4" t="s">
        <v>81</v>
      </c>
      <c r="U670" s="4" t="s">
        <v>349</v>
      </c>
      <c r="V670" s="4">
        <v>99</v>
      </c>
      <c r="W670" s="85"/>
      <c r="X670" s="4"/>
      <c r="Y670" s="4"/>
      <c r="Z670" s="4"/>
      <c r="AA670" s="4" t="s">
        <v>85</v>
      </c>
      <c r="AB670" s="4" t="s">
        <v>4289</v>
      </c>
    </row>
    <row r="671" spans="1:28">
      <c r="A671" s="4">
        <v>670</v>
      </c>
      <c r="B671" s="5">
        <v>12763029</v>
      </c>
      <c r="C671" s="5">
        <v>203513810</v>
      </c>
      <c r="D671" s="115" t="s">
        <v>527</v>
      </c>
      <c r="E671" s="4" t="s">
        <v>528</v>
      </c>
      <c r="F671" s="7" t="s">
        <v>74</v>
      </c>
      <c r="G671" s="7" t="s">
        <v>87</v>
      </c>
      <c r="H671" s="7" t="s">
        <v>75</v>
      </c>
      <c r="I671" s="6" t="s">
        <v>1788</v>
      </c>
      <c r="J671" s="7" t="s">
        <v>5</v>
      </c>
      <c r="K671" s="4" t="s">
        <v>10</v>
      </c>
      <c r="L671" s="4" t="s">
        <v>24</v>
      </c>
      <c r="M671" s="4" t="s">
        <v>2741</v>
      </c>
      <c r="N671" s="4" t="s">
        <v>2583</v>
      </c>
      <c r="O671" s="89"/>
      <c r="P671" s="25">
        <v>45463</v>
      </c>
      <c r="Q671" s="7" t="s">
        <v>1112</v>
      </c>
      <c r="R671" s="90" t="s">
        <v>3261</v>
      </c>
      <c r="S671" s="6" t="s">
        <v>1795</v>
      </c>
      <c r="T671" s="4" t="s">
        <v>81</v>
      </c>
      <c r="U671" s="4" t="s">
        <v>349</v>
      </c>
      <c r="V671" s="4">
        <v>99</v>
      </c>
      <c r="W671" s="85">
        <v>45828</v>
      </c>
      <c r="X671" s="4" t="s">
        <v>3688</v>
      </c>
      <c r="Y671" s="4">
        <v>544058411</v>
      </c>
      <c r="Z671" s="4" t="s">
        <v>2040</v>
      </c>
      <c r="AA671" s="4" t="s">
        <v>85</v>
      </c>
      <c r="AB671" s="4" t="s">
        <v>4289</v>
      </c>
    </row>
    <row r="672" spans="1:28">
      <c r="A672" s="4">
        <v>671</v>
      </c>
      <c r="B672" s="106">
        <v>14396691</v>
      </c>
      <c r="C672" s="5">
        <v>206491327</v>
      </c>
      <c r="D672" s="115" t="s">
        <v>4160</v>
      </c>
      <c r="E672" s="4" t="s">
        <v>4161</v>
      </c>
      <c r="F672" s="7" t="s">
        <v>82</v>
      </c>
      <c r="G672" s="7" t="s">
        <v>94</v>
      </c>
      <c r="H672" s="7" t="s">
        <v>89</v>
      </c>
      <c r="I672" s="7" t="s">
        <v>1789</v>
      </c>
      <c r="J672" s="7" t="s">
        <v>5</v>
      </c>
      <c r="K672" s="7" t="s">
        <v>10</v>
      </c>
      <c r="L672" s="7" t="s">
        <v>23</v>
      </c>
      <c r="M672" s="7" t="s">
        <v>3321</v>
      </c>
      <c r="N672" s="4" t="s">
        <v>2584</v>
      </c>
      <c r="O672" s="89"/>
      <c r="P672" s="25">
        <v>46048</v>
      </c>
      <c r="Q672" s="7" t="s">
        <v>1112</v>
      </c>
      <c r="R672" s="4" t="s">
        <v>3252</v>
      </c>
      <c r="S672" s="7" t="s">
        <v>1795</v>
      </c>
      <c r="T672" s="7" t="s">
        <v>92</v>
      </c>
      <c r="U672" s="4"/>
      <c r="V672" s="4">
        <v>99</v>
      </c>
      <c r="W672" s="85">
        <v>46104</v>
      </c>
      <c r="X672" s="4"/>
      <c r="Y672" s="4"/>
      <c r="Z672" s="4"/>
      <c r="AA672" s="4"/>
      <c r="AB672" s="4" t="e">
        <v>#N/A</v>
      </c>
    </row>
    <row r="673" spans="1:28">
      <c r="A673" s="4">
        <v>672</v>
      </c>
      <c r="B673" s="5">
        <v>13374364</v>
      </c>
      <c r="C673" s="5">
        <v>203512670</v>
      </c>
      <c r="D673" s="115" t="s">
        <v>515</v>
      </c>
      <c r="E673" s="4" t="s">
        <v>516</v>
      </c>
      <c r="F673" s="7" t="s">
        <v>74</v>
      </c>
      <c r="G673" s="7" t="s">
        <v>88</v>
      </c>
      <c r="H673" s="7" t="s">
        <v>94</v>
      </c>
      <c r="I673" s="6" t="s">
        <v>1788</v>
      </c>
      <c r="J673" s="7" t="s">
        <v>5</v>
      </c>
      <c r="K673" s="4" t="s">
        <v>10</v>
      </c>
      <c r="L673" s="4" t="s">
        <v>24</v>
      </c>
      <c r="M673" s="4" t="s">
        <v>374</v>
      </c>
      <c r="N673" s="4" t="s">
        <v>2584</v>
      </c>
      <c r="O673" s="89"/>
      <c r="P673" s="25">
        <v>45463</v>
      </c>
      <c r="Q673" s="7" t="s">
        <v>351</v>
      </c>
      <c r="R673" s="90" t="s">
        <v>3255</v>
      </c>
      <c r="S673" s="6" t="s">
        <v>1795</v>
      </c>
      <c r="T673" s="4" t="s">
        <v>92</v>
      </c>
      <c r="U673" s="4" t="s">
        <v>103</v>
      </c>
      <c r="V673" s="4">
        <v>99</v>
      </c>
      <c r="W673" s="85">
        <v>45828</v>
      </c>
      <c r="X673" s="4" t="s">
        <v>3694</v>
      </c>
      <c r="Y673" s="4">
        <v>581356968</v>
      </c>
      <c r="Z673" s="4" t="s">
        <v>2041</v>
      </c>
      <c r="AA673" s="4" t="s">
        <v>95</v>
      </c>
      <c r="AB673" s="4" t="s">
        <v>4289</v>
      </c>
    </row>
    <row r="674" spans="1:28">
      <c r="A674" s="4">
        <v>673</v>
      </c>
      <c r="B674" s="5">
        <v>11466653</v>
      </c>
      <c r="C674" s="5">
        <v>203512667</v>
      </c>
      <c r="D674" s="115" t="s">
        <v>537</v>
      </c>
      <c r="E674" s="4" t="s">
        <v>538</v>
      </c>
      <c r="F674" s="7" t="s">
        <v>74</v>
      </c>
      <c r="G674" s="7" t="s">
        <v>90</v>
      </c>
      <c r="H674" s="7" t="s">
        <v>87</v>
      </c>
      <c r="I674" s="6" t="s">
        <v>1788</v>
      </c>
      <c r="J674" s="7" t="s">
        <v>5</v>
      </c>
      <c r="K674" s="4" t="s">
        <v>10</v>
      </c>
      <c r="L674" s="4" t="s">
        <v>24</v>
      </c>
      <c r="M674" s="4" t="s">
        <v>374</v>
      </c>
      <c r="N674" s="4" t="s">
        <v>2584</v>
      </c>
      <c r="O674" s="89"/>
      <c r="P674" s="25">
        <v>45463</v>
      </c>
      <c r="Q674" s="7" t="s">
        <v>1113</v>
      </c>
      <c r="R674" s="90" t="s">
        <v>3260</v>
      </c>
      <c r="S674" s="6" t="s">
        <v>1795</v>
      </c>
      <c r="T674" s="4" t="s">
        <v>92</v>
      </c>
      <c r="U674" s="4" t="s">
        <v>349</v>
      </c>
      <c r="V674" s="4">
        <v>99</v>
      </c>
      <c r="W674" s="85">
        <v>45828</v>
      </c>
      <c r="X674" s="4" t="s">
        <v>1197</v>
      </c>
      <c r="Y674" s="4">
        <v>552571874</v>
      </c>
      <c r="Z674" s="4" t="s">
        <v>2042</v>
      </c>
      <c r="AA674" s="4" t="s">
        <v>1196</v>
      </c>
      <c r="AB674" s="4" t="s">
        <v>4289</v>
      </c>
    </row>
    <row r="675" spans="1:28">
      <c r="A675" s="4">
        <v>674</v>
      </c>
      <c r="B675" s="106">
        <v>14117228</v>
      </c>
      <c r="C675" s="5">
        <v>205280684</v>
      </c>
      <c r="D675" s="115" t="s">
        <v>4158</v>
      </c>
      <c r="E675" s="4" t="s">
        <v>4159</v>
      </c>
      <c r="F675" s="7" t="s">
        <v>82</v>
      </c>
      <c r="G675" s="7" t="s">
        <v>89</v>
      </c>
      <c r="H675" s="7" t="s">
        <v>90</v>
      </c>
      <c r="I675" s="7" t="s">
        <v>1789</v>
      </c>
      <c r="J675" s="7" t="s">
        <v>5</v>
      </c>
      <c r="K675" s="7" t="s">
        <v>10</v>
      </c>
      <c r="L675" s="7" t="s">
        <v>23</v>
      </c>
      <c r="M675" s="7" t="s">
        <v>3321</v>
      </c>
      <c r="N675" s="4" t="s">
        <v>2584</v>
      </c>
      <c r="O675" s="89"/>
      <c r="P675" s="25">
        <v>46048</v>
      </c>
      <c r="Q675" s="7" t="s">
        <v>1112</v>
      </c>
      <c r="R675" s="4" t="s">
        <v>3260</v>
      </c>
      <c r="S675" s="7" t="s">
        <v>1795</v>
      </c>
      <c r="T675" s="7" t="s">
        <v>81</v>
      </c>
      <c r="U675" s="4"/>
      <c r="V675" s="4">
        <v>99</v>
      </c>
      <c r="W675" s="85">
        <v>46104</v>
      </c>
      <c r="X675" s="4"/>
      <c r="Y675" s="4"/>
      <c r="Z675" s="4"/>
      <c r="AA675" s="4"/>
      <c r="AB675" s="4" t="e">
        <v>#N/A</v>
      </c>
    </row>
    <row r="676" spans="1:28">
      <c r="A676" s="4">
        <v>675</v>
      </c>
      <c r="B676" s="106">
        <v>12914136</v>
      </c>
      <c r="C676" s="106">
        <v>204172222</v>
      </c>
      <c r="D676" s="5" t="s">
        <v>1600</v>
      </c>
      <c r="E676" s="115" t="s">
        <v>1601</v>
      </c>
      <c r="F676" s="7" t="s">
        <v>74</v>
      </c>
      <c r="G676" s="7" t="s">
        <v>88</v>
      </c>
      <c r="H676" s="7" t="s">
        <v>94</v>
      </c>
      <c r="I676" s="6" t="s">
        <v>1790</v>
      </c>
      <c r="J676" s="7" t="s">
        <v>5</v>
      </c>
      <c r="K676" s="4" t="s">
        <v>10</v>
      </c>
      <c r="L676" s="4" t="s">
        <v>22</v>
      </c>
      <c r="M676" s="4" t="s">
        <v>4361</v>
      </c>
      <c r="N676" s="4" t="s">
        <v>2584</v>
      </c>
      <c r="O676" s="25"/>
      <c r="P676" s="25">
        <v>45568</v>
      </c>
      <c r="Q676" s="7" t="s">
        <v>1112</v>
      </c>
      <c r="R676" s="6" t="s">
        <v>3258</v>
      </c>
      <c r="S676" s="6" t="s">
        <v>1795</v>
      </c>
      <c r="T676" s="6" t="s">
        <v>81</v>
      </c>
      <c r="U676" s="6" t="s">
        <v>103</v>
      </c>
      <c r="V676" s="4">
        <v>99</v>
      </c>
      <c r="W676" s="6">
        <v>45624</v>
      </c>
      <c r="X676" s="6" t="s">
        <v>1216</v>
      </c>
      <c r="Y676" s="4">
        <v>582688951</v>
      </c>
      <c r="Z676" s="6" t="s">
        <v>4333</v>
      </c>
      <c r="AA676" s="6" t="s">
        <v>95</v>
      </c>
      <c r="AB676" s="4">
        <v>0</v>
      </c>
    </row>
    <row r="677" spans="1:28">
      <c r="A677" s="4">
        <v>676</v>
      </c>
      <c r="B677" s="5">
        <v>160825</v>
      </c>
      <c r="C677" s="5">
        <v>206914994</v>
      </c>
      <c r="D677" s="115" t="s">
        <v>3858</v>
      </c>
      <c r="E677" s="4" t="s">
        <v>3681</v>
      </c>
      <c r="F677" s="7" t="s">
        <v>74</v>
      </c>
      <c r="G677" s="7" t="s">
        <v>76</v>
      </c>
      <c r="H677" s="7" t="s">
        <v>88</v>
      </c>
      <c r="I677" s="7" t="s">
        <v>1789</v>
      </c>
      <c r="J677" s="7" t="s">
        <v>5</v>
      </c>
      <c r="K677" s="4" t="s">
        <v>10</v>
      </c>
      <c r="L677" s="4" t="s">
        <v>22</v>
      </c>
      <c r="M677" s="4" t="s">
        <v>4313</v>
      </c>
      <c r="N677" s="4" t="s">
        <v>2584</v>
      </c>
      <c r="O677" s="89"/>
      <c r="P677" s="25">
        <v>46034</v>
      </c>
      <c r="Q677" s="7" t="s">
        <v>1112</v>
      </c>
      <c r="R677" s="4" t="s">
        <v>3262</v>
      </c>
      <c r="S677" s="6" t="s">
        <v>1795</v>
      </c>
      <c r="T677" s="4" t="s">
        <v>81</v>
      </c>
      <c r="U677" s="4"/>
      <c r="V677" s="4">
        <v>99</v>
      </c>
      <c r="W677" s="85">
        <v>46425</v>
      </c>
      <c r="X677" s="4" t="s">
        <v>3290</v>
      </c>
      <c r="Y677" s="4">
        <v>525422477</v>
      </c>
      <c r="Z677" s="4" t="s">
        <v>3687</v>
      </c>
      <c r="AA677" s="4" t="s">
        <v>3016</v>
      </c>
      <c r="AB677" s="4" t="s">
        <v>4289</v>
      </c>
    </row>
    <row r="678" spans="1:28">
      <c r="A678" s="4">
        <v>677</v>
      </c>
      <c r="B678" s="5">
        <v>11467261</v>
      </c>
      <c r="C678" s="5">
        <v>203342654</v>
      </c>
      <c r="D678" s="115" t="s">
        <v>415</v>
      </c>
      <c r="E678" s="4" t="s">
        <v>416</v>
      </c>
      <c r="F678" s="7" t="s">
        <v>74</v>
      </c>
      <c r="G678" s="7" t="s">
        <v>88</v>
      </c>
      <c r="H678" s="7" t="s">
        <v>94</v>
      </c>
      <c r="I678" s="6" t="s">
        <v>1790</v>
      </c>
      <c r="J678" s="7" t="s">
        <v>5</v>
      </c>
      <c r="K678" s="4" t="s">
        <v>10</v>
      </c>
      <c r="L678" s="4" t="s">
        <v>20</v>
      </c>
      <c r="M678" s="4" t="s">
        <v>3321</v>
      </c>
      <c r="N678" s="4" t="s">
        <v>2584</v>
      </c>
      <c r="O678" s="89"/>
      <c r="P678" s="25">
        <v>45432</v>
      </c>
      <c r="Q678" s="7" t="s">
        <v>1113</v>
      </c>
      <c r="R678" s="90" t="s">
        <v>3260</v>
      </c>
      <c r="S678" s="6" t="s">
        <v>1795</v>
      </c>
      <c r="T678" s="4" t="s">
        <v>92</v>
      </c>
      <c r="U678" s="4" t="s">
        <v>103</v>
      </c>
      <c r="V678" s="4">
        <v>99</v>
      </c>
      <c r="W678" s="85">
        <v>46162</v>
      </c>
      <c r="X678" s="4" t="s">
        <v>3688</v>
      </c>
      <c r="Y678" s="4">
        <v>503055792</v>
      </c>
      <c r="Z678" s="4" t="s">
        <v>2043</v>
      </c>
      <c r="AA678" s="4" t="s">
        <v>1219</v>
      </c>
      <c r="AB678" s="4" t="s">
        <v>4289</v>
      </c>
    </row>
    <row r="679" spans="1:28" ht="14.5" customHeight="1">
      <c r="A679" s="4">
        <v>678</v>
      </c>
      <c r="B679" s="5">
        <v>12379031</v>
      </c>
      <c r="C679" s="5">
        <v>205848042</v>
      </c>
      <c r="D679" s="115" t="s">
        <v>2681</v>
      </c>
      <c r="E679" s="4" t="s">
        <v>2682</v>
      </c>
      <c r="F679" s="7" t="s">
        <v>74</v>
      </c>
      <c r="G679" s="7" t="s">
        <v>88</v>
      </c>
      <c r="H679" s="7" t="s">
        <v>94</v>
      </c>
      <c r="I679" s="7" t="s">
        <v>1788</v>
      </c>
      <c r="J679" s="7" t="s">
        <v>5</v>
      </c>
      <c r="K679" s="4" t="s">
        <v>10</v>
      </c>
      <c r="L679" s="4" t="s">
        <v>23</v>
      </c>
      <c r="M679" s="4" t="s">
        <v>3321</v>
      </c>
      <c r="N679" s="4"/>
      <c r="O679" s="89"/>
      <c r="P679" s="25">
        <v>45894</v>
      </c>
      <c r="Q679" s="7" t="s">
        <v>1112</v>
      </c>
      <c r="R679" s="90" t="s">
        <v>3261</v>
      </c>
      <c r="S679" s="6" t="s">
        <v>1795</v>
      </c>
      <c r="T679" s="4" t="s">
        <v>92</v>
      </c>
      <c r="U679" s="4" t="s">
        <v>349</v>
      </c>
      <c r="V679" s="4">
        <v>99</v>
      </c>
      <c r="W679" s="85">
        <v>45949</v>
      </c>
      <c r="X679" s="4" t="s">
        <v>3527</v>
      </c>
      <c r="Y679" s="4">
        <v>503295642</v>
      </c>
      <c r="Z679" s="4" t="s">
        <v>2770</v>
      </c>
      <c r="AA679" s="4" t="s">
        <v>1204</v>
      </c>
      <c r="AB679" s="4" t="s">
        <v>4289</v>
      </c>
    </row>
    <row r="680" spans="1:28" ht="14.5" customHeight="1">
      <c r="A680" s="4">
        <v>679</v>
      </c>
      <c r="B680" s="5">
        <v>13945330</v>
      </c>
      <c r="C680" s="5">
        <v>206239212</v>
      </c>
      <c r="D680" s="115" t="s">
        <v>3109</v>
      </c>
      <c r="E680" s="4" t="s">
        <v>3062</v>
      </c>
      <c r="F680" s="7" t="s">
        <v>74</v>
      </c>
      <c r="G680" s="7" t="s">
        <v>88</v>
      </c>
      <c r="H680" s="7" t="s">
        <v>94</v>
      </c>
      <c r="I680" s="6" t="s">
        <v>1788</v>
      </c>
      <c r="J680" s="7" t="s">
        <v>5</v>
      </c>
      <c r="K680" s="4" t="s">
        <v>10</v>
      </c>
      <c r="L680" s="4" t="s">
        <v>24</v>
      </c>
      <c r="M680" s="4" t="s">
        <v>4314</v>
      </c>
      <c r="N680" s="4" t="s">
        <v>2584</v>
      </c>
      <c r="O680" s="89"/>
      <c r="P680" s="25">
        <v>45943</v>
      </c>
      <c r="Q680" s="7" t="s">
        <v>1112</v>
      </c>
      <c r="R680" s="4" t="s">
        <v>3264</v>
      </c>
      <c r="S680" s="6" t="s">
        <v>3012</v>
      </c>
      <c r="T680" s="4" t="s">
        <v>92</v>
      </c>
      <c r="U680" s="4" t="s">
        <v>349</v>
      </c>
      <c r="V680" s="4">
        <v>99</v>
      </c>
      <c r="W680" s="85" t="s">
        <v>3072</v>
      </c>
      <c r="X680" s="4" t="s">
        <v>3688</v>
      </c>
      <c r="Y680" s="4">
        <v>583064675</v>
      </c>
      <c r="Z680" s="4" t="s">
        <v>3077</v>
      </c>
      <c r="AA680" s="4" t="s">
        <v>3086</v>
      </c>
      <c r="AB680" s="4" t="s">
        <v>4289</v>
      </c>
    </row>
    <row r="681" spans="1:28" ht="14.5" customHeight="1">
      <c r="A681" s="4">
        <v>680</v>
      </c>
      <c r="B681" s="5">
        <v>13842841</v>
      </c>
      <c r="C681" s="5">
        <v>108196835</v>
      </c>
      <c r="D681" s="115" t="s">
        <v>1742</v>
      </c>
      <c r="E681" s="4" t="s">
        <v>1705</v>
      </c>
      <c r="F681" s="7" t="s">
        <v>82</v>
      </c>
      <c r="G681" s="7" t="s">
        <v>94</v>
      </c>
      <c r="H681" s="7" t="s">
        <v>89</v>
      </c>
      <c r="I681" s="6" t="s">
        <v>1790</v>
      </c>
      <c r="J681" s="7" t="s">
        <v>5</v>
      </c>
      <c r="K681" s="4" t="s">
        <v>10</v>
      </c>
      <c r="L681" s="4" t="s">
        <v>27</v>
      </c>
      <c r="M681" s="4" t="s">
        <v>390</v>
      </c>
      <c r="N681" s="4" t="s">
        <v>2584</v>
      </c>
      <c r="O681" s="89"/>
      <c r="P681" s="25">
        <v>45589</v>
      </c>
      <c r="Q681" s="7" t="s">
        <v>1192</v>
      </c>
      <c r="R681" s="90" t="s">
        <v>3255</v>
      </c>
      <c r="S681" s="6" t="s">
        <v>1795</v>
      </c>
      <c r="T681" s="4" t="s">
        <v>81</v>
      </c>
      <c r="U681" s="4" t="s">
        <v>349</v>
      </c>
      <c r="V681" s="4">
        <v>99</v>
      </c>
      <c r="W681" s="85">
        <v>46319</v>
      </c>
      <c r="X681" s="4" t="s">
        <v>3492</v>
      </c>
      <c r="Y681" s="4">
        <v>524396014</v>
      </c>
      <c r="Z681" s="4" t="s">
        <v>2044</v>
      </c>
      <c r="AA681" s="4" t="s">
        <v>2271</v>
      </c>
      <c r="AB681" s="4" t="s">
        <v>4289</v>
      </c>
    </row>
    <row r="682" spans="1:28">
      <c r="A682" s="4">
        <v>681</v>
      </c>
      <c r="B682" s="5">
        <v>317628</v>
      </c>
      <c r="C682" s="5">
        <v>206136720</v>
      </c>
      <c r="D682" s="115" t="s">
        <v>2958</v>
      </c>
      <c r="E682" s="4" t="s">
        <v>2959</v>
      </c>
      <c r="F682" s="7" t="s">
        <v>82</v>
      </c>
      <c r="G682" s="7" t="s">
        <v>89</v>
      </c>
      <c r="H682" s="7" t="s">
        <v>90</v>
      </c>
      <c r="I682" s="6" t="s">
        <v>1788</v>
      </c>
      <c r="J682" s="7" t="s">
        <v>5</v>
      </c>
      <c r="K682" s="4" t="s">
        <v>10</v>
      </c>
      <c r="L682" s="4" t="s">
        <v>24</v>
      </c>
      <c r="M682" s="4" t="s">
        <v>374</v>
      </c>
      <c r="N682" s="4"/>
      <c r="O682" s="89"/>
      <c r="P682" s="25">
        <v>45929</v>
      </c>
      <c r="Q682" s="7" t="s">
        <v>1112</v>
      </c>
      <c r="R682" s="90" t="s">
        <v>3256</v>
      </c>
      <c r="S682" s="6" t="s">
        <v>1795</v>
      </c>
      <c r="T682" s="4" t="s">
        <v>92</v>
      </c>
      <c r="U682" s="4" t="s">
        <v>349</v>
      </c>
      <c r="V682" s="4">
        <v>99</v>
      </c>
      <c r="W682" s="85"/>
      <c r="X682" s="4"/>
      <c r="Y682" s="4"/>
      <c r="Z682" s="4"/>
      <c r="AA682" s="4" t="s">
        <v>2273</v>
      </c>
      <c r="AB682" s="4" t="s">
        <v>4289</v>
      </c>
    </row>
    <row r="683" spans="1:28">
      <c r="A683" s="4">
        <v>682</v>
      </c>
      <c r="B683" s="5">
        <v>11190172</v>
      </c>
      <c r="C683" s="5">
        <v>203342034</v>
      </c>
      <c r="D683" s="115" t="s">
        <v>403</v>
      </c>
      <c r="E683" s="4" t="s">
        <v>404</v>
      </c>
      <c r="F683" s="7" t="s">
        <v>74</v>
      </c>
      <c r="G683" s="7" t="s">
        <v>88</v>
      </c>
      <c r="H683" s="7" t="s">
        <v>94</v>
      </c>
      <c r="I683" s="6" t="s">
        <v>1790</v>
      </c>
      <c r="J683" s="7" t="s">
        <v>5</v>
      </c>
      <c r="K683" s="4" t="s">
        <v>10</v>
      </c>
      <c r="L683" s="4" t="s">
        <v>20</v>
      </c>
      <c r="M683" s="4" t="s">
        <v>4361</v>
      </c>
      <c r="N683" s="4" t="s">
        <v>2583</v>
      </c>
      <c r="O683" s="89"/>
      <c r="P683" s="25">
        <v>45432</v>
      </c>
      <c r="Q683" s="7" t="s">
        <v>1112</v>
      </c>
      <c r="R683" s="90" t="s">
        <v>3252</v>
      </c>
      <c r="S683" s="6" t="s">
        <v>1795</v>
      </c>
      <c r="T683" s="4" t="s">
        <v>92</v>
      </c>
      <c r="U683" s="4" t="s">
        <v>103</v>
      </c>
      <c r="V683" s="4">
        <v>99</v>
      </c>
      <c r="W683" s="85">
        <v>46162</v>
      </c>
      <c r="X683" s="4" t="s">
        <v>1214</v>
      </c>
      <c r="Y683" s="4">
        <v>544510682</v>
      </c>
      <c r="Z683" s="4" t="s">
        <v>2045</v>
      </c>
      <c r="AA683" s="4" t="s">
        <v>1194</v>
      </c>
      <c r="AB683" s="4" t="s">
        <v>4289</v>
      </c>
    </row>
    <row r="684" spans="1:28">
      <c r="A684" s="4">
        <v>683</v>
      </c>
      <c r="B684" s="106">
        <v>11180654</v>
      </c>
      <c r="C684" s="5">
        <v>206491325</v>
      </c>
      <c r="D684" s="115" t="s">
        <v>4175</v>
      </c>
      <c r="E684" s="4" t="s">
        <v>4176</v>
      </c>
      <c r="F684" s="7" t="s">
        <v>74</v>
      </c>
      <c r="G684" s="7" t="s">
        <v>89</v>
      </c>
      <c r="H684" s="7" t="s">
        <v>90</v>
      </c>
      <c r="I684" s="7" t="s">
        <v>1789</v>
      </c>
      <c r="J684" s="7" t="s">
        <v>5</v>
      </c>
      <c r="K684" s="7" t="s">
        <v>10</v>
      </c>
      <c r="L684" s="7" t="s">
        <v>23</v>
      </c>
      <c r="M684" s="7" t="s">
        <v>374</v>
      </c>
      <c r="N684" s="4" t="s">
        <v>2584</v>
      </c>
      <c r="O684" s="89"/>
      <c r="P684" s="25">
        <v>46048</v>
      </c>
      <c r="Q684" s="7" t="s">
        <v>1112</v>
      </c>
      <c r="R684" s="4" t="s">
        <v>3264</v>
      </c>
      <c r="S684" s="7" t="s">
        <v>1795</v>
      </c>
      <c r="T684" s="7" t="s">
        <v>92</v>
      </c>
      <c r="U684" s="4"/>
      <c r="V684" s="4">
        <v>99</v>
      </c>
      <c r="W684" s="85">
        <v>46104</v>
      </c>
      <c r="X684" s="4"/>
      <c r="Y684" s="4"/>
      <c r="Z684" s="4"/>
      <c r="AA684" s="4"/>
      <c r="AB684" s="4" t="e">
        <v>#N/A</v>
      </c>
    </row>
    <row r="685" spans="1:28">
      <c r="A685" s="4">
        <v>684</v>
      </c>
      <c r="B685" s="5">
        <v>102660</v>
      </c>
      <c r="C685" s="5">
        <v>205848048</v>
      </c>
      <c r="D685" s="115" t="s">
        <v>2683</v>
      </c>
      <c r="E685" s="4" t="s">
        <v>2684</v>
      </c>
      <c r="F685" s="7" t="s">
        <v>74</v>
      </c>
      <c r="G685" s="7" t="s">
        <v>90</v>
      </c>
      <c r="H685" s="7" t="s">
        <v>87</v>
      </c>
      <c r="I685" s="7" t="s">
        <v>1789</v>
      </c>
      <c r="J685" s="7" t="s">
        <v>5</v>
      </c>
      <c r="K685" s="4" t="s">
        <v>10</v>
      </c>
      <c r="L685" s="4" t="s">
        <v>23</v>
      </c>
      <c r="M685" s="4" t="s">
        <v>4314</v>
      </c>
      <c r="N685" s="4"/>
      <c r="O685" s="89"/>
      <c r="P685" s="25">
        <v>45894</v>
      </c>
      <c r="Q685" s="7" t="s">
        <v>1112</v>
      </c>
      <c r="R685" s="90" t="s">
        <v>3258</v>
      </c>
      <c r="S685" s="6" t="s">
        <v>1795</v>
      </c>
      <c r="T685" s="4" t="s">
        <v>92</v>
      </c>
      <c r="U685" s="4" t="s">
        <v>349</v>
      </c>
      <c r="V685" s="4">
        <v>99</v>
      </c>
      <c r="W685" s="85">
        <v>45949</v>
      </c>
      <c r="X685" s="4" t="s">
        <v>3527</v>
      </c>
      <c r="Y685" s="4">
        <v>254740231134</v>
      </c>
      <c r="Z685" s="4" t="s">
        <v>2771</v>
      </c>
      <c r="AA685" s="4" t="s">
        <v>1204</v>
      </c>
      <c r="AB685" s="4" t="s">
        <v>4289</v>
      </c>
    </row>
    <row r="686" spans="1:28">
      <c r="A686" s="4">
        <v>685</v>
      </c>
      <c r="B686" s="5">
        <v>58624</v>
      </c>
      <c r="C686" s="5">
        <v>203512665</v>
      </c>
      <c r="D686" s="115" t="s">
        <v>539</v>
      </c>
      <c r="E686" s="4" t="s">
        <v>540</v>
      </c>
      <c r="F686" s="7" t="s">
        <v>74</v>
      </c>
      <c r="G686" s="7" t="s">
        <v>75</v>
      </c>
      <c r="H686" s="7" t="s">
        <v>76</v>
      </c>
      <c r="I686" s="6" t="s">
        <v>1788</v>
      </c>
      <c r="J686" s="7" t="s">
        <v>5</v>
      </c>
      <c r="K686" s="4" t="s">
        <v>10</v>
      </c>
      <c r="L686" s="4" t="s">
        <v>24</v>
      </c>
      <c r="M686" s="4" t="s">
        <v>3321</v>
      </c>
      <c r="N686" s="4" t="s">
        <v>2584</v>
      </c>
      <c r="O686" s="89"/>
      <c r="P686" s="25">
        <v>45463</v>
      </c>
      <c r="Q686" s="7" t="s">
        <v>1113</v>
      </c>
      <c r="R686" s="90" t="s">
        <v>3262</v>
      </c>
      <c r="S686" s="6" t="s">
        <v>1795</v>
      </c>
      <c r="T686" s="4" t="s">
        <v>92</v>
      </c>
      <c r="U686" s="4" t="s">
        <v>107</v>
      </c>
      <c r="V686" s="4">
        <v>99</v>
      </c>
      <c r="W686" s="85">
        <v>45828</v>
      </c>
      <c r="X686" s="4" t="s">
        <v>3694</v>
      </c>
      <c r="Y686" s="4">
        <v>563630264</v>
      </c>
      <c r="Z686" s="4" t="s">
        <v>2046</v>
      </c>
      <c r="AA686" s="4" t="s">
        <v>85</v>
      </c>
      <c r="AB686" s="4" t="s">
        <v>4289</v>
      </c>
    </row>
    <row r="687" spans="1:28">
      <c r="A687" s="4">
        <v>686</v>
      </c>
      <c r="B687" s="5">
        <v>12526479</v>
      </c>
      <c r="C687" s="5">
        <v>203965413</v>
      </c>
      <c r="D687" s="115" t="s">
        <v>1259</v>
      </c>
      <c r="E687" s="4" t="s">
        <v>1260</v>
      </c>
      <c r="F687" s="7" t="s">
        <v>74</v>
      </c>
      <c r="G687" s="7" t="s">
        <v>76</v>
      </c>
      <c r="H687" s="7" t="s">
        <v>88</v>
      </c>
      <c r="I687" s="6" t="s">
        <v>1788</v>
      </c>
      <c r="J687" s="7" t="s">
        <v>5</v>
      </c>
      <c r="K687" s="4" t="s">
        <v>10</v>
      </c>
      <c r="L687" s="4" t="s">
        <v>24</v>
      </c>
      <c r="M687" s="4" t="s">
        <v>2741</v>
      </c>
      <c r="N687" s="4" t="s">
        <v>2583</v>
      </c>
      <c r="O687" s="89"/>
      <c r="P687" s="25">
        <v>45544</v>
      </c>
      <c r="Q687" s="7" t="s">
        <v>1112</v>
      </c>
      <c r="R687" s="90" t="s">
        <v>3262</v>
      </c>
      <c r="S687" s="6" t="s">
        <v>1795</v>
      </c>
      <c r="T687" s="4" t="s">
        <v>81</v>
      </c>
      <c r="U687" s="4" t="s">
        <v>349</v>
      </c>
      <c r="V687" s="4">
        <v>99</v>
      </c>
      <c r="W687" s="85">
        <v>45909</v>
      </c>
      <c r="X687" s="4" t="s">
        <v>3703</v>
      </c>
      <c r="Y687" s="4">
        <v>564911825</v>
      </c>
      <c r="Z687" s="4" t="s">
        <v>2047</v>
      </c>
      <c r="AA687" s="4" t="s">
        <v>85</v>
      </c>
      <c r="AB687" s="4" t="s">
        <v>4289</v>
      </c>
    </row>
    <row r="688" spans="1:28">
      <c r="A688" s="4">
        <v>687</v>
      </c>
      <c r="B688" s="5">
        <v>14976323</v>
      </c>
      <c r="C688" s="5">
        <v>203881660</v>
      </c>
      <c r="D688" s="115" t="s">
        <v>1086</v>
      </c>
      <c r="E688" s="4" t="s">
        <v>1087</v>
      </c>
      <c r="F688" s="7" t="s">
        <v>82</v>
      </c>
      <c r="G688" s="7" t="s">
        <v>76</v>
      </c>
      <c r="H688" s="7" t="s">
        <v>88</v>
      </c>
      <c r="I688" s="6" t="s">
        <v>1788</v>
      </c>
      <c r="J688" s="7" t="s">
        <v>5</v>
      </c>
      <c r="K688" s="4" t="s">
        <v>10</v>
      </c>
      <c r="L688" s="4" t="s">
        <v>24</v>
      </c>
      <c r="M688" s="4" t="s">
        <v>390</v>
      </c>
      <c r="N688" s="4" t="s">
        <v>2584</v>
      </c>
      <c r="O688" s="89"/>
      <c r="P688" s="25">
        <v>45530</v>
      </c>
      <c r="Q688" s="7" t="s">
        <v>1112</v>
      </c>
      <c r="R688" s="90" t="s">
        <v>2586</v>
      </c>
      <c r="S688" s="6" t="s">
        <v>1795</v>
      </c>
      <c r="T688" s="4" t="s">
        <v>81</v>
      </c>
      <c r="U688" s="4" t="s">
        <v>349</v>
      </c>
      <c r="V688" s="4">
        <v>99</v>
      </c>
      <c r="W688" s="85">
        <v>45895</v>
      </c>
      <c r="X688" s="4" t="s">
        <v>3698</v>
      </c>
      <c r="Y688" s="4">
        <v>565717490</v>
      </c>
      <c r="Z688" s="4" t="s">
        <v>2048</v>
      </c>
      <c r="AA688" s="4" t="s">
        <v>2271</v>
      </c>
      <c r="AB688" s="4" t="s">
        <v>4289</v>
      </c>
    </row>
    <row r="689" spans="1:28">
      <c r="A689" s="4">
        <v>688</v>
      </c>
      <c r="B689" s="5">
        <v>11825121</v>
      </c>
      <c r="C689" s="5">
        <v>203512671</v>
      </c>
      <c r="D689" s="115" t="s">
        <v>541</v>
      </c>
      <c r="E689" s="4" t="s">
        <v>542</v>
      </c>
      <c r="F689" s="7" t="s">
        <v>74</v>
      </c>
      <c r="G689" s="7" t="s">
        <v>87</v>
      </c>
      <c r="H689" s="7" t="s">
        <v>75</v>
      </c>
      <c r="I689" s="6" t="s">
        <v>1788</v>
      </c>
      <c r="J689" s="7" t="s">
        <v>5</v>
      </c>
      <c r="K689" s="4" t="s">
        <v>10</v>
      </c>
      <c r="L689" s="4" t="s">
        <v>24</v>
      </c>
      <c r="M689" s="4" t="s">
        <v>2741</v>
      </c>
      <c r="N689" s="4" t="s">
        <v>2584</v>
      </c>
      <c r="O689" s="89"/>
      <c r="P689" s="25">
        <v>45463</v>
      </c>
      <c r="Q689" s="7" t="s">
        <v>1113</v>
      </c>
      <c r="R689" s="90" t="s">
        <v>3257</v>
      </c>
      <c r="S689" s="6" t="s">
        <v>1795</v>
      </c>
      <c r="T689" s="4" t="s">
        <v>92</v>
      </c>
      <c r="U689" s="4" t="s">
        <v>349</v>
      </c>
      <c r="V689" s="4">
        <v>99</v>
      </c>
      <c r="W689" s="85">
        <v>45828</v>
      </c>
      <c r="X689" s="4" t="s">
        <v>3690</v>
      </c>
      <c r="Y689" s="4">
        <v>553656829</v>
      </c>
      <c r="Z689" s="4" t="s">
        <v>2049</v>
      </c>
      <c r="AA689" s="4" t="s">
        <v>1196</v>
      </c>
      <c r="AB689" s="4" t="s">
        <v>4289</v>
      </c>
    </row>
    <row r="690" spans="1:28">
      <c r="A690" s="4">
        <v>689</v>
      </c>
      <c r="B690" s="5">
        <v>14054048</v>
      </c>
      <c r="C690" s="5">
        <v>203881698</v>
      </c>
      <c r="D690" s="115" t="s">
        <v>1068</v>
      </c>
      <c r="E690" s="4" t="s">
        <v>1069</v>
      </c>
      <c r="F690" s="7" t="s">
        <v>82</v>
      </c>
      <c r="G690" s="7" t="s">
        <v>88</v>
      </c>
      <c r="H690" s="7" t="s">
        <v>94</v>
      </c>
      <c r="I690" s="6" t="s">
        <v>1788</v>
      </c>
      <c r="J690" s="7" t="s">
        <v>5</v>
      </c>
      <c r="K690" s="4" t="s">
        <v>10</v>
      </c>
      <c r="L690" s="4" t="s">
        <v>24</v>
      </c>
      <c r="M690" s="4" t="s">
        <v>390</v>
      </c>
      <c r="N690" s="4" t="s">
        <v>2584</v>
      </c>
      <c r="O690" s="89"/>
      <c r="P690" s="25">
        <v>45530</v>
      </c>
      <c r="Q690" s="7" t="s">
        <v>351</v>
      </c>
      <c r="R690" s="90" t="s">
        <v>3253</v>
      </c>
      <c r="S690" s="6" t="s">
        <v>1795</v>
      </c>
      <c r="T690" s="4" t="s">
        <v>81</v>
      </c>
      <c r="U690" s="4" t="s">
        <v>349</v>
      </c>
      <c r="V690" s="4">
        <v>99</v>
      </c>
      <c r="W690" s="85">
        <v>45895</v>
      </c>
      <c r="X690" s="4" t="s">
        <v>3694</v>
      </c>
      <c r="Y690" s="4">
        <v>566479676</v>
      </c>
      <c r="Z690" s="4" t="s">
        <v>2410</v>
      </c>
      <c r="AA690" s="4" t="s">
        <v>85</v>
      </c>
      <c r="AB690" s="4" t="s">
        <v>4289</v>
      </c>
    </row>
    <row r="691" spans="1:28">
      <c r="A691" s="4">
        <v>690</v>
      </c>
      <c r="B691" s="5">
        <v>13830570</v>
      </c>
      <c r="C691" s="5">
        <v>204145465</v>
      </c>
      <c r="D691" s="115" t="s">
        <v>1596</v>
      </c>
      <c r="E691" s="4" t="s">
        <v>1597</v>
      </c>
      <c r="F691" s="7" t="s">
        <v>82</v>
      </c>
      <c r="G691" s="7" t="s">
        <v>75</v>
      </c>
      <c r="H691" s="7" t="s">
        <v>76</v>
      </c>
      <c r="I691" s="6" t="s">
        <v>1790</v>
      </c>
      <c r="J691" s="7" t="s">
        <v>5</v>
      </c>
      <c r="K691" s="4" t="s">
        <v>10</v>
      </c>
      <c r="L691" s="4" t="s">
        <v>27</v>
      </c>
      <c r="M691" s="4" t="s">
        <v>4314</v>
      </c>
      <c r="N691" s="4" t="s">
        <v>2584</v>
      </c>
      <c r="O691" s="89"/>
      <c r="P691" s="25">
        <v>45568</v>
      </c>
      <c r="Q691" s="7" t="s">
        <v>1113</v>
      </c>
      <c r="R691" s="90" t="s">
        <v>3252</v>
      </c>
      <c r="S691" s="6" t="s">
        <v>1795</v>
      </c>
      <c r="T691" s="4" t="s">
        <v>81</v>
      </c>
      <c r="U691" s="4" t="s">
        <v>112</v>
      </c>
      <c r="V691" s="4">
        <v>99</v>
      </c>
      <c r="W691" s="85">
        <v>46298</v>
      </c>
      <c r="X691" s="4" t="s">
        <v>3703</v>
      </c>
      <c r="Y691" s="4">
        <v>564398036</v>
      </c>
      <c r="Z691" s="4" t="s">
        <v>1612</v>
      </c>
      <c r="AA691" s="4" t="s">
        <v>85</v>
      </c>
      <c r="AB691" s="4" t="s">
        <v>4289</v>
      </c>
    </row>
    <row r="692" spans="1:28">
      <c r="A692" s="4">
        <v>691</v>
      </c>
      <c r="B692" s="5">
        <v>14532456</v>
      </c>
      <c r="C692" s="5">
        <v>206145766</v>
      </c>
      <c r="D692" s="115" t="s">
        <v>2960</v>
      </c>
      <c r="E692" s="4" t="s">
        <v>2961</v>
      </c>
      <c r="F692" s="7" t="s">
        <v>82</v>
      </c>
      <c r="G692" s="7" t="s">
        <v>76</v>
      </c>
      <c r="H692" s="7" t="s">
        <v>88</v>
      </c>
      <c r="I692" s="7" t="s">
        <v>1789</v>
      </c>
      <c r="J692" s="7" t="s">
        <v>5</v>
      </c>
      <c r="K692" s="4" t="s">
        <v>10</v>
      </c>
      <c r="L692" s="4" t="s">
        <v>24</v>
      </c>
      <c r="M692" s="4" t="s">
        <v>374</v>
      </c>
      <c r="N692" s="4"/>
      <c r="O692" s="89"/>
      <c r="P692" s="25">
        <v>45929</v>
      </c>
      <c r="Q692" s="7" t="s">
        <v>1112</v>
      </c>
      <c r="R692" s="90" t="s">
        <v>3253</v>
      </c>
      <c r="S692" s="6" t="s">
        <v>1795</v>
      </c>
      <c r="T692" s="4" t="s">
        <v>81</v>
      </c>
      <c r="U692" s="4" t="s">
        <v>349</v>
      </c>
      <c r="V692" s="4">
        <v>99</v>
      </c>
      <c r="W692" s="85"/>
      <c r="X692" s="4"/>
      <c r="Y692" s="4"/>
      <c r="Z692" s="4"/>
      <c r="AA692" s="4" t="s">
        <v>1196</v>
      </c>
      <c r="AB692" s="4" t="s">
        <v>4289</v>
      </c>
    </row>
    <row r="693" spans="1:28">
      <c r="A693" s="4">
        <v>692</v>
      </c>
      <c r="B693" s="106">
        <v>11413451</v>
      </c>
      <c r="C693" s="106">
        <v>205227534</v>
      </c>
      <c r="D693" s="5" t="s">
        <v>2503</v>
      </c>
      <c r="E693" s="115" t="s">
        <v>2504</v>
      </c>
      <c r="F693" s="7" t="s">
        <v>82</v>
      </c>
      <c r="G693" s="7" t="s">
        <v>75</v>
      </c>
      <c r="H693" s="7" t="s">
        <v>76</v>
      </c>
      <c r="I693" s="6" t="s">
        <v>2509</v>
      </c>
      <c r="J693" s="7" t="s">
        <v>5</v>
      </c>
      <c r="K693" s="4" t="s">
        <v>10</v>
      </c>
      <c r="L693" s="4" t="s">
        <v>22</v>
      </c>
      <c r="M693" s="4" t="s">
        <v>3615</v>
      </c>
      <c r="N693" s="4" t="s">
        <v>2584</v>
      </c>
      <c r="O693" s="25"/>
      <c r="P693" s="25">
        <v>45789</v>
      </c>
      <c r="Q693" s="7" t="s">
        <v>1112</v>
      </c>
      <c r="R693" s="6" t="s">
        <v>3260</v>
      </c>
      <c r="S693" s="6" t="s">
        <v>1795</v>
      </c>
      <c r="T693" s="6" t="s">
        <v>81</v>
      </c>
      <c r="U693" s="6" t="s">
        <v>112</v>
      </c>
      <c r="V693" s="4">
        <v>99</v>
      </c>
      <c r="W693" s="6">
        <v>45831</v>
      </c>
      <c r="X693" s="6" t="s">
        <v>1216</v>
      </c>
      <c r="Y693" s="4">
        <v>504632964</v>
      </c>
      <c r="Z693" s="6" t="s">
        <v>4334</v>
      </c>
      <c r="AA693" s="6" t="s">
        <v>85</v>
      </c>
      <c r="AB693" s="4">
        <v>0</v>
      </c>
    </row>
    <row r="694" spans="1:28">
      <c r="A694" s="4">
        <v>693</v>
      </c>
      <c r="B694" s="106">
        <v>11076827</v>
      </c>
      <c r="C694" s="5">
        <v>205257390</v>
      </c>
      <c r="D694" s="116" t="s">
        <v>4075</v>
      </c>
      <c r="E694" s="4" t="s">
        <v>4101</v>
      </c>
      <c r="F694" s="7" t="s">
        <v>82</v>
      </c>
      <c r="G694" s="7" t="s">
        <v>88</v>
      </c>
      <c r="H694" s="7" t="s">
        <v>94</v>
      </c>
      <c r="I694" s="7" t="s">
        <v>1789</v>
      </c>
      <c r="J694" s="7" t="s">
        <v>5</v>
      </c>
      <c r="K694" s="4" t="s">
        <v>10</v>
      </c>
      <c r="L694" s="4" t="s">
        <v>23</v>
      </c>
      <c r="M694" s="4" t="s">
        <v>4313</v>
      </c>
      <c r="N694" s="4" t="s">
        <v>2584</v>
      </c>
      <c r="O694" s="89"/>
      <c r="P694" s="25">
        <v>46048</v>
      </c>
      <c r="Q694" s="7" t="s">
        <v>1112</v>
      </c>
      <c r="R694" s="4" t="s">
        <v>3258</v>
      </c>
      <c r="S694" s="7" t="s">
        <v>1795</v>
      </c>
      <c r="T694" s="4" t="s">
        <v>81</v>
      </c>
      <c r="U694" s="4"/>
      <c r="V694" s="4">
        <v>99</v>
      </c>
      <c r="W694" s="85">
        <v>46104</v>
      </c>
      <c r="X694" s="4"/>
      <c r="Y694" s="4"/>
      <c r="Z694" s="4"/>
      <c r="AA694" s="4"/>
      <c r="AB694" s="4" t="e">
        <v>#N/A</v>
      </c>
    </row>
    <row r="695" spans="1:28">
      <c r="A695" s="4">
        <v>694</v>
      </c>
      <c r="B695" s="106">
        <v>11160919</v>
      </c>
      <c r="C695" s="5">
        <v>206491331</v>
      </c>
      <c r="D695" s="115" t="s">
        <v>4162</v>
      </c>
      <c r="E695" s="4" t="s">
        <v>4163</v>
      </c>
      <c r="F695" s="7" t="s">
        <v>82</v>
      </c>
      <c r="G695" s="7" t="s">
        <v>94</v>
      </c>
      <c r="H695" s="7" t="s">
        <v>89</v>
      </c>
      <c r="I695" s="7" t="s">
        <v>1789</v>
      </c>
      <c r="J695" s="7" t="s">
        <v>5</v>
      </c>
      <c r="K695" s="7" t="s">
        <v>10</v>
      </c>
      <c r="L695" s="7" t="s">
        <v>23</v>
      </c>
      <c r="M695" s="7" t="s">
        <v>3321</v>
      </c>
      <c r="N695" s="4" t="s">
        <v>2584</v>
      </c>
      <c r="O695" s="89"/>
      <c r="P695" s="25">
        <v>46048</v>
      </c>
      <c r="Q695" s="7" t="s">
        <v>1112</v>
      </c>
      <c r="R695" s="7" t="s">
        <v>3257</v>
      </c>
      <c r="S695" s="7" t="s">
        <v>1795</v>
      </c>
      <c r="T695" s="7" t="s">
        <v>81</v>
      </c>
      <c r="U695" s="4"/>
      <c r="V695" s="4">
        <v>99</v>
      </c>
      <c r="W695" s="85">
        <v>46104</v>
      </c>
      <c r="X695" s="4"/>
      <c r="Y695" s="4"/>
      <c r="Z695" s="4"/>
      <c r="AA695" s="4"/>
      <c r="AB695" s="4" t="e">
        <v>#N/A</v>
      </c>
    </row>
    <row r="696" spans="1:28">
      <c r="A696" s="4">
        <v>695</v>
      </c>
      <c r="B696" s="5">
        <v>14448982</v>
      </c>
      <c r="C696" s="5">
        <v>203993306</v>
      </c>
      <c r="D696" s="115" t="s">
        <v>1329</v>
      </c>
      <c r="E696" s="4" t="s">
        <v>1330</v>
      </c>
      <c r="F696" s="7" t="s">
        <v>74</v>
      </c>
      <c r="G696" s="7" t="s">
        <v>88</v>
      </c>
      <c r="H696" s="7" t="s">
        <v>94</v>
      </c>
      <c r="I696" s="6" t="s">
        <v>1788</v>
      </c>
      <c r="J696" s="7" t="s">
        <v>5</v>
      </c>
      <c r="K696" s="4" t="s">
        <v>10</v>
      </c>
      <c r="L696" s="4" t="s">
        <v>24</v>
      </c>
      <c r="M696" s="4" t="s">
        <v>4314</v>
      </c>
      <c r="N696" s="4" t="s">
        <v>2584</v>
      </c>
      <c r="O696" s="89"/>
      <c r="P696" s="25">
        <v>45547</v>
      </c>
      <c r="Q696" s="7" t="s">
        <v>1112</v>
      </c>
      <c r="R696" s="90" t="s">
        <v>3256</v>
      </c>
      <c r="S696" s="6" t="s">
        <v>1795</v>
      </c>
      <c r="T696" s="4" t="s">
        <v>92</v>
      </c>
      <c r="U696" s="4" t="s">
        <v>103</v>
      </c>
      <c r="V696" s="4">
        <v>99</v>
      </c>
      <c r="W696" s="85">
        <v>46277</v>
      </c>
      <c r="X696" s="4" t="s">
        <v>1200</v>
      </c>
      <c r="Y696" s="4">
        <v>545281605</v>
      </c>
      <c r="Z696" s="4" t="s">
        <v>2050</v>
      </c>
      <c r="AA696" s="4" t="s">
        <v>85</v>
      </c>
      <c r="AB696" s="4" t="s">
        <v>4289</v>
      </c>
    </row>
    <row r="697" spans="1:28">
      <c r="A697" s="4">
        <v>696</v>
      </c>
      <c r="B697" s="5">
        <v>12791092</v>
      </c>
      <c r="C697" s="5">
        <v>204013689</v>
      </c>
      <c r="D697" s="115" t="s">
        <v>1403</v>
      </c>
      <c r="E697" s="4" t="s">
        <v>1404</v>
      </c>
      <c r="F697" s="7" t="s">
        <v>82</v>
      </c>
      <c r="G697" s="7" t="s">
        <v>76</v>
      </c>
      <c r="H697" s="7" t="s">
        <v>88</v>
      </c>
      <c r="I697" s="6" t="s">
        <v>1788</v>
      </c>
      <c r="J697" s="7" t="s">
        <v>5</v>
      </c>
      <c r="K697" s="4" t="s">
        <v>10</v>
      </c>
      <c r="L697" s="4" t="s">
        <v>24</v>
      </c>
      <c r="M697" s="4" t="s">
        <v>390</v>
      </c>
      <c r="N697" s="4" t="s">
        <v>2584</v>
      </c>
      <c r="O697" s="89"/>
      <c r="P697" s="25">
        <v>45551</v>
      </c>
      <c r="Q697" s="7" t="s">
        <v>1112</v>
      </c>
      <c r="R697" s="90" t="s">
        <v>3258</v>
      </c>
      <c r="S697" s="6" t="s">
        <v>1795</v>
      </c>
      <c r="T697" s="4" t="s">
        <v>81</v>
      </c>
      <c r="U697" s="4" t="s">
        <v>103</v>
      </c>
      <c r="V697" s="4">
        <v>99</v>
      </c>
      <c r="W697" s="85">
        <v>45916</v>
      </c>
      <c r="X697" s="4" t="s">
        <v>3739</v>
      </c>
      <c r="Y697" s="4">
        <v>508824364</v>
      </c>
      <c r="Z697" s="4" t="s">
        <v>2051</v>
      </c>
      <c r="AA697" s="4" t="s">
        <v>1207</v>
      </c>
      <c r="AB697" s="4" t="s">
        <v>4289</v>
      </c>
    </row>
    <row r="698" spans="1:28">
      <c r="A698" s="4">
        <v>697</v>
      </c>
      <c r="B698" s="4">
        <v>13985696</v>
      </c>
      <c r="C698" s="4">
        <v>205854274</v>
      </c>
      <c r="D698" s="115" t="s">
        <v>2689</v>
      </c>
      <c r="E698" s="4" t="s">
        <v>2690</v>
      </c>
      <c r="F698" s="7" t="s">
        <v>82</v>
      </c>
      <c r="G698" s="7" t="s">
        <v>89</v>
      </c>
      <c r="H698" s="7" t="s">
        <v>90</v>
      </c>
      <c r="I698" s="4" t="s">
        <v>1789</v>
      </c>
      <c r="J698" s="4" t="s">
        <v>5</v>
      </c>
      <c r="K698" s="4" t="s">
        <v>10</v>
      </c>
      <c r="L698" s="4" t="s">
        <v>23</v>
      </c>
      <c r="M698" s="4" t="s">
        <v>374</v>
      </c>
      <c r="N698" s="4"/>
      <c r="O698" s="4"/>
      <c r="P698" s="25">
        <v>46226</v>
      </c>
      <c r="Q698" s="4" t="s">
        <v>1112</v>
      </c>
      <c r="R698" s="7" t="s">
        <v>3257</v>
      </c>
      <c r="S698" s="6" t="s">
        <v>1796</v>
      </c>
      <c r="T698" s="4" t="s">
        <v>92</v>
      </c>
      <c r="U698" s="4"/>
      <c r="V698" s="4">
        <v>99</v>
      </c>
      <c r="W698" s="4"/>
      <c r="X698" s="4" t="s">
        <v>3979</v>
      </c>
      <c r="Y698" s="4">
        <v>588644925</v>
      </c>
      <c r="Z698" s="4" t="s">
        <v>4366</v>
      </c>
      <c r="AA698" s="4" t="s">
        <v>85</v>
      </c>
      <c r="AB698" s="4"/>
    </row>
    <row r="699" spans="1:28">
      <c r="A699" s="4">
        <v>698</v>
      </c>
      <c r="B699" s="4">
        <f>_xlfn.XLOOKUP(C699,'[1]employeeList-AUH1 (28)'!$A:$A,'[1]employeeList-AUH1 (28)'!$D:$D)</f>
        <v>14777852</v>
      </c>
      <c r="C699" s="5">
        <v>206868005</v>
      </c>
      <c r="D699" s="115" t="str">
        <f>VLOOKUP(C699,'[1]employeeList-AUH1 (28)'!$A$1:$J$1523,2,0)</f>
        <v>vdelacyr</v>
      </c>
      <c r="E699" s="4" t="s">
        <v>3350</v>
      </c>
      <c r="F699" s="7" t="s">
        <v>82</v>
      </c>
      <c r="G699" s="7" t="s">
        <v>75</v>
      </c>
      <c r="H699" s="7" t="s">
        <v>76</v>
      </c>
      <c r="I699" s="4" t="s">
        <v>1789</v>
      </c>
      <c r="J699" s="4" t="s">
        <v>5</v>
      </c>
      <c r="K699" s="4" t="s">
        <v>10</v>
      </c>
      <c r="L699" s="4" t="s">
        <v>24</v>
      </c>
      <c r="M699" s="4" t="s">
        <v>374</v>
      </c>
      <c r="N699" s="4"/>
      <c r="O699" s="4"/>
      <c r="P699" s="25">
        <v>46239</v>
      </c>
      <c r="Q699" s="4" t="s">
        <v>351</v>
      </c>
      <c r="R699" s="4"/>
      <c r="S699" s="6" t="s">
        <v>1796</v>
      </c>
      <c r="T699" s="4" t="s">
        <v>81</v>
      </c>
      <c r="U699" s="4"/>
      <c r="V699" s="4">
        <v>99</v>
      </c>
      <c r="W699" s="4"/>
      <c r="X699" s="4"/>
      <c r="Y699" s="4"/>
      <c r="Z699" s="4"/>
      <c r="AA699" s="4"/>
      <c r="AB699" s="4"/>
    </row>
    <row r="700" spans="1:28">
      <c r="A700" s="4">
        <v>699</v>
      </c>
      <c r="B700" s="5">
        <v>13232790</v>
      </c>
      <c r="C700" s="5">
        <v>204010041</v>
      </c>
      <c r="D700" s="115" t="s">
        <v>1364</v>
      </c>
      <c r="E700" s="4" t="s">
        <v>1365</v>
      </c>
      <c r="F700" s="7" t="s">
        <v>82</v>
      </c>
      <c r="G700" s="7" t="s">
        <v>87</v>
      </c>
      <c r="H700" s="7" t="s">
        <v>75</v>
      </c>
      <c r="I700" s="6" t="s">
        <v>1790</v>
      </c>
      <c r="J700" s="7" t="s">
        <v>5</v>
      </c>
      <c r="K700" s="4" t="s">
        <v>10</v>
      </c>
      <c r="L700" s="4" t="s">
        <v>22</v>
      </c>
      <c r="M700" s="4" t="s">
        <v>374</v>
      </c>
      <c r="N700" s="4" t="s">
        <v>2584</v>
      </c>
      <c r="O700" s="89"/>
      <c r="P700" s="25">
        <v>45551</v>
      </c>
      <c r="Q700" s="7" t="s">
        <v>1113</v>
      </c>
      <c r="R700" s="90" t="s">
        <v>3253</v>
      </c>
      <c r="S700" s="6" t="s">
        <v>1795</v>
      </c>
      <c r="T700" s="4" t="s">
        <v>81</v>
      </c>
      <c r="U700" s="4" t="s">
        <v>349</v>
      </c>
      <c r="V700" s="4">
        <v>99</v>
      </c>
      <c r="W700" s="85">
        <v>45607</v>
      </c>
      <c r="X700" s="4" t="s">
        <v>1216</v>
      </c>
      <c r="Y700" s="4">
        <v>585241294</v>
      </c>
      <c r="Z700" s="4" t="s">
        <v>2052</v>
      </c>
      <c r="AA700" s="4" t="s">
        <v>95</v>
      </c>
      <c r="AB700" s="4" t="s">
        <v>4289</v>
      </c>
    </row>
    <row r="701" spans="1:28">
      <c r="A701" s="4">
        <v>700</v>
      </c>
      <c r="B701" s="5">
        <v>15164965</v>
      </c>
      <c r="C701" s="5">
        <v>205839583</v>
      </c>
      <c r="D701" s="115" t="s">
        <v>2666</v>
      </c>
      <c r="E701" s="4" t="s">
        <v>2667</v>
      </c>
      <c r="F701" s="7" t="s">
        <v>82</v>
      </c>
      <c r="G701" s="7" t="s">
        <v>87</v>
      </c>
      <c r="H701" s="7" t="s">
        <v>75</v>
      </c>
      <c r="I701" s="7" t="s">
        <v>1789</v>
      </c>
      <c r="J701" s="7" t="s">
        <v>5</v>
      </c>
      <c r="K701" s="4" t="s">
        <v>10</v>
      </c>
      <c r="L701" s="4" t="s">
        <v>22</v>
      </c>
      <c r="M701" s="4" t="s">
        <v>390</v>
      </c>
      <c r="N701" s="4"/>
      <c r="O701" s="89"/>
      <c r="P701" s="25">
        <v>45894</v>
      </c>
      <c r="Q701" s="7" t="s">
        <v>1192</v>
      </c>
      <c r="R701" s="90" t="s">
        <v>2586</v>
      </c>
      <c r="S701" s="6" t="s">
        <v>1795</v>
      </c>
      <c r="T701" s="4" t="s">
        <v>81</v>
      </c>
      <c r="U701" s="4" t="s">
        <v>103</v>
      </c>
      <c r="V701" s="4">
        <v>99</v>
      </c>
      <c r="W701" s="85">
        <v>45949</v>
      </c>
      <c r="X701" s="4" t="s">
        <v>2758</v>
      </c>
      <c r="Y701" s="4">
        <v>567891181</v>
      </c>
      <c r="Z701" s="4" t="s">
        <v>2765</v>
      </c>
      <c r="AA701" s="4" t="s">
        <v>95</v>
      </c>
      <c r="AB701" s="4" t="s">
        <v>4289</v>
      </c>
    </row>
    <row r="702" spans="1:28">
      <c r="A702" s="4">
        <v>701</v>
      </c>
      <c r="B702" s="106">
        <v>15293997</v>
      </c>
      <c r="C702" s="106">
        <v>204967147</v>
      </c>
      <c r="D702" s="5" t="s">
        <v>2497</v>
      </c>
      <c r="E702" s="115" t="s">
        <v>2498</v>
      </c>
      <c r="F702" s="7" t="s">
        <v>74</v>
      </c>
      <c r="G702" s="7" t="s">
        <v>90</v>
      </c>
      <c r="H702" s="7" t="s">
        <v>87</v>
      </c>
      <c r="I702" s="6" t="s">
        <v>1790</v>
      </c>
      <c r="J702" s="7" t="s">
        <v>5</v>
      </c>
      <c r="K702" s="4" t="s">
        <v>10</v>
      </c>
      <c r="L702" s="4" t="s">
        <v>22</v>
      </c>
      <c r="M702" s="4" t="s">
        <v>2676</v>
      </c>
      <c r="N702" s="4" t="s">
        <v>2584</v>
      </c>
      <c r="O702" s="25"/>
      <c r="P702" s="25">
        <v>45789</v>
      </c>
      <c r="Q702" s="7" t="s">
        <v>1112</v>
      </c>
      <c r="R702" s="6" t="s">
        <v>3256</v>
      </c>
      <c r="S702" s="6" t="s">
        <v>1795</v>
      </c>
      <c r="T702" s="6" t="s">
        <v>81</v>
      </c>
      <c r="U702" s="6" t="s">
        <v>107</v>
      </c>
      <c r="V702" s="4">
        <v>99</v>
      </c>
      <c r="W702" s="6">
        <v>45831</v>
      </c>
      <c r="X702" s="6" t="s">
        <v>1216</v>
      </c>
      <c r="Y702" s="4">
        <v>502838422</v>
      </c>
      <c r="Z702" s="6" t="s">
        <v>4335</v>
      </c>
      <c r="AA702" s="6" t="s">
        <v>85</v>
      </c>
      <c r="AB702" s="4">
        <v>0</v>
      </c>
    </row>
    <row r="703" spans="1:28">
      <c r="A703" s="4">
        <v>702</v>
      </c>
      <c r="B703" s="5">
        <v>15023922</v>
      </c>
      <c r="C703" s="5">
        <v>204138497</v>
      </c>
      <c r="D703" s="115" t="s">
        <v>1579</v>
      </c>
      <c r="E703" s="4" t="s">
        <v>1545</v>
      </c>
      <c r="F703" s="7" t="s">
        <v>82</v>
      </c>
      <c r="G703" s="7" t="s">
        <v>88</v>
      </c>
      <c r="H703" s="7" t="s">
        <v>94</v>
      </c>
      <c r="I703" s="6" t="s">
        <v>1788</v>
      </c>
      <c r="J703" s="7" t="s">
        <v>5</v>
      </c>
      <c r="K703" s="4" t="s">
        <v>10</v>
      </c>
      <c r="L703" s="4" t="s">
        <v>24</v>
      </c>
      <c r="M703" s="4" t="s">
        <v>390</v>
      </c>
      <c r="N703" s="4" t="s">
        <v>2584</v>
      </c>
      <c r="O703" s="89"/>
      <c r="P703" s="25">
        <v>45565</v>
      </c>
      <c r="Q703" s="7" t="s">
        <v>1112</v>
      </c>
      <c r="R703" s="90" t="s">
        <v>3254</v>
      </c>
      <c r="S703" s="6" t="s">
        <v>1795</v>
      </c>
      <c r="T703" s="4" t="s">
        <v>81</v>
      </c>
      <c r="U703" s="4" t="s">
        <v>112</v>
      </c>
      <c r="V703" s="4">
        <v>99</v>
      </c>
      <c r="W703" s="85">
        <v>46295</v>
      </c>
      <c r="X703" s="4" t="s">
        <v>3739</v>
      </c>
      <c r="Y703" s="4">
        <v>506986467</v>
      </c>
      <c r="Z703" s="4" t="s">
        <v>1562</v>
      </c>
      <c r="AA703" s="4" t="s">
        <v>85</v>
      </c>
      <c r="AB703" s="4" t="s">
        <v>4289</v>
      </c>
    </row>
    <row r="704" spans="1:28" ht="14.5" customHeight="1">
      <c r="A704" s="4">
        <v>703</v>
      </c>
      <c r="B704" s="5">
        <v>15113835</v>
      </c>
      <c r="C704" s="5">
        <v>206846688</v>
      </c>
      <c r="D704" s="115" t="s">
        <v>3324</v>
      </c>
      <c r="E704" s="5" t="s">
        <v>3325</v>
      </c>
      <c r="F704" s="7" t="s">
        <v>82</v>
      </c>
      <c r="G704" s="7" t="s">
        <v>94</v>
      </c>
      <c r="H704" s="7" t="s">
        <v>89</v>
      </c>
      <c r="I704" s="7" t="s">
        <v>1789</v>
      </c>
      <c r="J704" s="7" t="s">
        <v>5</v>
      </c>
      <c r="K704" s="4" t="s">
        <v>10</v>
      </c>
      <c r="L704" s="5" t="s">
        <v>22</v>
      </c>
      <c r="M704" s="5" t="s">
        <v>4313</v>
      </c>
      <c r="N704" s="5" t="s">
        <v>3289</v>
      </c>
      <c r="O704" s="89"/>
      <c r="P704" s="25">
        <v>46013</v>
      </c>
      <c r="Q704" s="7" t="s">
        <v>1112</v>
      </c>
      <c r="R704" s="90" t="s">
        <v>3253</v>
      </c>
      <c r="S704" s="5" t="s">
        <v>1795</v>
      </c>
      <c r="T704" s="5" t="s">
        <v>81</v>
      </c>
      <c r="U704" s="5"/>
      <c r="V704" s="5">
        <v>99</v>
      </c>
      <c r="W704" s="91">
        <v>45648</v>
      </c>
      <c r="X704" s="5" t="s">
        <v>3290</v>
      </c>
      <c r="Y704" s="5" t="s">
        <v>3336</v>
      </c>
      <c r="Z704" s="5" t="s">
        <v>3337</v>
      </c>
      <c r="AA704" s="4" t="s">
        <v>95</v>
      </c>
      <c r="AB704" s="4" t="s">
        <v>4289</v>
      </c>
    </row>
    <row r="705" spans="1:28">
      <c r="A705" s="4">
        <v>704</v>
      </c>
      <c r="B705" s="5">
        <v>14694675</v>
      </c>
      <c r="C705" s="5">
        <v>203965177</v>
      </c>
      <c r="D705" s="115" t="s">
        <v>1241</v>
      </c>
      <c r="E705" s="4" t="s">
        <v>1242</v>
      </c>
      <c r="F705" s="7" t="s">
        <v>74</v>
      </c>
      <c r="G705" s="7" t="s">
        <v>87</v>
      </c>
      <c r="H705" s="7" t="s">
        <v>75</v>
      </c>
      <c r="I705" s="6" t="s">
        <v>1788</v>
      </c>
      <c r="J705" s="7" t="s">
        <v>5</v>
      </c>
      <c r="K705" s="4" t="s">
        <v>10</v>
      </c>
      <c r="L705" s="4" t="s">
        <v>24</v>
      </c>
      <c r="M705" s="4" t="s">
        <v>2741</v>
      </c>
      <c r="N705" s="4" t="s">
        <v>2584</v>
      </c>
      <c r="O705" s="89"/>
      <c r="P705" s="25">
        <v>45544</v>
      </c>
      <c r="Q705" s="7" t="s">
        <v>1112</v>
      </c>
      <c r="R705" s="90" t="s">
        <v>3255</v>
      </c>
      <c r="S705" s="6" t="s">
        <v>1795</v>
      </c>
      <c r="T705" s="4" t="s">
        <v>81</v>
      </c>
      <c r="U705" s="4" t="s">
        <v>112</v>
      </c>
      <c r="V705" s="4">
        <v>99</v>
      </c>
      <c r="W705" s="85">
        <v>46274</v>
      </c>
      <c r="X705" s="4" t="s">
        <v>3739</v>
      </c>
      <c r="Y705" s="4">
        <v>556850551</v>
      </c>
      <c r="Z705" s="4" t="s">
        <v>2053</v>
      </c>
      <c r="AA705" s="4" t="s">
        <v>85</v>
      </c>
      <c r="AB705" s="4" t="s">
        <v>4289</v>
      </c>
    </row>
    <row r="706" spans="1:28">
      <c r="A706" s="4">
        <v>705</v>
      </c>
      <c r="B706" s="5">
        <v>12396558</v>
      </c>
      <c r="C706" s="5">
        <v>102434089</v>
      </c>
      <c r="D706" s="115" t="s">
        <v>432</v>
      </c>
      <c r="E706" s="4" t="s">
        <v>433</v>
      </c>
      <c r="F706" s="7" t="s">
        <v>74</v>
      </c>
      <c r="G706" s="7" t="s">
        <v>76</v>
      </c>
      <c r="H706" s="7" t="s">
        <v>88</v>
      </c>
      <c r="I706" s="6" t="s">
        <v>244</v>
      </c>
      <c r="J706" s="7" t="s">
        <v>5</v>
      </c>
      <c r="K706" s="4" t="s">
        <v>10</v>
      </c>
      <c r="L706" s="4" t="s">
        <v>21</v>
      </c>
      <c r="M706" s="4" t="s">
        <v>374</v>
      </c>
      <c r="N706" s="4" t="s">
        <v>2583</v>
      </c>
      <c r="O706" s="89"/>
      <c r="P706" s="25">
        <v>42897</v>
      </c>
      <c r="Q706" s="7" t="s">
        <v>351</v>
      </c>
      <c r="R706" s="90" t="s">
        <v>3262</v>
      </c>
      <c r="S706" s="6" t="s">
        <v>1795</v>
      </c>
      <c r="T706" s="4" t="s">
        <v>81</v>
      </c>
      <c r="U706" s="4" t="s">
        <v>107</v>
      </c>
      <c r="V706" s="4">
        <v>3</v>
      </c>
      <c r="W706" s="85"/>
      <c r="X706" s="4" t="s">
        <v>3739</v>
      </c>
      <c r="Y706" s="4">
        <v>0</v>
      </c>
      <c r="Z706" s="4" t="e">
        <v>#N/A</v>
      </c>
      <c r="AA706" s="4" t="s">
        <v>2269</v>
      </c>
      <c r="AB706" s="4" t="s">
        <v>4289</v>
      </c>
    </row>
    <row r="707" spans="1:28">
      <c r="A707" s="4">
        <v>706</v>
      </c>
      <c r="B707" s="5">
        <v>14775362</v>
      </c>
      <c r="C707" s="5">
        <v>206199998</v>
      </c>
      <c r="D707" s="115" t="s">
        <v>3000</v>
      </c>
      <c r="E707" s="4" t="s">
        <v>3001</v>
      </c>
      <c r="F707" s="7" t="s">
        <v>74</v>
      </c>
      <c r="G707" s="7" t="s">
        <v>94</v>
      </c>
      <c r="H707" s="7" t="s">
        <v>89</v>
      </c>
      <c r="I707" s="7" t="s">
        <v>1789</v>
      </c>
      <c r="J707" s="7" t="s">
        <v>5</v>
      </c>
      <c r="K707" s="4" t="s">
        <v>10</v>
      </c>
      <c r="L707" s="4" t="s">
        <v>24</v>
      </c>
      <c r="M707" s="4" t="s">
        <v>4314</v>
      </c>
      <c r="N707" s="4" t="s">
        <v>2584</v>
      </c>
      <c r="O707" s="89"/>
      <c r="P707" s="25">
        <v>45936</v>
      </c>
      <c r="Q707" s="7" t="s">
        <v>1112</v>
      </c>
      <c r="R707" s="90" t="s">
        <v>3252</v>
      </c>
      <c r="S707" s="6" t="s">
        <v>3012</v>
      </c>
      <c r="T707" s="4" t="s">
        <v>81</v>
      </c>
      <c r="U707" s="4" t="s">
        <v>103</v>
      </c>
      <c r="V707" s="4">
        <v>99</v>
      </c>
      <c r="W707" s="85">
        <v>45996</v>
      </c>
      <c r="X707" s="4" t="s">
        <v>3688</v>
      </c>
      <c r="Y707" s="4">
        <v>508687317</v>
      </c>
      <c r="Z707" s="4" t="s">
        <v>3042</v>
      </c>
      <c r="AA707" s="4" t="s">
        <v>1204</v>
      </c>
      <c r="AB707" s="4" t="s">
        <v>4289</v>
      </c>
    </row>
    <row r="708" spans="1:28">
      <c r="A708" s="4">
        <v>707</v>
      </c>
      <c r="B708" s="106">
        <v>14780521</v>
      </c>
      <c r="C708" s="5">
        <v>205861618</v>
      </c>
      <c r="D708" s="115" t="s">
        <v>4084</v>
      </c>
      <c r="E708" s="4" t="s">
        <v>4109</v>
      </c>
      <c r="F708" s="7" t="s">
        <v>82</v>
      </c>
      <c r="G708" s="7" t="s">
        <v>75</v>
      </c>
      <c r="H708" s="7" t="s">
        <v>76</v>
      </c>
      <c r="I708" s="7" t="s">
        <v>1789</v>
      </c>
      <c r="J708" s="7" t="s">
        <v>5</v>
      </c>
      <c r="K708" s="4" t="s">
        <v>10</v>
      </c>
      <c r="L708" s="4" t="s">
        <v>23</v>
      </c>
      <c r="M708" s="4" t="s">
        <v>390</v>
      </c>
      <c r="N708" s="4" t="s">
        <v>2584</v>
      </c>
      <c r="O708" s="89"/>
      <c r="P708" s="25">
        <v>46048</v>
      </c>
      <c r="Q708" s="7" t="s">
        <v>1112</v>
      </c>
      <c r="R708" s="90" t="s">
        <v>2586</v>
      </c>
      <c r="S708" s="7" t="s">
        <v>1795</v>
      </c>
      <c r="T708" s="4" t="s">
        <v>81</v>
      </c>
      <c r="U708" s="4"/>
      <c r="V708" s="4">
        <v>99</v>
      </c>
      <c r="W708" s="85">
        <v>46104</v>
      </c>
      <c r="X708" s="4"/>
      <c r="Y708" s="4"/>
      <c r="Z708" s="4"/>
      <c r="AA708" s="4"/>
      <c r="AB708" s="4" t="e">
        <v>#N/A</v>
      </c>
    </row>
    <row r="709" spans="1:28">
      <c r="A709" s="4">
        <v>708</v>
      </c>
      <c r="B709" s="4">
        <v>14405567</v>
      </c>
      <c r="C709" s="4">
        <v>206247771</v>
      </c>
      <c r="D709" s="115" t="s">
        <v>3095</v>
      </c>
      <c r="E709" s="4" t="s">
        <v>3096</v>
      </c>
      <c r="F709" s="7" t="s">
        <v>82</v>
      </c>
      <c r="G709" s="7" t="s">
        <v>76</v>
      </c>
      <c r="H709" s="7" t="s">
        <v>88</v>
      </c>
      <c r="I709" s="4" t="s">
        <v>1789</v>
      </c>
      <c r="J709" s="4" t="s">
        <v>5</v>
      </c>
      <c r="K709" s="4" t="s">
        <v>10</v>
      </c>
      <c r="L709" s="4" t="s">
        <v>23</v>
      </c>
      <c r="M709" s="4" t="s">
        <v>390</v>
      </c>
      <c r="N709" s="4"/>
      <c r="O709" s="4"/>
      <c r="P709" s="25">
        <v>46226</v>
      </c>
      <c r="Q709" s="4" t="s">
        <v>1112</v>
      </c>
      <c r="R709" s="4" t="s">
        <v>3261</v>
      </c>
      <c r="S709" s="6" t="s">
        <v>1796</v>
      </c>
      <c r="T709" s="4" t="s">
        <v>92</v>
      </c>
      <c r="U709" s="4"/>
      <c r="V709" s="4">
        <v>99</v>
      </c>
      <c r="W709" s="4"/>
      <c r="X709" s="4" t="s">
        <v>3979</v>
      </c>
      <c r="Y709" s="4" t="s">
        <v>4369</v>
      </c>
      <c r="Z709" s="4" t="s">
        <v>4370</v>
      </c>
      <c r="AA709" s="4" t="s">
        <v>1204</v>
      </c>
      <c r="AB709" s="4"/>
    </row>
    <row r="710" spans="1:28">
      <c r="A710" s="4">
        <v>709</v>
      </c>
      <c r="B710" s="5">
        <v>14770905</v>
      </c>
      <c r="C710" s="5">
        <v>204319798</v>
      </c>
      <c r="D710" s="115" t="s">
        <v>1750</v>
      </c>
      <c r="E710" s="4" t="s">
        <v>1708</v>
      </c>
      <c r="F710" s="7" t="s">
        <v>82</v>
      </c>
      <c r="G710" s="7" t="s">
        <v>76</v>
      </c>
      <c r="H710" s="7" t="s">
        <v>88</v>
      </c>
      <c r="I710" s="6" t="s">
        <v>1790</v>
      </c>
      <c r="J710" s="7" t="s">
        <v>5</v>
      </c>
      <c r="K710" s="4" t="s">
        <v>10</v>
      </c>
      <c r="L710" s="4" t="s">
        <v>27</v>
      </c>
      <c r="M710" s="4" t="s">
        <v>4361</v>
      </c>
      <c r="N710" s="4" t="s">
        <v>2584</v>
      </c>
      <c r="O710" s="89"/>
      <c r="P710" s="25">
        <v>45589</v>
      </c>
      <c r="Q710" s="7" t="s">
        <v>351</v>
      </c>
      <c r="R710" s="90" t="s">
        <v>3264</v>
      </c>
      <c r="S710" s="6" t="s">
        <v>1795</v>
      </c>
      <c r="T710" s="4" t="s">
        <v>81</v>
      </c>
      <c r="U710" s="4" t="s">
        <v>103</v>
      </c>
      <c r="V710" s="4">
        <v>99</v>
      </c>
      <c r="W710" s="85">
        <v>46319</v>
      </c>
      <c r="X710" s="4" t="s">
        <v>3690</v>
      </c>
      <c r="Y710" s="4">
        <v>566904776</v>
      </c>
      <c r="Z710" s="4">
        <v>0</v>
      </c>
      <c r="AA710" s="4" t="s">
        <v>1203</v>
      </c>
      <c r="AB710" s="4" t="s">
        <v>4289</v>
      </c>
    </row>
    <row r="711" spans="1:28" ht="14.5" customHeight="1">
      <c r="A711" s="4">
        <v>710</v>
      </c>
      <c r="B711" s="5">
        <v>13042327</v>
      </c>
      <c r="C711" s="5">
        <v>206915474</v>
      </c>
      <c r="D711" s="115" t="s">
        <v>3854</v>
      </c>
      <c r="E711" s="4" t="s">
        <v>3677</v>
      </c>
      <c r="F711" s="7" t="s">
        <v>74</v>
      </c>
      <c r="G711" s="7" t="s">
        <v>75</v>
      </c>
      <c r="H711" s="7" t="s">
        <v>76</v>
      </c>
      <c r="I711" s="7" t="s">
        <v>1789</v>
      </c>
      <c r="J711" s="7" t="s">
        <v>5</v>
      </c>
      <c r="K711" s="4" t="s">
        <v>10</v>
      </c>
      <c r="L711" s="4" t="s">
        <v>22</v>
      </c>
      <c r="M711" s="4" t="s">
        <v>374</v>
      </c>
      <c r="N711" s="4" t="s">
        <v>2584</v>
      </c>
      <c r="O711" s="89"/>
      <c r="P711" s="25">
        <v>46034</v>
      </c>
      <c r="Q711" s="7" t="s">
        <v>1112</v>
      </c>
      <c r="R711" s="7" t="s">
        <v>3257</v>
      </c>
      <c r="S711" s="6" t="s">
        <v>1795</v>
      </c>
      <c r="T711" s="4" t="s">
        <v>81</v>
      </c>
      <c r="U711" s="4"/>
      <c r="V711" s="4">
        <v>99</v>
      </c>
      <c r="W711" s="85">
        <v>46414</v>
      </c>
      <c r="X711" s="4" t="s">
        <v>3290</v>
      </c>
      <c r="Y711" s="4">
        <v>525422506</v>
      </c>
      <c r="Z711" s="4" t="s">
        <v>3683</v>
      </c>
      <c r="AA711" s="4" t="s">
        <v>3016</v>
      </c>
      <c r="AB711" s="4" t="s">
        <v>4289</v>
      </c>
    </row>
    <row r="712" spans="1:28">
      <c r="A712" s="4">
        <v>711</v>
      </c>
      <c r="B712" s="5">
        <v>14040257</v>
      </c>
      <c r="C712" s="5">
        <v>203850766</v>
      </c>
      <c r="D712" s="115" t="s">
        <v>752</v>
      </c>
      <c r="E712" s="4" t="s">
        <v>753</v>
      </c>
      <c r="F712" s="7" t="s">
        <v>82</v>
      </c>
      <c r="G712" s="7" t="s">
        <v>90</v>
      </c>
      <c r="H712" s="7" t="s">
        <v>87</v>
      </c>
      <c r="I712" s="6" t="s">
        <v>1790</v>
      </c>
      <c r="J712" s="7" t="s">
        <v>5</v>
      </c>
      <c r="K712" s="4" t="s">
        <v>10</v>
      </c>
      <c r="L712" s="4" t="s">
        <v>22</v>
      </c>
      <c r="M712" s="4" t="s">
        <v>390</v>
      </c>
      <c r="N712" s="4" t="s">
        <v>2584</v>
      </c>
      <c r="O712" s="89"/>
      <c r="P712" s="25">
        <v>45524</v>
      </c>
      <c r="Q712" s="7" t="s">
        <v>1112</v>
      </c>
      <c r="R712" s="90" t="s">
        <v>3256</v>
      </c>
      <c r="S712" s="6" t="s">
        <v>1795</v>
      </c>
      <c r="T712" s="4" t="s">
        <v>81</v>
      </c>
      <c r="U712" s="4" t="s">
        <v>349</v>
      </c>
      <c r="V712" s="4">
        <v>99</v>
      </c>
      <c r="W712" s="85">
        <v>45580</v>
      </c>
      <c r="X712" s="4" t="s">
        <v>1216</v>
      </c>
      <c r="Y712" s="4">
        <v>552489538</v>
      </c>
      <c r="Z712" s="4" t="s">
        <v>2054</v>
      </c>
      <c r="AA712" s="4" t="s">
        <v>95</v>
      </c>
      <c r="AB712" s="4" t="s">
        <v>4289</v>
      </c>
    </row>
    <row r="713" spans="1:28">
      <c r="A713" s="4">
        <v>712</v>
      </c>
      <c r="B713" s="5">
        <v>11034437</v>
      </c>
      <c r="C713" s="5">
        <v>203908841</v>
      </c>
      <c r="D713" s="115" t="s">
        <v>1123</v>
      </c>
      <c r="E713" s="4" t="s">
        <v>1124</v>
      </c>
      <c r="F713" s="7" t="s">
        <v>74</v>
      </c>
      <c r="G713" s="7" t="s">
        <v>94</v>
      </c>
      <c r="H713" s="7" t="s">
        <v>89</v>
      </c>
      <c r="I713" s="6" t="s">
        <v>1788</v>
      </c>
      <c r="J713" s="7" t="s">
        <v>5</v>
      </c>
      <c r="K713" s="4" t="s">
        <v>10</v>
      </c>
      <c r="L713" s="4" t="s">
        <v>24</v>
      </c>
      <c r="M713" s="4" t="s">
        <v>3321</v>
      </c>
      <c r="N713" s="4" t="s">
        <v>2584</v>
      </c>
      <c r="O713" s="89"/>
      <c r="P713" s="25">
        <v>45537</v>
      </c>
      <c r="Q713" s="7" t="s">
        <v>1112</v>
      </c>
      <c r="R713" s="90" t="s">
        <v>3253</v>
      </c>
      <c r="S713" s="6" t="s">
        <v>1795</v>
      </c>
      <c r="T713" s="4" t="s">
        <v>81</v>
      </c>
      <c r="U713" s="4" t="s">
        <v>107</v>
      </c>
      <c r="V713" s="4">
        <v>99</v>
      </c>
      <c r="W713" s="85">
        <v>45902</v>
      </c>
      <c r="X713" s="4" t="s">
        <v>3694</v>
      </c>
      <c r="Y713" s="4">
        <v>558568413</v>
      </c>
      <c r="Z713" s="4" t="s">
        <v>2055</v>
      </c>
      <c r="AA713" s="4" t="s">
        <v>85</v>
      </c>
      <c r="AB713" s="4" t="s">
        <v>4289</v>
      </c>
    </row>
    <row r="714" spans="1:28">
      <c r="A714" s="4">
        <v>713</v>
      </c>
      <c r="B714" s="5">
        <v>12357992</v>
      </c>
      <c r="C714" s="5">
        <v>206930333</v>
      </c>
      <c r="D714" s="115" t="s">
        <v>3932</v>
      </c>
      <c r="E714" s="4" t="s">
        <v>3933</v>
      </c>
      <c r="F714" s="7" t="s">
        <v>74</v>
      </c>
      <c r="G714" s="7" t="s">
        <v>88</v>
      </c>
      <c r="H714" s="7" t="s">
        <v>94</v>
      </c>
      <c r="I714" s="7" t="s">
        <v>1789</v>
      </c>
      <c r="J714" s="7" t="s">
        <v>5</v>
      </c>
      <c r="K714" s="7" t="s">
        <v>10</v>
      </c>
      <c r="L714" s="7" t="s">
        <v>23</v>
      </c>
      <c r="M714" s="7" t="s">
        <v>390</v>
      </c>
      <c r="N714" s="4" t="s">
        <v>2584</v>
      </c>
      <c r="O714" s="89"/>
      <c r="P714" s="25">
        <v>46037</v>
      </c>
      <c r="Q714" s="7" t="s">
        <v>1112</v>
      </c>
      <c r="R714" s="90" t="s">
        <v>3253</v>
      </c>
      <c r="S714" s="6" t="s">
        <v>1795</v>
      </c>
      <c r="T714" s="4" t="s">
        <v>92</v>
      </c>
      <c r="U714" s="4"/>
      <c r="V714" s="4">
        <v>99</v>
      </c>
      <c r="W714" s="4"/>
      <c r="X714" s="4" t="s">
        <v>3929</v>
      </c>
      <c r="Y714" s="4" t="s">
        <v>3934</v>
      </c>
      <c r="Z714" s="4" t="s">
        <v>3935</v>
      </c>
      <c r="AA714" s="4" t="s">
        <v>3911</v>
      </c>
      <c r="AB714" s="4" t="s">
        <v>4289</v>
      </c>
    </row>
    <row r="715" spans="1:28">
      <c r="A715" s="4">
        <v>714</v>
      </c>
      <c r="B715" s="5">
        <v>12994705</v>
      </c>
      <c r="C715" s="5">
        <v>203813032</v>
      </c>
      <c r="D715" s="115" t="s">
        <v>698</v>
      </c>
      <c r="E715" s="4" t="s">
        <v>699</v>
      </c>
      <c r="F715" s="7" t="s">
        <v>74</v>
      </c>
      <c r="G715" s="7" t="s">
        <v>75</v>
      </c>
      <c r="H715" s="7" t="s">
        <v>76</v>
      </c>
      <c r="I715" s="6" t="s">
        <v>1790</v>
      </c>
      <c r="J715" s="7" t="s">
        <v>5</v>
      </c>
      <c r="K715" s="4" t="s">
        <v>10</v>
      </c>
      <c r="L715" s="4" t="s">
        <v>20</v>
      </c>
      <c r="M715" s="4" t="s">
        <v>4361</v>
      </c>
      <c r="N715" s="4" t="s">
        <v>2584</v>
      </c>
      <c r="O715" s="89"/>
      <c r="P715" s="25">
        <v>45517</v>
      </c>
      <c r="Q715" s="7" t="s">
        <v>1112</v>
      </c>
      <c r="R715" s="90" t="s">
        <v>3254</v>
      </c>
      <c r="S715" s="6" t="s">
        <v>1795</v>
      </c>
      <c r="T715" s="4" t="s">
        <v>1199</v>
      </c>
      <c r="U715" s="4" t="s">
        <v>107</v>
      </c>
      <c r="V715" s="4">
        <v>99</v>
      </c>
      <c r="W715" s="85">
        <v>46247</v>
      </c>
      <c r="X715" s="4" t="s">
        <v>3688</v>
      </c>
      <c r="Y715" s="4">
        <v>509626975</v>
      </c>
      <c r="Z715" s="4" t="s">
        <v>2056</v>
      </c>
      <c r="AA715" s="4" t="s">
        <v>1194</v>
      </c>
      <c r="AB715" s="4" t="s">
        <v>4289</v>
      </c>
    </row>
    <row r="716" spans="1:28">
      <c r="A716" s="4">
        <v>715</v>
      </c>
      <c r="B716" s="5">
        <v>12822657</v>
      </c>
      <c r="C716" s="5">
        <v>204009619</v>
      </c>
      <c r="D716" s="115" t="s">
        <v>1397</v>
      </c>
      <c r="E716" s="4" t="s">
        <v>1398</v>
      </c>
      <c r="F716" s="7" t="s">
        <v>82</v>
      </c>
      <c r="G716" s="7" t="s">
        <v>94</v>
      </c>
      <c r="H716" s="7" t="s">
        <v>89</v>
      </c>
      <c r="I716" s="6" t="s">
        <v>1790</v>
      </c>
      <c r="J716" s="7" t="s">
        <v>5</v>
      </c>
      <c r="K716" s="4" t="s">
        <v>10</v>
      </c>
      <c r="L716" s="4" t="s">
        <v>22</v>
      </c>
      <c r="M716" s="4" t="s">
        <v>3321</v>
      </c>
      <c r="N716" s="4" t="s">
        <v>2584</v>
      </c>
      <c r="O716" s="89"/>
      <c r="P716" s="25">
        <v>45551</v>
      </c>
      <c r="Q716" s="7" t="s">
        <v>1112</v>
      </c>
      <c r="R716" s="90" t="s">
        <v>2586</v>
      </c>
      <c r="S716" s="6" t="s">
        <v>1795</v>
      </c>
      <c r="T716" s="4" t="s">
        <v>81</v>
      </c>
      <c r="U716" s="4" t="s">
        <v>103</v>
      </c>
      <c r="V716" s="4">
        <v>99</v>
      </c>
      <c r="W716" s="85">
        <v>45607</v>
      </c>
      <c r="X716" s="4" t="s">
        <v>1216</v>
      </c>
      <c r="Y716" s="4">
        <v>558650480</v>
      </c>
      <c r="Z716" s="4" t="s">
        <v>1428</v>
      </c>
      <c r="AA716" s="4" t="s">
        <v>1202</v>
      </c>
      <c r="AB716" s="4" t="s">
        <v>4289</v>
      </c>
    </row>
    <row r="717" spans="1:28">
      <c r="A717" s="4">
        <v>716</v>
      </c>
      <c r="B717" s="5">
        <v>197144</v>
      </c>
      <c r="C717" s="5">
        <v>204094216</v>
      </c>
      <c r="D717" s="115" t="s">
        <v>1486</v>
      </c>
      <c r="E717" s="4" t="s">
        <v>1487</v>
      </c>
      <c r="F717" s="7" t="s">
        <v>82</v>
      </c>
      <c r="G717" s="7" t="s">
        <v>87</v>
      </c>
      <c r="H717" s="7" t="s">
        <v>75</v>
      </c>
      <c r="I717" s="6" t="s">
        <v>1790</v>
      </c>
      <c r="J717" s="7" t="s">
        <v>5</v>
      </c>
      <c r="K717" s="4" t="s">
        <v>10</v>
      </c>
      <c r="L717" s="4" t="s">
        <v>27</v>
      </c>
      <c r="M717" s="4" t="s">
        <v>374</v>
      </c>
      <c r="N717" s="4" t="s">
        <v>2584</v>
      </c>
      <c r="O717" s="89"/>
      <c r="P717" s="25">
        <v>45561</v>
      </c>
      <c r="Q717" s="7" t="s">
        <v>1192</v>
      </c>
      <c r="R717" s="90" t="s">
        <v>3261</v>
      </c>
      <c r="S717" s="6" t="s">
        <v>1795</v>
      </c>
      <c r="T717" s="4" t="s">
        <v>92</v>
      </c>
      <c r="U717" s="4" t="s">
        <v>349</v>
      </c>
      <c r="V717" s="4">
        <v>99</v>
      </c>
      <c r="W717" s="85">
        <v>46291</v>
      </c>
      <c r="X717" s="4" t="s">
        <v>3739</v>
      </c>
      <c r="Y717" s="4">
        <v>558047347</v>
      </c>
      <c r="Z717" s="4" t="s">
        <v>2057</v>
      </c>
      <c r="AA717" s="4" t="s">
        <v>1196</v>
      </c>
      <c r="AB717" s="4" t="s">
        <v>4289</v>
      </c>
    </row>
    <row r="718" spans="1:28">
      <c r="A718" s="4">
        <v>717</v>
      </c>
      <c r="B718" s="5">
        <v>13647110</v>
      </c>
      <c r="C718" s="5">
        <v>202516581</v>
      </c>
      <c r="D718" s="115" t="s">
        <v>1101</v>
      </c>
      <c r="E718" s="4" t="s">
        <v>1093</v>
      </c>
      <c r="F718" s="7" t="s">
        <v>82</v>
      </c>
      <c r="G718" s="7" t="s">
        <v>88</v>
      </c>
      <c r="H718" s="7" t="s">
        <v>94</v>
      </c>
      <c r="I718" s="6" t="s">
        <v>1788</v>
      </c>
      <c r="J718" s="7" t="s">
        <v>5</v>
      </c>
      <c r="K718" s="4" t="s">
        <v>10</v>
      </c>
      <c r="L718" s="4" t="s">
        <v>24</v>
      </c>
      <c r="M718" s="4" t="s">
        <v>3321</v>
      </c>
      <c r="N718" s="4" t="s">
        <v>2584</v>
      </c>
      <c r="O718" s="89"/>
      <c r="P718" s="25">
        <v>45530</v>
      </c>
      <c r="Q718" s="7" t="s">
        <v>1112</v>
      </c>
      <c r="R718" s="90" t="s">
        <v>3252</v>
      </c>
      <c r="S718" s="6" t="s">
        <v>1795</v>
      </c>
      <c r="T718" s="4" t="s">
        <v>92</v>
      </c>
      <c r="U718" s="4" t="s">
        <v>103</v>
      </c>
      <c r="V718" s="4">
        <v>99</v>
      </c>
      <c r="W718" s="85">
        <v>46260</v>
      </c>
      <c r="X718" s="4" t="s">
        <v>3694</v>
      </c>
      <c r="Y718" s="4">
        <v>561391964</v>
      </c>
      <c r="Z718" s="4" t="s">
        <v>2228</v>
      </c>
      <c r="AA718" s="4" t="s">
        <v>85</v>
      </c>
      <c r="AB718" s="4" t="s">
        <v>4289</v>
      </c>
    </row>
    <row r="719" spans="1:28">
      <c r="A719" s="4">
        <v>718</v>
      </c>
      <c r="B719" s="4">
        <f>_xlfn.XLOOKUP(C719,'[1]employeeList-AUH1 (28)'!$A:$A,'[1]employeeList-AUH1 (28)'!$D:$D)</f>
        <v>15320843</v>
      </c>
      <c r="C719" s="5">
        <v>206868288</v>
      </c>
      <c r="D719" s="115" t="str">
        <f>VLOOKUP(C719,'[1]employeeList-AUH1 (28)'!$A$1:$J$1523,2,0)</f>
        <v>margdufi</v>
      </c>
      <c r="E719" s="4" t="s">
        <v>3356</v>
      </c>
      <c r="F719" s="7" t="s">
        <v>82</v>
      </c>
      <c r="G719" s="7" t="s">
        <v>90</v>
      </c>
      <c r="H719" s="7" t="s">
        <v>87</v>
      </c>
      <c r="I719" s="4" t="s">
        <v>1789</v>
      </c>
      <c r="J719" s="4" t="s">
        <v>5</v>
      </c>
      <c r="K719" s="4" t="s">
        <v>10</v>
      </c>
      <c r="L719" s="4" t="s">
        <v>24</v>
      </c>
      <c r="M719" s="4" t="s">
        <v>374</v>
      </c>
      <c r="N719" s="4"/>
      <c r="O719" s="4"/>
      <c r="P719" s="25">
        <v>46239</v>
      </c>
      <c r="Q719" s="4" t="s">
        <v>351</v>
      </c>
      <c r="R719" s="4"/>
      <c r="S719" s="6" t="s">
        <v>1796</v>
      </c>
      <c r="T719" s="4" t="s">
        <v>92</v>
      </c>
      <c r="U719" s="4"/>
      <c r="V719" s="4">
        <v>99</v>
      </c>
      <c r="W719" s="4"/>
      <c r="X719" s="4"/>
      <c r="Y719" s="4"/>
      <c r="Z719" s="4"/>
      <c r="AA719" s="4"/>
      <c r="AB719" s="4"/>
    </row>
    <row r="720" spans="1:28">
      <c r="A720" s="4">
        <v>719</v>
      </c>
      <c r="B720" s="5">
        <v>12189803</v>
      </c>
      <c r="C720" s="5">
        <v>203908859</v>
      </c>
      <c r="D720" s="115" t="s">
        <v>1125</v>
      </c>
      <c r="E720" s="4" t="s">
        <v>1126</v>
      </c>
      <c r="F720" s="7" t="s">
        <v>74</v>
      </c>
      <c r="G720" s="7" t="s">
        <v>94</v>
      </c>
      <c r="H720" s="7" t="s">
        <v>89</v>
      </c>
      <c r="I720" s="6" t="s">
        <v>1788</v>
      </c>
      <c r="J720" s="7" t="s">
        <v>5</v>
      </c>
      <c r="K720" s="4" t="s">
        <v>10</v>
      </c>
      <c r="L720" s="4" t="s">
        <v>24</v>
      </c>
      <c r="M720" s="4" t="s">
        <v>3321</v>
      </c>
      <c r="N720" s="4" t="s">
        <v>2584</v>
      </c>
      <c r="O720" s="89"/>
      <c r="P720" s="25">
        <v>45537</v>
      </c>
      <c r="Q720" s="7" t="s">
        <v>1112</v>
      </c>
      <c r="R720" s="90" t="s">
        <v>3253</v>
      </c>
      <c r="S720" s="6" t="s">
        <v>1795</v>
      </c>
      <c r="T720" s="4" t="s">
        <v>81</v>
      </c>
      <c r="U720" s="4" t="s">
        <v>112</v>
      </c>
      <c r="V720" s="4">
        <v>99</v>
      </c>
      <c r="W720" s="85">
        <v>45902</v>
      </c>
      <c r="X720" s="4" t="s">
        <v>3694</v>
      </c>
      <c r="Y720" s="4">
        <v>501708361</v>
      </c>
      <c r="Z720" s="4" t="s">
        <v>2058</v>
      </c>
      <c r="AA720" s="4" t="s">
        <v>85</v>
      </c>
      <c r="AB720" s="4" t="s">
        <v>4289</v>
      </c>
    </row>
    <row r="721" spans="1:28">
      <c r="A721" s="4">
        <v>720</v>
      </c>
      <c r="B721" s="5">
        <v>13228897</v>
      </c>
      <c r="C721" s="5">
        <v>206073363</v>
      </c>
      <c r="D721" s="115" t="s">
        <v>2929</v>
      </c>
      <c r="E721" s="4" t="s">
        <v>2930</v>
      </c>
      <c r="F721" s="7" t="s">
        <v>74</v>
      </c>
      <c r="G721" s="7" t="s">
        <v>88</v>
      </c>
      <c r="H721" s="7" t="s">
        <v>94</v>
      </c>
      <c r="I721" s="6" t="s">
        <v>1788</v>
      </c>
      <c r="J721" s="7" t="s">
        <v>5</v>
      </c>
      <c r="K721" s="4" t="s">
        <v>10</v>
      </c>
      <c r="L721" s="4" t="s">
        <v>24</v>
      </c>
      <c r="M721" s="4" t="s">
        <v>3321</v>
      </c>
      <c r="N721" s="4"/>
      <c r="O721" s="89"/>
      <c r="P721" s="25">
        <v>45929</v>
      </c>
      <c r="Q721" s="7" t="s">
        <v>1112</v>
      </c>
      <c r="R721" s="90" t="s">
        <v>3252</v>
      </c>
      <c r="S721" s="6" t="s">
        <v>1795</v>
      </c>
      <c r="T721" s="4" t="s">
        <v>81</v>
      </c>
      <c r="U721" s="4" t="s">
        <v>112</v>
      </c>
      <c r="V721" s="4">
        <v>99</v>
      </c>
      <c r="W721" s="85"/>
      <c r="X721" s="4"/>
      <c r="Y721" s="4"/>
      <c r="Z721" s="4"/>
      <c r="AA721" s="4" t="s">
        <v>85</v>
      </c>
      <c r="AB721" s="4" t="s">
        <v>4289</v>
      </c>
    </row>
    <row r="722" spans="1:28">
      <c r="A722" s="4">
        <v>721</v>
      </c>
      <c r="B722" s="5">
        <v>11703131</v>
      </c>
      <c r="C722" s="5">
        <v>205839586</v>
      </c>
      <c r="D722" s="115" t="s">
        <v>2742</v>
      </c>
      <c r="E722" s="4" t="s">
        <v>2743</v>
      </c>
      <c r="F722" s="7" t="s">
        <v>74</v>
      </c>
      <c r="G722" s="7" t="s">
        <v>88</v>
      </c>
      <c r="H722" s="7" t="s">
        <v>94</v>
      </c>
      <c r="I722" s="6" t="s">
        <v>1790</v>
      </c>
      <c r="J722" s="7" t="s">
        <v>5</v>
      </c>
      <c r="K722" s="4" t="s">
        <v>10</v>
      </c>
      <c r="L722" s="4" t="s">
        <v>22</v>
      </c>
      <c r="M722" s="4" t="s">
        <v>4361</v>
      </c>
      <c r="N722" s="4"/>
      <c r="O722" s="89"/>
      <c r="P722" s="25">
        <v>45894</v>
      </c>
      <c r="Q722" s="7" t="s">
        <v>1112</v>
      </c>
      <c r="R722" s="90" t="s">
        <v>3261</v>
      </c>
      <c r="S722" s="6" t="s">
        <v>1795</v>
      </c>
      <c r="T722" s="4" t="s">
        <v>81</v>
      </c>
      <c r="U722" s="4" t="s">
        <v>3263</v>
      </c>
      <c r="V722" s="4">
        <v>99</v>
      </c>
      <c r="W722" s="85">
        <v>45949</v>
      </c>
      <c r="X722" s="4" t="s">
        <v>2758</v>
      </c>
      <c r="Y722" s="4">
        <v>567828239</v>
      </c>
      <c r="Z722" s="4" t="s">
        <v>2791</v>
      </c>
      <c r="AA722" s="4" t="s">
        <v>95</v>
      </c>
      <c r="AB722" s="4" t="s">
        <v>4289</v>
      </c>
    </row>
    <row r="723" spans="1:28">
      <c r="A723" s="4">
        <v>722</v>
      </c>
      <c r="B723" s="5">
        <v>11826217</v>
      </c>
      <c r="C723" s="5">
        <v>204172862</v>
      </c>
      <c r="D723" s="115" t="s">
        <v>1610</v>
      </c>
      <c r="E723" s="4" t="s">
        <v>1611</v>
      </c>
      <c r="F723" s="7" t="s">
        <v>82</v>
      </c>
      <c r="G723" s="7" t="s">
        <v>75</v>
      </c>
      <c r="H723" s="7" t="s">
        <v>76</v>
      </c>
      <c r="I723" s="6" t="s">
        <v>1788</v>
      </c>
      <c r="J723" s="7" t="s">
        <v>5</v>
      </c>
      <c r="K723" s="4" t="s">
        <v>10</v>
      </c>
      <c r="L723" s="4" t="s">
        <v>24</v>
      </c>
      <c r="M723" s="4" t="s">
        <v>390</v>
      </c>
      <c r="N723" s="4" t="s">
        <v>2584</v>
      </c>
      <c r="O723" s="89"/>
      <c r="P723" s="25">
        <v>45568</v>
      </c>
      <c r="Q723" s="7" t="s">
        <v>1192</v>
      </c>
      <c r="R723" s="90" t="s">
        <v>3264</v>
      </c>
      <c r="S723" s="6" t="s">
        <v>1795</v>
      </c>
      <c r="T723" s="4" t="s">
        <v>92</v>
      </c>
      <c r="U723" s="4" t="s">
        <v>103</v>
      </c>
      <c r="V723" s="4">
        <v>99</v>
      </c>
      <c r="W723" s="85">
        <v>46298</v>
      </c>
      <c r="X723" s="4" t="s">
        <v>3694</v>
      </c>
      <c r="Y723" s="4">
        <v>561185065</v>
      </c>
      <c r="Z723" s="4" t="s">
        <v>1617</v>
      </c>
      <c r="AA723" s="4" t="s">
        <v>85</v>
      </c>
      <c r="AB723" s="4" t="s">
        <v>4289</v>
      </c>
    </row>
    <row r="724" spans="1:28">
      <c r="A724" s="4">
        <v>723</v>
      </c>
      <c r="B724" s="5">
        <v>11144312</v>
      </c>
      <c r="C724" s="5">
        <v>203741316</v>
      </c>
      <c r="D724" s="115" t="s">
        <v>309</v>
      </c>
      <c r="E724" s="4" t="s">
        <v>310</v>
      </c>
      <c r="F724" s="7" t="s">
        <v>74</v>
      </c>
      <c r="G724" s="7" t="s">
        <v>94</v>
      </c>
      <c r="H724" s="7" t="s">
        <v>89</v>
      </c>
      <c r="I724" s="6" t="s">
        <v>1788</v>
      </c>
      <c r="J724" s="7" t="s">
        <v>5</v>
      </c>
      <c r="K724" s="4" t="s">
        <v>10</v>
      </c>
      <c r="L724" s="4" t="s">
        <v>24</v>
      </c>
      <c r="M724" s="4" t="s">
        <v>3321</v>
      </c>
      <c r="N724" s="4" t="s">
        <v>2584</v>
      </c>
      <c r="O724" s="89"/>
      <c r="P724" s="25">
        <v>45502</v>
      </c>
      <c r="Q724" s="7" t="s">
        <v>1112</v>
      </c>
      <c r="R724" s="90" t="s">
        <v>3260</v>
      </c>
      <c r="S724" s="6" t="s">
        <v>1795</v>
      </c>
      <c r="T724" s="4" t="s">
        <v>92</v>
      </c>
      <c r="U724" s="4" t="s">
        <v>107</v>
      </c>
      <c r="V724" s="4">
        <v>99</v>
      </c>
      <c r="W724" s="85">
        <v>45867</v>
      </c>
      <c r="X724" s="4" t="s">
        <v>3688</v>
      </c>
      <c r="Y724" s="4">
        <v>506817196</v>
      </c>
      <c r="Z724" s="4" t="s">
        <v>2059</v>
      </c>
      <c r="AA724" s="4" t="s">
        <v>85</v>
      </c>
      <c r="AB724" s="4" t="s">
        <v>4289</v>
      </c>
    </row>
    <row r="725" spans="1:28">
      <c r="A725" s="4">
        <v>724</v>
      </c>
      <c r="B725" s="5">
        <v>13995559</v>
      </c>
      <c r="C725" s="5">
        <v>204116867</v>
      </c>
      <c r="D725" s="115" t="s">
        <v>1488</v>
      </c>
      <c r="E725" s="4" t="s">
        <v>1489</v>
      </c>
      <c r="F725" s="7" t="s">
        <v>82</v>
      </c>
      <c r="G725" s="7" t="s">
        <v>87</v>
      </c>
      <c r="H725" s="7" t="s">
        <v>75</v>
      </c>
      <c r="I725" s="6" t="s">
        <v>1790</v>
      </c>
      <c r="J725" s="7" t="s">
        <v>5</v>
      </c>
      <c r="K725" s="4" t="s">
        <v>10</v>
      </c>
      <c r="L725" s="4" t="s">
        <v>27</v>
      </c>
      <c r="M725" s="4" t="s">
        <v>374</v>
      </c>
      <c r="N725" s="4" t="s">
        <v>2584</v>
      </c>
      <c r="O725" s="89"/>
      <c r="P725" s="25">
        <v>45561</v>
      </c>
      <c r="Q725" s="7" t="s">
        <v>1192</v>
      </c>
      <c r="R725" s="90" t="s">
        <v>2586</v>
      </c>
      <c r="S725" s="6" t="s">
        <v>1795</v>
      </c>
      <c r="T725" s="4" t="s">
        <v>92</v>
      </c>
      <c r="U725" s="4" t="s">
        <v>349</v>
      </c>
      <c r="V725" s="4">
        <v>99</v>
      </c>
      <c r="W725" s="85">
        <v>46291</v>
      </c>
      <c r="X725" s="4" t="s">
        <v>3694</v>
      </c>
      <c r="Y725" s="4">
        <v>547405139</v>
      </c>
      <c r="Z725" s="4" t="s">
        <v>2060</v>
      </c>
      <c r="AA725" s="4" t="s">
        <v>85</v>
      </c>
      <c r="AB725" s="4" t="s">
        <v>4289</v>
      </c>
    </row>
    <row r="726" spans="1:28">
      <c r="A726" s="4">
        <v>725</v>
      </c>
      <c r="B726" s="5">
        <v>13601692</v>
      </c>
      <c r="C726" s="5">
        <v>203800485</v>
      </c>
      <c r="D726" s="115" t="s">
        <v>667</v>
      </c>
      <c r="E726" s="4" t="s">
        <v>668</v>
      </c>
      <c r="F726" s="7" t="s">
        <v>74</v>
      </c>
      <c r="G726" s="7" t="s">
        <v>87</v>
      </c>
      <c r="H726" s="7" t="s">
        <v>75</v>
      </c>
      <c r="I726" s="6" t="s">
        <v>1790</v>
      </c>
      <c r="J726" s="7" t="s">
        <v>5</v>
      </c>
      <c r="K726" s="4" t="s">
        <v>10</v>
      </c>
      <c r="L726" s="4" t="s">
        <v>22</v>
      </c>
      <c r="M726" s="4" t="s">
        <v>3321</v>
      </c>
      <c r="N726" s="4" t="s">
        <v>2584</v>
      </c>
      <c r="O726" s="89"/>
      <c r="P726" s="25">
        <v>45516</v>
      </c>
      <c r="Q726" s="7" t="s">
        <v>1112</v>
      </c>
      <c r="R726" s="90" t="s">
        <v>3260</v>
      </c>
      <c r="S726" s="6" t="s">
        <v>1795</v>
      </c>
      <c r="T726" s="4" t="s">
        <v>81</v>
      </c>
      <c r="U726" s="4" t="s">
        <v>349</v>
      </c>
      <c r="V726" s="4">
        <v>99</v>
      </c>
      <c r="W726" s="85">
        <v>45572</v>
      </c>
      <c r="X726" s="4" t="s">
        <v>1216</v>
      </c>
      <c r="Y726" s="4">
        <v>586291360</v>
      </c>
      <c r="Z726" s="4" t="s">
        <v>2061</v>
      </c>
      <c r="AA726" s="4" t="s">
        <v>95</v>
      </c>
      <c r="AB726" s="4" t="s">
        <v>4289</v>
      </c>
    </row>
    <row r="727" spans="1:28">
      <c r="A727" s="4">
        <v>726</v>
      </c>
      <c r="B727" s="5">
        <v>14132878</v>
      </c>
      <c r="C727" s="5">
        <v>204010535</v>
      </c>
      <c r="D727" s="115" t="s">
        <v>1350</v>
      </c>
      <c r="E727" s="4" t="s">
        <v>1351</v>
      </c>
      <c r="F727" s="7" t="s">
        <v>82</v>
      </c>
      <c r="G727" s="7" t="s">
        <v>75</v>
      </c>
      <c r="H727" s="7" t="s">
        <v>76</v>
      </c>
      <c r="I727" s="6" t="s">
        <v>1790</v>
      </c>
      <c r="J727" s="7" t="s">
        <v>5</v>
      </c>
      <c r="K727" s="4" t="s">
        <v>10</v>
      </c>
      <c r="L727" s="4" t="s">
        <v>22</v>
      </c>
      <c r="M727" s="4" t="s">
        <v>390</v>
      </c>
      <c r="N727" s="4" t="s">
        <v>2584</v>
      </c>
      <c r="O727" s="89"/>
      <c r="P727" s="25">
        <v>45551</v>
      </c>
      <c r="Q727" s="7" t="s">
        <v>1112</v>
      </c>
      <c r="R727" s="90" t="s">
        <v>3253</v>
      </c>
      <c r="S727" s="6" t="s">
        <v>1795</v>
      </c>
      <c r="T727" s="4" t="s">
        <v>81</v>
      </c>
      <c r="U727" s="4" t="s">
        <v>103</v>
      </c>
      <c r="V727" s="4">
        <v>99</v>
      </c>
      <c r="W727" s="85">
        <v>45607</v>
      </c>
      <c r="X727" s="4" t="s">
        <v>1216</v>
      </c>
      <c r="Y727" s="4">
        <v>502557926</v>
      </c>
      <c r="Z727" s="4" t="s">
        <v>1417</v>
      </c>
      <c r="AA727" s="4" t="s">
        <v>95</v>
      </c>
      <c r="AB727" s="4" t="s">
        <v>4289</v>
      </c>
    </row>
    <row r="728" spans="1:28">
      <c r="A728" s="4">
        <v>727</v>
      </c>
      <c r="B728" s="5">
        <v>14447882</v>
      </c>
      <c r="C728" s="5">
        <v>203514419</v>
      </c>
      <c r="D728" s="115" t="s">
        <v>529</v>
      </c>
      <c r="E728" s="4" t="s">
        <v>530</v>
      </c>
      <c r="F728" s="7" t="s">
        <v>82</v>
      </c>
      <c r="G728" s="7" t="s">
        <v>87</v>
      </c>
      <c r="H728" s="7" t="s">
        <v>75</v>
      </c>
      <c r="I728" s="6" t="s">
        <v>1788</v>
      </c>
      <c r="J728" s="7" t="s">
        <v>5</v>
      </c>
      <c r="K728" s="4" t="s">
        <v>10</v>
      </c>
      <c r="L728" s="4" t="s">
        <v>24</v>
      </c>
      <c r="M728" s="4" t="s">
        <v>4314</v>
      </c>
      <c r="N728" s="4" t="s">
        <v>2583</v>
      </c>
      <c r="O728" s="89"/>
      <c r="P728" s="25">
        <v>45463</v>
      </c>
      <c r="Q728" s="7" t="s">
        <v>1112</v>
      </c>
      <c r="R728" s="90" t="s">
        <v>3256</v>
      </c>
      <c r="S728" s="6" t="s">
        <v>1795</v>
      </c>
      <c r="T728" s="4" t="s">
        <v>81</v>
      </c>
      <c r="U728" s="4" t="s">
        <v>349</v>
      </c>
      <c r="V728" s="4">
        <v>99</v>
      </c>
      <c r="W728" s="85">
        <v>45828</v>
      </c>
      <c r="X728" s="4" t="s">
        <v>3694</v>
      </c>
      <c r="Y728" s="4">
        <v>558738715</v>
      </c>
      <c r="Z728" s="4" t="s">
        <v>2062</v>
      </c>
      <c r="AA728" s="4" t="s">
        <v>85</v>
      </c>
      <c r="AB728" s="4" t="s">
        <v>4289</v>
      </c>
    </row>
    <row r="729" spans="1:28">
      <c r="A729" s="4">
        <v>728</v>
      </c>
      <c r="B729" s="5">
        <v>13514270</v>
      </c>
      <c r="C729" s="5">
        <v>203851106</v>
      </c>
      <c r="D729" s="115" t="s">
        <v>804</v>
      </c>
      <c r="E729" s="4" t="s">
        <v>805</v>
      </c>
      <c r="F729" s="7" t="s">
        <v>82</v>
      </c>
      <c r="G729" s="7" t="s">
        <v>75</v>
      </c>
      <c r="H729" s="7" t="s">
        <v>76</v>
      </c>
      <c r="I729" s="6" t="s">
        <v>1788</v>
      </c>
      <c r="J729" s="7" t="s">
        <v>5</v>
      </c>
      <c r="K729" s="4" t="s">
        <v>10</v>
      </c>
      <c r="L729" s="4" t="s">
        <v>24</v>
      </c>
      <c r="M729" s="4" t="s">
        <v>3321</v>
      </c>
      <c r="N729" s="4" t="s">
        <v>2584</v>
      </c>
      <c r="O729" s="89"/>
      <c r="P729" s="25">
        <v>45524</v>
      </c>
      <c r="Q729" s="7" t="s">
        <v>351</v>
      </c>
      <c r="R729" s="90" t="s">
        <v>3254</v>
      </c>
      <c r="S729" s="6" t="s">
        <v>1795</v>
      </c>
      <c r="T729" s="4" t="s">
        <v>81</v>
      </c>
      <c r="U729" s="4" t="s">
        <v>3259</v>
      </c>
      <c r="V729" s="4">
        <v>99</v>
      </c>
      <c r="W729" s="85">
        <v>45889</v>
      </c>
      <c r="X729" s="4" t="s">
        <v>3688</v>
      </c>
      <c r="Y729" s="4">
        <v>501511957</v>
      </c>
      <c r="Z729" s="4" t="s">
        <v>2063</v>
      </c>
      <c r="AA729" s="4" t="s">
        <v>85</v>
      </c>
      <c r="AB729" s="4" t="s">
        <v>4289</v>
      </c>
    </row>
    <row r="730" spans="1:28">
      <c r="A730" s="4">
        <v>729</v>
      </c>
      <c r="B730" s="4">
        <v>14246531</v>
      </c>
      <c r="C730" s="4">
        <v>206930332</v>
      </c>
      <c r="D730" s="115" t="s">
        <v>3936</v>
      </c>
      <c r="E730" s="4" t="s">
        <v>3937</v>
      </c>
      <c r="F730" s="7" t="s">
        <v>82</v>
      </c>
      <c r="G730" s="7" t="s">
        <v>88</v>
      </c>
      <c r="H730" s="7" t="s">
        <v>94</v>
      </c>
      <c r="I730" s="4" t="s">
        <v>1789</v>
      </c>
      <c r="J730" s="4" t="s">
        <v>5</v>
      </c>
      <c r="K730" s="4" t="s">
        <v>10</v>
      </c>
      <c r="L730" s="4" t="s">
        <v>23</v>
      </c>
      <c r="M730" s="4" t="s">
        <v>390</v>
      </c>
      <c r="N730" s="4"/>
      <c r="O730" s="4"/>
      <c r="P730" s="25">
        <v>46226</v>
      </c>
      <c r="Q730" s="4" t="s">
        <v>1112</v>
      </c>
      <c r="R730" s="4" t="s">
        <v>3258</v>
      </c>
      <c r="S730" s="6" t="s">
        <v>1796</v>
      </c>
      <c r="T730" s="4" t="s">
        <v>92</v>
      </c>
      <c r="U730" s="4"/>
      <c r="V730" s="4">
        <v>99</v>
      </c>
      <c r="W730" s="4"/>
      <c r="X730" s="4" t="s">
        <v>3979</v>
      </c>
      <c r="Y730" s="4" t="s">
        <v>4364</v>
      </c>
      <c r="Z730" s="4" t="s">
        <v>4365</v>
      </c>
      <c r="AA730" s="4" t="s">
        <v>3911</v>
      </c>
      <c r="AB730" s="4"/>
    </row>
    <row r="731" spans="1:28">
      <c r="A731" s="4">
        <v>730</v>
      </c>
      <c r="B731" s="106">
        <v>13053731</v>
      </c>
      <c r="C731" s="106">
        <v>203908894</v>
      </c>
      <c r="D731" s="5" t="s">
        <v>1127</v>
      </c>
      <c r="E731" s="115" t="s">
        <v>1128</v>
      </c>
      <c r="F731" s="7" t="s">
        <v>82</v>
      </c>
      <c r="G731" s="7" t="s">
        <v>87</v>
      </c>
      <c r="H731" s="7" t="s">
        <v>75</v>
      </c>
      <c r="I731" s="7" t="s">
        <v>1789</v>
      </c>
      <c r="J731" s="7" t="s">
        <v>5</v>
      </c>
      <c r="K731" s="4" t="s">
        <v>10</v>
      </c>
      <c r="L731" s="4" t="s">
        <v>22</v>
      </c>
      <c r="M731" s="4" t="s">
        <v>4361</v>
      </c>
      <c r="N731" s="4" t="s">
        <v>2584</v>
      </c>
      <c r="O731" s="25"/>
      <c r="P731" s="25">
        <v>45537</v>
      </c>
      <c r="Q731" s="7" t="s">
        <v>1112</v>
      </c>
      <c r="R731" s="6" t="s">
        <v>3264</v>
      </c>
      <c r="S731" s="6" t="s">
        <v>1795</v>
      </c>
      <c r="T731" s="6" t="s">
        <v>81</v>
      </c>
      <c r="U731" s="6" t="s">
        <v>349</v>
      </c>
      <c r="V731" s="4">
        <v>99</v>
      </c>
      <c r="W731" s="6">
        <v>45593</v>
      </c>
      <c r="X731" s="6" t="s">
        <v>1216</v>
      </c>
      <c r="Y731" s="4">
        <v>553597089</v>
      </c>
      <c r="Z731" s="6" t="s">
        <v>4336</v>
      </c>
      <c r="AA731" s="6" t="s">
        <v>95</v>
      </c>
      <c r="AB731" s="4">
        <v>0</v>
      </c>
    </row>
    <row r="732" spans="1:28">
      <c r="A732" s="4">
        <v>731</v>
      </c>
      <c r="B732" s="5">
        <v>11471135</v>
      </c>
      <c r="C732" s="5">
        <v>203468752</v>
      </c>
      <c r="D732" s="115" t="s">
        <v>497</v>
      </c>
      <c r="E732" s="4" t="s">
        <v>498</v>
      </c>
      <c r="F732" s="7" t="s">
        <v>82</v>
      </c>
      <c r="G732" s="7" t="s">
        <v>88</v>
      </c>
      <c r="H732" s="7" t="s">
        <v>94</v>
      </c>
      <c r="I732" s="6" t="s">
        <v>1788</v>
      </c>
      <c r="J732" s="7" t="s">
        <v>5</v>
      </c>
      <c r="K732" s="4" t="s">
        <v>10</v>
      </c>
      <c r="L732" s="4" t="s">
        <v>24</v>
      </c>
      <c r="M732" s="4" t="s">
        <v>390</v>
      </c>
      <c r="N732" s="4" t="s">
        <v>2583</v>
      </c>
      <c r="O732" s="89"/>
      <c r="P732" s="25">
        <v>45456</v>
      </c>
      <c r="Q732" s="7" t="s">
        <v>351</v>
      </c>
      <c r="R732" s="90" t="s">
        <v>2586</v>
      </c>
      <c r="S732" s="6" t="s">
        <v>1795</v>
      </c>
      <c r="T732" s="4" t="s">
        <v>81</v>
      </c>
      <c r="U732" s="4" t="s">
        <v>349</v>
      </c>
      <c r="V732" s="4">
        <v>99</v>
      </c>
      <c r="W732" s="85">
        <v>45821</v>
      </c>
      <c r="X732" s="4" t="s">
        <v>3698</v>
      </c>
      <c r="Y732" s="4">
        <v>559714710</v>
      </c>
      <c r="Z732" s="4" t="s">
        <v>2064</v>
      </c>
      <c r="AA732" s="4" t="s">
        <v>85</v>
      </c>
      <c r="AB732" s="4" t="s">
        <v>4289</v>
      </c>
    </row>
    <row r="733" spans="1:28">
      <c r="A733" s="4">
        <v>732</v>
      </c>
      <c r="B733" s="5">
        <v>12441477</v>
      </c>
      <c r="C733" s="5">
        <v>203965409</v>
      </c>
      <c r="D733" s="115" t="s">
        <v>1257</v>
      </c>
      <c r="E733" s="4" t="s">
        <v>1258</v>
      </c>
      <c r="F733" s="7" t="s">
        <v>74</v>
      </c>
      <c r="G733" s="7" t="s">
        <v>75</v>
      </c>
      <c r="H733" s="7" t="s">
        <v>76</v>
      </c>
      <c r="I733" s="6" t="s">
        <v>1788</v>
      </c>
      <c r="J733" s="7" t="s">
        <v>5</v>
      </c>
      <c r="K733" s="4" t="s">
        <v>10</v>
      </c>
      <c r="L733" s="4" t="s">
        <v>24</v>
      </c>
      <c r="M733" s="4" t="s">
        <v>3321</v>
      </c>
      <c r="N733" s="4" t="s">
        <v>2584</v>
      </c>
      <c r="O733" s="89"/>
      <c r="P733" s="25">
        <v>45544</v>
      </c>
      <c r="Q733" s="7" t="s">
        <v>1112</v>
      </c>
      <c r="R733" s="90" t="s">
        <v>3257</v>
      </c>
      <c r="S733" s="6" t="s">
        <v>1795</v>
      </c>
      <c r="T733" s="4" t="s">
        <v>81</v>
      </c>
      <c r="U733" s="4" t="s">
        <v>107</v>
      </c>
      <c r="V733" s="4">
        <v>99</v>
      </c>
      <c r="W733" s="85">
        <v>45909</v>
      </c>
      <c r="X733" s="4" t="s">
        <v>3703</v>
      </c>
      <c r="Y733" s="4">
        <v>509454243</v>
      </c>
      <c r="Z733" s="4" t="s">
        <v>2065</v>
      </c>
      <c r="AA733" s="4" t="s">
        <v>85</v>
      </c>
      <c r="AB733" s="4" t="s">
        <v>4289</v>
      </c>
    </row>
    <row r="734" spans="1:28">
      <c r="A734" s="4">
        <v>733</v>
      </c>
      <c r="B734" s="5">
        <v>11855235</v>
      </c>
      <c r="C734" s="5">
        <v>203965407</v>
      </c>
      <c r="D734" s="115" t="s">
        <v>1309</v>
      </c>
      <c r="E734" s="4" t="s">
        <v>1310</v>
      </c>
      <c r="F734" s="7" t="s">
        <v>82</v>
      </c>
      <c r="G734" s="7" t="s">
        <v>88</v>
      </c>
      <c r="H734" s="7" t="s">
        <v>94</v>
      </c>
      <c r="I734" s="6" t="s">
        <v>1788</v>
      </c>
      <c r="J734" s="7" t="s">
        <v>5</v>
      </c>
      <c r="K734" s="4" t="s">
        <v>10</v>
      </c>
      <c r="L734" s="4" t="s">
        <v>24</v>
      </c>
      <c r="M734" s="4" t="s">
        <v>390</v>
      </c>
      <c r="N734" s="4" t="s">
        <v>2584</v>
      </c>
      <c r="O734" s="89"/>
      <c r="P734" s="25">
        <v>45544</v>
      </c>
      <c r="Q734" s="7" t="s">
        <v>1112</v>
      </c>
      <c r="R734" s="90" t="s">
        <v>3260</v>
      </c>
      <c r="S734" s="6" t="s">
        <v>1795</v>
      </c>
      <c r="T734" s="4" t="s">
        <v>81</v>
      </c>
      <c r="U734" s="4" t="s">
        <v>103</v>
      </c>
      <c r="V734" s="4">
        <v>99</v>
      </c>
      <c r="W734" s="85">
        <v>45909</v>
      </c>
      <c r="X734" s="4" t="s">
        <v>3703</v>
      </c>
      <c r="Y734" s="4">
        <v>552871517</v>
      </c>
      <c r="Z734" s="4" t="s">
        <v>2066</v>
      </c>
      <c r="AA734" s="4" t="s">
        <v>85</v>
      </c>
      <c r="AB734" s="4" t="s">
        <v>4289</v>
      </c>
    </row>
    <row r="735" spans="1:28">
      <c r="A735" s="4">
        <v>734</v>
      </c>
      <c r="B735" s="5">
        <v>14326076</v>
      </c>
      <c r="C735" s="5">
        <v>203965522</v>
      </c>
      <c r="D735" s="115" t="s">
        <v>1277</v>
      </c>
      <c r="E735" s="4" t="s">
        <v>1278</v>
      </c>
      <c r="F735" s="7" t="s">
        <v>82</v>
      </c>
      <c r="G735" s="7" t="s">
        <v>90</v>
      </c>
      <c r="H735" s="7" t="s">
        <v>87</v>
      </c>
      <c r="I735" s="6" t="s">
        <v>1788</v>
      </c>
      <c r="J735" s="7" t="s">
        <v>5</v>
      </c>
      <c r="K735" s="4" t="s">
        <v>10</v>
      </c>
      <c r="L735" s="4" t="s">
        <v>24</v>
      </c>
      <c r="M735" s="4" t="s">
        <v>390</v>
      </c>
      <c r="N735" s="4" t="s">
        <v>2584</v>
      </c>
      <c r="O735" s="89"/>
      <c r="P735" s="25">
        <v>45544</v>
      </c>
      <c r="Q735" s="7" t="s">
        <v>1112</v>
      </c>
      <c r="R735" s="90" t="s">
        <v>3262</v>
      </c>
      <c r="S735" s="6" t="s">
        <v>1795</v>
      </c>
      <c r="T735" s="4" t="s">
        <v>81</v>
      </c>
      <c r="U735" s="4" t="s">
        <v>349</v>
      </c>
      <c r="V735" s="4">
        <v>99</v>
      </c>
      <c r="W735" s="85">
        <v>45909</v>
      </c>
      <c r="X735" s="4" t="s">
        <v>3474</v>
      </c>
      <c r="Y735" s="4">
        <v>554814335</v>
      </c>
      <c r="Z735" s="4" t="s">
        <v>2067</v>
      </c>
      <c r="AA735" s="4" t="s">
        <v>85</v>
      </c>
      <c r="AB735" s="4" t="s">
        <v>4289</v>
      </c>
    </row>
    <row r="736" spans="1:28">
      <c r="A736" s="4">
        <v>735</v>
      </c>
      <c r="B736" s="5">
        <v>14873246</v>
      </c>
      <c r="C736" s="5">
        <v>204138500</v>
      </c>
      <c r="D736" s="115" t="s">
        <v>1591</v>
      </c>
      <c r="E736" s="4" t="s">
        <v>1559</v>
      </c>
      <c r="F736" s="7" t="s">
        <v>74</v>
      </c>
      <c r="G736" s="7" t="s">
        <v>90</v>
      </c>
      <c r="H736" s="7" t="s">
        <v>87</v>
      </c>
      <c r="I736" s="6" t="s">
        <v>1790</v>
      </c>
      <c r="J736" s="7" t="s">
        <v>5</v>
      </c>
      <c r="K736" s="4" t="s">
        <v>10</v>
      </c>
      <c r="L736" s="4" t="s">
        <v>27</v>
      </c>
      <c r="M736" s="4" t="s">
        <v>4314</v>
      </c>
      <c r="N736" s="4" t="s">
        <v>2584</v>
      </c>
      <c r="O736" s="89"/>
      <c r="P736" s="25">
        <v>45565</v>
      </c>
      <c r="Q736" s="7" t="s">
        <v>351</v>
      </c>
      <c r="R736" s="90" t="s">
        <v>3261</v>
      </c>
      <c r="S736" s="6" t="s">
        <v>1795</v>
      </c>
      <c r="T736" s="4" t="s">
        <v>81</v>
      </c>
      <c r="U736" s="4" t="s">
        <v>3263</v>
      </c>
      <c r="V736" s="4">
        <v>99</v>
      </c>
      <c r="W736" s="85">
        <v>46295</v>
      </c>
      <c r="X736" s="4" t="s">
        <v>3703</v>
      </c>
      <c r="Y736" s="4">
        <v>505195645</v>
      </c>
      <c r="Z736" s="4" t="s">
        <v>1575</v>
      </c>
      <c r="AA736" s="4" t="s">
        <v>85</v>
      </c>
      <c r="AB736" s="4" t="s">
        <v>4289</v>
      </c>
    </row>
    <row r="737" spans="1:28">
      <c r="A737" s="4">
        <v>736</v>
      </c>
      <c r="B737" s="5">
        <v>12016839</v>
      </c>
      <c r="C737" s="5">
        <v>203468749</v>
      </c>
      <c r="D737" s="115" t="s">
        <v>499</v>
      </c>
      <c r="E737" s="4" t="s">
        <v>500</v>
      </c>
      <c r="F737" s="7" t="s">
        <v>82</v>
      </c>
      <c r="G737" s="7" t="s">
        <v>76</v>
      </c>
      <c r="H737" s="7" t="s">
        <v>88</v>
      </c>
      <c r="I737" s="6" t="s">
        <v>1788</v>
      </c>
      <c r="J737" s="7" t="s">
        <v>5</v>
      </c>
      <c r="K737" s="4" t="s">
        <v>10</v>
      </c>
      <c r="L737" s="4" t="s">
        <v>24</v>
      </c>
      <c r="M737" s="4" t="s">
        <v>374</v>
      </c>
      <c r="N737" s="4" t="s">
        <v>2584</v>
      </c>
      <c r="O737" s="89"/>
      <c r="P737" s="25">
        <v>45456</v>
      </c>
      <c r="Q737" s="7" t="s">
        <v>351</v>
      </c>
      <c r="R737" s="90" t="s">
        <v>3261</v>
      </c>
      <c r="S737" s="6" t="s">
        <v>1795</v>
      </c>
      <c r="T737" s="4" t="s">
        <v>81</v>
      </c>
      <c r="U737" s="4" t="s">
        <v>107</v>
      </c>
      <c r="V737" s="4">
        <v>99</v>
      </c>
      <c r="W737" s="85">
        <v>45821</v>
      </c>
      <c r="X737" s="4" t="s">
        <v>3690</v>
      </c>
      <c r="Y737" s="4">
        <v>563951887</v>
      </c>
      <c r="Z737" s="4" t="s">
        <v>2068</v>
      </c>
      <c r="AA737" s="4" t="s">
        <v>85</v>
      </c>
      <c r="AB737" s="4" t="s">
        <v>4289</v>
      </c>
    </row>
    <row r="738" spans="1:28" ht="14.5" customHeight="1">
      <c r="A738" s="4">
        <v>737</v>
      </c>
      <c r="B738" s="5">
        <v>13277151</v>
      </c>
      <c r="C738" s="5">
        <v>206129606</v>
      </c>
      <c r="D738" s="115" t="s">
        <v>2931</v>
      </c>
      <c r="E738" s="4" t="s">
        <v>2932</v>
      </c>
      <c r="F738" s="7" t="s">
        <v>74</v>
      </c>
      <c r="G738" s="7" t="s">
        <v>87</v>
      </c>
      <c r="H738" s="7" t="s">
        <v>75</v>
      </c>
      <c r="I738" s="6" t="s">
        <v>1788</v>
      </c>
      <c r="J738" s="7" t="s">
        <v>5</v>
      </c>
      <c r="K738" s="4" t="s">
        <v>10</v>
      </c>
      <c r="L738" s="4" t="s">
        <v>24</v>
      </c>
      <c r="M738" s="4" t="s">
        <v>4314</v>
      </c>
      <c r="N738" s="4"/>
      <c r="O738" s="89"/>
      <c r="P738" s="25">
        <v>45929</v>
      </c>
      <c r="Q738" s="7" t="s">
        <v>1112</v>
      </c>
      <c r="R738" s="4" t="s">
        <v>3264</v>
      </c>
      <c r="S738" s="6" t="s">
        <v>1795</v>
      </c>
      <c r="T738" s="4" t="s">
        <v>81</v>
      </c>
      <c r="U738" s="4" t="s">
        <v>349</v>
      </c>
      <c r="V738" s="4">
        <v>99</v>
      </c>
      <c r="W738" s="85"/>
      <c r="X738" s="4"/>
      <c r="Y738" s="4"/>
      <c r="Z738" s="4"/>
      <c r="AA738" s="4" t="s">
        <v>85</v>
      </c>
      <c r="AB738" s="4" t="s">
        <v>4289</v>
      </c>
    </row>
    <row r="739" spans="1:28">
      <c r="A739" s="4">
        <v>738</v>
      </c>
      <c r="B739" s="4">
        <v>14661787</v>
      </c>
      <c r="C739" s="4">
        <v>206915012</v>
      </c>
      <c r="D739" s="115" t="s">
        <v>3852</v>
      </c>
      <c r="E739" s="4" t="s">
        <v>3675</v>
      </c>
      <c r="F739" s="7" t="s">
        <v>82</v>
      </c>
      <c r="G739" s="7" t="s">
        <v>88</v>
      </c>
      <c r="H739" s="7" t="s">
        <v>94</v>
      </c>
      <c r="I739" s="4" t="s">
        <v>1789</v>
      </c>
      <c r="J739" s="4" t="s">
        <v>5</v>
      </c>
      <c r="K739" s="4" t="s">
        <v>10</v>
      </c>
      <c r="L739" s="4" t="s">
        <v>22</v>
      </c>
      <c r="M739" s="4" t="s">
        <v>374</v>
      </c>
      <c r="N739" s="4"/>
      <c r="O739" s="4"/>
      <c r="P739" s="25">
        <v>46226</v>
      </c>
      <c r="Q739" s="4" t="s">
        <v>1112</v>
      </c>
      <c r="R739" s="4" t="s">
        <v>3252</v>
      </c>
      <c r="S739" s="6" t="s">
        <v>1796</v>
      </c>
      <c r="T739" s="4" t="s">
        <v>81</v>
      </c>
      <c r="U739" s="4"/>
      <c r="V739" s="4">
        <v>99</v>
      </c>
      <c r="W739" s="4"/>
      <c r="X739" s="4" t="s">
        <v>3290</v>
      </c>
      <c r="Y739" s="4">
        <v>525422470</v>
      </c>
      <c r="Z739" s="4" t="s">
        <v>4374</v>
      </c>
      <c r="AA739" s="4" t="s">
        <v>3658</v>
      </c>
      <c r="AB739" s="4"/>
    </row>
    <row r="740" spans="1:28">
      <c r="A740" s="4">
        <v>739</v>
      </c>
      <c r="B740" s="5">
        <v>14644676</v>
      </c>
      <c r="C740" s="5">
        <v>204319808</v>
      </c>
      <c r="D740" s="115" t="s">
        <v>1751</v>
      </c>
      <c r="E740" s="4" t="s">
        <v>1709</v>
      </c>
      <c r="F740" s="7" t="s">
        <v>82</v>
      </c>
      <c r="G740" s="7" t="s">
        <v>94</v>
      </c>
      <c r="H740" s="7" t="s">
        <v>89</v>
      </c>
      <c r="I740" s="6" t="s">
        <v>1790</v>
      </c>
      <c r="J740" s="7" t="s">
        <v>5</v>
      </c>
      <c r="K740" s="4" t="s">
        <v>10</v>
      </c>
      <c r="L740" s="4" t="s">
        <v>27</v>
      </c>
      <c r="M740" s="4" t="s">
        <v>374</v>
      </c>
      <c r="N740" s="4" t="s">
        <v>2584</v>
      </c>
      <c r="O740" s="89"/>
      <c r="P740" s="25">
        <v>45589</v>
      </c>
      <c r="Q740" s="7" t="s">
        <v>351</v>
      </c>
      <c r="R740" s="90" t="s">
        <v>2586</v>
      </c>
      <c r="S740" s="6" t="s">
        <v>1795</v>
      </c>
      <c r="T740" s="4" t="s">
        <v>81</v>
      </c>
      <c r="U740" s="4" t="s">
        <v>107</v>
      </c>
      <c r="V740" s="4">
        <v>99</v>
      </c>
      <c r="W740" s="85">
        <v>46319</v>
      </c>
      <c r="X740" s="4" t="s">
        <v>3698</v>
      </c>
      <c r="Y740" s="4">
        <v>545041752</v>
      </c>
      <c r="Z740" s="4" t="s">
        <v>2069</v>
      </c>
      <c r="AA740" s="4" t="s">
        <v>85</v>
      </c>
      <c r="AB740" s="4" t="s">
        <v>4289</v>
      </c>
    </row>
    <row r="741" spans="1:28">
      <c r="A741" s="4">
        <v>740</v>
      </c>
      <c r="B741" s="5">
        <v>13141431</v>
      </c>
      <c r="C741" s="5">
        <v>204009355</v>
      </c>
      <c r="D741" s="115" t="s">
        <v>1354</v>
      </c>
      <c r="E741" s="4" t="s">
        <v>1355</v>
      </c>
      <c r="F741" s="7" t="s">
        <v>74</v>
      </c>
      <c r="G741" s="7" t="s">
        <v>75</v>
      </c>
      <c r="H741" s="7" t="s">
        <v>76</v>
      </c>
      <c r="I741" s="6" t="s">
        <v>1790</v>
      </c>
      <c r="J741" s="7" t="s">
        <v>5</v>
      </c>
      <c r="K741" s="4" t="s">
        <v>10</v>
      </c>
      <c r="L741" s="4" t="s">
        <v>22</v>
      </c>
      <c r="M741" s="4" t="s">
        <v>4361</v>
      </c>
      <c r="N741" s="4" t="s">
        <v>2584</v>
      </c>
      <c r="O741" s="89"/>
      <c r="P741" s="25">
        <v>45551</v>
      </c>
      <c r="Q741" s="7" t="s">
        <v>1112</v>
      </c>
      <c r="R741" s="90" t="s">
        <v>3258</v>
      </c>
      <c r="S741" s="6" t="s">
        <v>1795</v>
      </c>
      <c r="T741" s="4" t="s">
        <v>81</v>
      </c>
      <c r="U741" s="4" t="s">
        <v>3263</v>
      </c>
      <c r="V741" s="4">
        <v>99</v>
      </c>
      <c r="W741" s="85">
        <v>45607</v>
      </c>
      <c r="X741" s="4" t="s">
        <v>1216</v>
      </c>
      <c r="Y741" s="4">
        <v>585242573</v>
      </c>
      <c r="Z741" s="4" t="s">
        <v>2070</v>
      </c>
      <c r="AA741" s="4" t="s">
        <v>95</v>
      </c>
      <c r="AB741" s="4" t="s">
        <v>4289</v>
      </c>
    </row>
    <row r="742" spans="1:28">
      <c r="A742" s="4">
        <v>741</v>
      </c>
      <c r="B742" s="5">
        <v>13512543</v>
      </c>
      <c r="C742" s="5">
        <v>206846111</v>
      </c>
      <c r="D742" s="115" t="s">
        <v>3328</v>
      </c>
      <c r="E742" s="5" t="s">
        <v>3329</v>
      </c>
      <c r="F742" s="7" t="s">
        <v>82</v>
      </c>
      <c r="G742" s="7" t="s">
        <v>75</v>
      </c>
      <c r="H742" s="7" t="s">
        <v>76</v>
      </c>
      <c r="I742" s="7" t="s">
        <v>1789</v>
      </c>
      <c r="J742" s="7" t="s">
        <v>5</v>
      </c>
      <c r="K742" s="4" t="s">
        <v>10</v>
      </c>
      <c r="L742" s="5" t="s">
        <v>22</v>
      </c>
      <c r="M742" s="5" t="s">
        <v>2741</v>
      </c>
      <c r="N742" s="5" t="s">
        <v>3289</v>
      </c>
      <c r="O742" s="89"/>
      <c r="P742" s="25">
        <v>46013</v>
      </c>
      <c r="Q742" s="7" t="s">
        <v>1112</v>
      </c>
      <c r="R742" s="4" t="s">
        <v>3260</v>
      </c>
      <c r="S742" s="5" t="s">
        <v>1795</v>
      </c>
      <c r="T742" s="5" t="s">
        <v>81</v>
      </c>
      <c r="U742" s="5"/>
      <c r="V742" s="5">
        <v>99</v>
      </c>
      <c r="W742" s="91">
        <v>45648</v>
      </c>
      <c r="X742" s="5" t="s">
        <v>3290</v>
      </c>
      <c r="Y742" s="5" t="s">
        <v>3340</v>
      </c>
      <c r="Z742" s="5" t="s">
        <v>3341</v>
      </c>
      <c r="AA742" s="4" t="s">
        <v>95</v>
      </c>
      <c r="AB742" s="4" t="s">
        <v>4289</v>
      </c>
    </row>
    <row r="743" spans="1:28" ht="14.5" customHeight="1">
      <c r="A743" s="4">
        <v>742</v>
      </c>
      <c r="B743" s="5">
        <v>11702287</v>
      </c>
      <c r="C743" s="5">
        <v>204946697</v>
      </c>
      <c r="D743" s="115" t="s">
        <v>2415</v>
      </c>
      <c r="E743" s="4" t="s">
        <v>2416</v>
      </c>
      <c r="F743" s="7" t="s">
        <v>82</v>
      </c>
      <c r="G743" s="7" t="s">
        <v>89</v>
      </c>
      <c r="H743" s="7" t="s">
        <v>90</v>
      </c>
      <c r="I743" s="6" t="s">
        <v>1790</v>
      </c>
      <c r="J743" s="7" t="s">
        <v>5</v>
      </c>
      <c r="K743" s="4" t="s">
        <v>10</v>
      </c>
      <c r="L743" s="4" t="s">
        <v>22</v>
      </c>
      <c r="M743" s="4" t="s">
        <v>3321</v>
      </c>
      <c r="N743" s="4" t="s">
        <v>2584</v>
      </c>
      <c r="O743" s="89"/>
      <c r="P743" s="25">
        <v>45719</v>
      </c>
      <c r="Q743" s="7" t="s">
        <v>1112</v>
      </c>
      <c r="R743" s="90" t="s">
        <v>2586</v>
      </c>
      <c r="S743" s="6" t="s">
        <v>1795</v>
      </c>
      <c r="T743" s="4" t="s">
        <v>81</v>
      </c>
      <c r="U743" s="4" t="s">
        <v>107</v>
      </c>
      <c r="V743" s="4">
        <v>99</v>
      </c>
      <c r="W743" s="85">
        <v>45775</v>
      </c>
      <c r="X743" s="4" t="s">
        <v>1216</v>
      </c>
      <c r="Y743" s="4">
        <v>522742864</v>
      </c>
      <c r="Z743" s="4" t="s">
        <v>2439</v>
      </c>
      <c r="AA743" s="4" t="s">
        <v>85</v>
      </c>
      <c r="AB743" s="4" t="s">
        <v>4289</v>
      </c>
    </row>
    <row r="744" spans="1:28">
      <c r="A744" s="4">
        <v>743</v>
      </c>
      <c r="B744" s="5">
        <v>13069747</v>
      </c>
      <c r="C744" s="5">
        <v>204967053</v>
      </c>
      <c r="D744" s="115" t="s">
        <v>2456</v>
      </c>
      <c r="E744" s="4" t="s">
        <v>2457</v>
      </c>
      <c r="F744" s="7" t="s">
        <v>74</v>
      </c>
      <c r="G744" s="7" t="s">
        <v>87</v>
      </c>
      <c r="H744" s="7" t="s">
        <v>75</v>
      </c>
      <c r="I744" s="6" t="s">
        <v>1790</v>
      </c>
      <c r="J744" s="7" t="s">
        <v>5</v>
      </c>
      <c r="K744" s="4" t="s">
        <v>10</v>
      </c>
      <c r="L744" s="4" t="s">
        <v>22</v>
      </c>
      <c r="M744" s="4" t="s">
        <v>3321</v>
      </c>
      <c r="N744" s="4" t="s">
        <v>2584</v>
      </c>
      <c r="O744" s="89"/>
      <c r="P744" s="25">
        <v>45719</v>
      </c>
      <c r="Q744" s="7" t="s">
        <v>1112</v>
      </c>
      <c r="R744" s="90" t="s">
        <v>3257</v>
      </c>
      <c r="S744" s="6" t="s">
        <v>1795</v>
      </c>
      <c r="T744" s="4" t="s">
        <v>81</v>
      </c>
      <c r="U744" s="4" t="s">
        <v>107</v>
      </c>
      <c r="V744" s="4">
        <v>99</v>
      </c>
      <c r="W744" s="85">
        <v>45775</v>
      </c>
      <c r="X744" s="4" t="s">
        <v>1216</v>
      </c>
      <c r="Y744" s="4">
        <v>502687352</v>
      </c>
      <c r="Z744" s="4" t="s">
        <v>2475</v>
      </c>
      <c r="AA744" s="4" t="s">
        <v>85</v>
      </c>
      <c r="AB744" s="4" t="s">
        <v>4289</v>
      </c>
    </row>
    <row r="745" spans="1:28">
      <c r="A745" s="4">
        <v>744</v>
      </c>
      <c r="B745" s="5">
        <v>314881</v>
      </c>
      <c r="C745" s="5">
        <v>206137344</v>
      </c>
      <c r="D745" s="115" t="s">
        <v>3097</v>
      </c>
      <c r="E745" s="4" t="s">
        <v>3098</v>
      </c>
      <c r="F745" s="7" t="s">
        <v>74</v>
      </c>
      <c r="G745" s="7" t="s">
        <v>89</v>
      </c>
      <c r="H745" s="7" t="s">
        <v>90</v>
      </c>
      <c r="I745" s="7" t="s">
        <v>1789</v>
      </c>
      <c r="J745" s="7" t="s">
        <v>5</v>
      </c>
      <c r="K745" s="4" t="s">
        <v>10</v>
      </c>
      <c r="L745" s="4" t="s">
        <v>24</v>
      </c>
      <c r="M745" s="4" t="s">
        <v>390</v>
      </c>
      <c r="N745" s="4"/>
      <c r="O745" s="89"/>
      <c r="P745" s="25">
        <v>45943</v>
      </c>
      <c r="Q745" s="7" t="s">
        <v>1192</v>
      </c>
      <c r="R745" s="90" t="s">
        <v>3262</v>
      </c>
      <c r="S745" s="6" t="s">
        <v>1795</v>
      </c>
      <c r="T745" s="4" t="s">
        <v>81</v>
      </c>
      <c r="U745" s="4" t="s">
        <v>112</v>
      </c>
      <c r="V745" s="4">
        <v>99</v>
      </c>
      <c r="W745" s="85"/>
      <c r="X745" s="4"/>
      <c r="Y745" s="4"/>
      <c r="Z745" s="4"/>
      <c r="AA745" s="4" t="s">
        <v>85</v>
      </c>
      <c r="AB745" s="4" t="s">
        <v>4289</v>
      </c>
    </row>
    <row r="746" spans="1:28">
      <c r="A746" s="4">
        <v>745</v>
      </c>
      <c r="B746" s="5">
        <v>11667692</v>
      </c>
      <c r="C746" s="5">
        <v>206192264</v>
      </c>
      <c r="D746" s="115" t="s">
        <v>3034</v>
      </c>
      <c r="E746" s="4" t="s">
        <v>3035</v>
      </c>
      <c r="F746" s="7" t="s">
        <v>82</v>
      </c>
      <c r="G746" s="7" t="s">
        <v>76</v>
      </c>
      <c r="H746" s="7" t="s">
        <v>88</v>
      </c>
      <c r="I746" s="7" t="s">
        <v>1789</v>
      </c>
      <c r="J746" s="7" t="s">
        <v>5</v>
      </c>
      <c r="K746" s="4" t="s">
        <v>10</v>
      </c>
      <c r="L746" s="4" t="s">
        <v>23</v>
      </c>
      <c r="M746" s="4" t="s">
        <v>390</v>
      </c>
      <c r="N746" s="4" t="s">
        <v>2584</v>
      </c>
      <c r="O746" s="89"/>
      <c r="P746" s="25">
        <v>45936</v>
      </c>
      <c r="Q746" s="7" t="s">
        <v>1112</v>
      </c>
      <c r="R746" s="90" t="s">
        <v>3254</v>
      </c>
      <c r="S746" s="6" t="s">
        <v>1795</v>
      </c>
      <c r="T746" s="4" t="s">
        <v>92</v>
      </c>
      <c r="U746" s="4" t="s">
        <v>349</v>
      </c>
      <c r="V746" s="4">
        <v>99</v>
      </c>
      <c r="W746" s="85">
        <v>45996</v>
      </c>
      <c r="X746" s="4" t="s">
        <v>3013</v>
      </c>
      <c r="Y746" s="4" t="s">
        <v>3052</v>
      </c>
      <c r="Z746" s="4" t="s">
        <v>3053</v>
      </c>
      <c r="AA746" s="4" t="s">
        <v>85</v>
      </c>
      <c r="AB746" s="4" t="s">
        <v>4289</v>
      </c>
    </row>
    <row r="747" spans="1:28">
      <c r="A747" s="4">
        <v>746</v>
      </c>
      <c r="B747" s="5">
        <v>14641236</v>
      </c>
      <c r="C747" s="5">
        <v>203850771</v>
      </c>
      <c r="D747" s="115" t="s">
        <v>754</v>
      </c>
      <c r="E747" s="4" t="s">
        <v>755</v>
      </c>
      <c r="F747" s="7" t="s">
        <v>82</v>
      </c>
      <c r="G747" s="7" t="s">
        <v>90</v>
      </c>
      <c r="H747" s="7" t="s">
        <v>87</v>
      </c>
      <c r="I747" s="6" t="s">
        <v>1790</v>
      </c>
      <c r="J747" s="7" t="s">
        <v>5</v>
      </c>
      <c r="K747" s="4" t="s">
        <v>10</v>
      </c>
      <c r="L747" s="4" t="s">
        <v>22</v>
      </c>
      <c r="M747" s="4" t="s">
        <v>3321</v>
      </c>
      <c r="N747" s="4" t="s">
        <v>2584</v>
      </c>
      <c r="O747" s="89"/>
      <c r="P747" s="25">
        <v>45524</v>
      </c>
      <c r="Q747" s="7" t="s">
        <v>1112</v>
      </c>
      <c r="R747" s="90" t="s">
        <v>3255</v>
      </c>
      <c r="S747" s="6" t="s">
        <v>1795</v>
      </c>
      <c r="T747" s="4" t="s">
        <v>81</v>
      </c>
      <c r="U747" s="4" t="s">
        <v>107</v>
      </c>
      <c r="V747" s="4">
        <v>99</v>
      </c>
      <c r="W747" s="85">
        <v>45580</v>
      </c>
      <c r="X747" s="4" t="s">
        <v>1216</v>
      </c>
      <c r="Y747" s="4" t="s">
        <v>2071</v>
      </c>
      <c r="Z747" s="4" t="s">
        <v>2072</v>
      </c>
      <c r="AA747" s="4" t="s">
        <v>95</v>
      </c>
      <c r="AB747" s="4" t="s">
        <v>4289</v>
      </c>
    </row>
    <row r="748" spans="1:28" ht="14.5" customHeight="1">
      <c r="A748" s="4">
        <v>747</v>
      </c>
      <c r="B748" s="5">
        <v>13950607</v>
      </c>
      <c r="C748" s="5">
        <v>203908324</v>
      </c>
      <c r="D748" s="115" t="s">
        <v>1129</v>
      </c>
      <c r="E748" s="4" t="s">
        <v>1130</v>
      </c>
      <c r="F748" s="7" t="s">
        <v>74</v>
      </c>
      <c r="G748" s="7" t="s">
        <v>76</v>
      </c>
      <c r="H748" s="7" t="s">
        <v>88</v>
      </c>
      <c r="I748" s="6" t="s">
        <v>1788</v>
      </c>
      <c r="J748" s="7" t="s">
        <v>5</v>
      </c>
      <c r="K748" s="4" t="s">
        <v>10</v>
      </c>
      <c r="L748" s="4" t="s">
        <v>24</v>
      </c>
      <c r="M748" s="4" t="s">
        <v>4361</v>
      </c>
      <c r="N748" s="4" t="s">
        <v>2584</v>
      </c>
      <c r="O748" s="89"/>
      <c r="P748" s="25">
        <v>45537</v>
      </c>
      <c r="Q748" s="7" t="s">
        <v>1112</v>
      </c>
      <c r="R748" s="90" t="s">
        <v>2586</v>
      </c>
      <c r="S748" s="6" t="s">
        <v>1795</v>
      </c>
      <c r="T748" s="4" t="s">
        <v>92</v>
      </c>
      <c r="U748" s="4" t="s">
        <v>349</v>
      </c>
      <c r="V748" s="4">
        <v>99</v>
      </c>
      <c r="W748" s="85">
        <v>45902</v>
      </c>
      <c r="X748" s="4" t="s">
        <v>3694</v>
      </c>
      <c r="Y748" s="4">
        <v>561715935</v>
      </c>
      <c r="Z748" s="4" t="s">
        <v>2073</v>
      </c>
      <c r="AA748" s="4" t="s">
        <v>2272</v>
      </c>
      <c r="AB748" s="4" t="s">
        <v>4289</v>
      </c>
    </row>
    <row r="749" spans="1:28">
      <c r="A749" s="4">
        <v>748</v>
      </c>
      <c r="B749" s="5">
        <v>11990355</v>
      </c>
      <c r="C749" s="5">
        <v>203881658</v>
      </c>
      <c r="D749" s="115" t="s">
        <v>1078</v>
      </c>
      <c r="E749" s="4" t="s">
        <v>1079</v>
      </c>
      <c r="F749" s="7" t="s">
        <v>74</v>
      </c>
      <c r="G749" s="7" t="s">
        <v>89</v>
      </c>
      <c r="H749" s="7" t="s">
        <v>90</v>
      </c>
      <c r="I749" s="6" t="s">
        <v>1788</v>
      </c>
      <c r="J749" s="7" t="s">
        <v>5</v>
      </c>
      <c r="K749" s="4" t="s">
        <v>10</v>
      </c>
      <c r="L749" s="4" t="s">
        <v>24</v>
      </c>
      <c r="M749" s="4" t="s">
        <v>390</v>
      </c>
      <c r="N749" s="4" t="s">
        <v>2584</v>
      </c>
      <c r="O749" s="89"/>
      <c r="P749" s="25">
        <v>45530</v>
      </c>
      <c r="Q749" s="7" t="s">
        <v>1112</v>
      </c>
      <c r="R749" s="90" t="s">
        <v>3256</v>
      </c>
      <c r="S749" s="6" t="s">
        <v>1795</v>
      </c>
      <c r="T749" s="4" t="s">
        <v>81</v>
      </c>
      <c r="U749" s="4" t="s">
        <v>103</v>
      </c>
      <c r="V749" s="4">
        <v>99</v>
      </c>
      <c r="W749" s="85">
        <v>45895</v>
      </c>
      <c r="X749" s="4" t="s">
        <v>3739</v>
      </c>
      <c r="Y749" s="4">
        <v>562599756</v>
      </c>
      <c r="Z749" s="4" t="s">
        <v>2074</v>
      </c>
      <c r="AA749" s="4" t="s">
        <v>85</v>
      </c>
      <c r="AB749" s="4" t="s">
        <v>4289</v>
      </c>
    </row>
    <row r="750" spans="1:28">
      <c r="A750" s="4">
        <v>749</v>
      </c>
      <c r="B750" s="5">
        <v>14270867</v>
      </c>
      <c r="C750" s="5">
        <v>205854275</v>
      </c>
      <c r="D750" s="115" t="s">
        <v>2694</v>
      </c>
      <c r="E750" s="4" t="s">
        <v>2695</v>
      </c>
      <c r="F750" s="7" t="s">
        <v>82</v>
      </c>
      <c r="G750" s="7" t="s">
        <v>90</v>
      </c>
      <c r="H750" s="7" t="s">
        <v>87</v>
      </c>
      <c r="I750" s="7" t="s">
        <v>1788</v>
      </c>
      <c r="J750" s="7" t="s">
        <v>5</v>
      </c>
      <c r="K750" s="4" t="s">
        <v>10</v>
      </c>
      <c r="L750" s="4" t="s">
        <v>23</v>
      </c>
      <c r="M750" s="4" t="s">
        <v>374</v>
      </c>
      <c r="N750" s="4"/>
      <c r="O750" s="89"/>
      <c r="P750" s="25">
        <v>45894</v>
      </c>
      <c r="Q750" s="7" t="s">
        <v>1112</v>
      </c>
      <c r="R750" s="90" t="s">
        <v>3262</v>
      </c>
      <c r="S750" s="6" t="s">
        <v>1795</v>
      </c>
      <c r="T750" s="4" t="s">
        <v>92</v>
      </c>
      <c r="U750" s="4" t="s">
        <v>3259</v>
      </c>
      <c r="V750" s="4">
        <v>99</v>
      </c>
      <c r="W750" s="85">
        <v>45949</v>
      </c>
      <c r="X750" s="4" t="s">
        <v>3527</v>
      </c>
      <c r="Y750" s="4">
        <v>233536111700</v>
      </c>
      <c r="Z750" s="4" t="s">
        <v>2773</v>
      </c>
      <c r="AA750" s="4" t="s">
        <v>85</v>
      </c>
      <c r="AB750" s="4" t="s">
        <v>4289</v>
      </c>
    </row>
    <row r="751" spans="1:28" ht="14.5" customHeight="1">
      <c r="A751" s="4">
        <v>750</v>
      </c>
      <c r="B751" s="5">
        <v>11035132</v>
      </c>
      <c r="C751" s="5">
        <v>206192230</v>
      </c>
      <c r="D751" s="115" t="s">
        <v>3023</v>
      </c>
      <c r="E751" s="4" t="s">
        <v>3024</v>
      </c>
      <c r="F751" s="7" t="s">
        <v>82</v>
      </c>
      <c r="G751" s="7" t="s">
        <v>94</v>
      </c>
      <c r="H751" s="7" t="s">
        <v>89</v>
      </c>
      <c r="I751" s="7" t="s">
        <v>1788</v>
      </c>
      <c r="J751" s="7" t="s">
        <v>5</v>
      </c>
      <c r="K751" s="4" t="s">
        <v>10</v>
      </c>
      <c r="L751" s="4" t="s">
        <v>23</v>
      </c>
      <c r="M751" s="4" t="s">
        <v>374</v>
      </c>
      <c r="N751" s="4" t="s">
        <v>2584</v>
      </c>
      <c r="O751" s="89"/>
      <c r="P751" s="25">
        <v>45936</v>
      </c>
      <c r="Q751" s="7" t="s">
        <v>1112</v>
      </c>
      <c r="R751" s="4" t="s">
        <v>3255</v>
      </c>
      <c r="S751" s="6" t="s">
        <v>1795</v>
      </c>
      <c r="T751" s="4" t="s">
        <v>92</v>
      </c>
      <c r="U751" s="4" t="s">
        <v>107</v>
      </c>
      <c r="V751" s="4">
        <v>99</v>
      </c>
      <c r="W751" s="85">
        <v>45996</v>
      </c>
      <c r="X751" s="4" t="s">
        <v>3013</v>
      </c>
      <c r="Y751" s="4">
        <v>971522686112</v>
      </c>
      <c r="Z751" s="4" t="s">
        <v>3047</v>
      </c>
      <c r="AA751" s="4" t="s">
        <v>1204</v>
      </c>
      <c r="AB751" s="4" t="s">
        <v>4289</v>
      </c>
    </row>
    <row r="752" spans="1:28">
      <c r="A752" s="4">
        <v>751</v>
      </c>
      <c r="B752" s="5">
        <v>11284662</v>
      </c>
      <c r="C752" s="5">
        <v>203908323</v>
      </c>
      <c r="D752" s="115" t="s">
        <v>1137</v>
      </c>
      <c r="E752" s="4" t="s">
        <v>2541</v>
      </c>
      <c r="F752" s="7" t="s">
        <v>82</v>
      </c>
      <c r="G752" s="7" t="s">
        <v>75</v>
      </c>
      <c r="H752" s="7" t="s">
        <v>76</v>
      </c>
      <c r="I752" s="6" t="s">
        <v>1790</v>
      </c>
      <c r="J752" s="7" t="s">
        <v>5</v>
      </c>
      <c r="K752" s="4" t="s">
        <v>10</v>
      </c>
      <c r="L752" s="4" t="s">
        <v>22</v>
      </c>
      <c r="M752" s="4" t="s">
        <v>2741</v>
      </c>
      <c r="N752" s="4" t="s">
        <v>2584</v>
      </c>
      <c r="O752" s="89"/>
      <c r="P752" s="25">
        <v>45789</v>
      </c>
      <c r="Q752" s="7" t="s">
        <v>1112</v>
      </c>
      <c r="R752" s="90" t="s">
        <v>3258</v>
      </c>
      <c r="S752" s="6" t="s">
        <v>1795</v>
      </c>
      <c r="T752" s="4" t="s">
        <v>81</v>
      </c>
      <c r="U752" s="4" t="s">
        <v>107</v>
      </c>
      <c r="V752" s="4">
        <v>99</v>
      </c>
      <c r="W752" s="85">
        <v>45831</v>
      </c>
      <c r="X752" s="4" t="s">
        <v>1216</v>
      </c>
      <c r="Y752" s="4">
        <v>502230973</v>
      </c>
      <c r="Z752" s="4" t="s">
        <v>2510</v>
      </c>
      <c r="AA752" s="4" t="s">
        <v>95</v>
      </c>
      <c r="AB752" s="4" t="s">
        <v>4290</v>
      </c>
    </row>
    <row r="753" spans="1:28">
      <c r="A753" s="4">
        <v>752</v>
      </c>
      <c r="B753" s="5">
        <v>12546255</v>
      </c>
      <c r="C753" s="5">
        <v>105485458</v>
      </c>
      <c r="D753" s="115" t="s">
        <v>474</v>
      </c>
      <c r="E753" s="4" t="s">
        <v>475</v>
      </c>
      <c r="F753" s="7" t="s">
        <v>74</v>
      </c>
      <c r="G753" s="7" t="s">
        <v>75</v>
      </c>
      <c r="H753" s="7" t="s">
        <v>76</v>
      </c>
      <c r="I753" s="6" t="s">
        <v>244</v>
      </c>
      <c r="J753" s="7" t="s">
        <v>5</v>
      </c>
      <c r="K753" s="4" t="s">
        <v>10</v>
      </c>
      <c r="L753" s="4" t="s">
        <v>21</v>
      </c>
      <c r="M753" s="4" t="s">
        <v>4361</v>
      </c>
      <c r="N753" s="4" t="s">
        <v>2583</v>
      </c>
      <c r="O753" s="89"/>
      <c r="P753" s="25">
        <v>44728</v>
      </c>
      <c r="Q753" s="7" t="s">
        <v>1111</v>
      </c>
      <c r="R753" s="90" t="s">
        <v>3256</v>
      </c>
      <c r="S753" s="6" t="s">
        <v>1795</v>
      </c>
      <c r="T753" s="4" t="s">
        <v>81</v>
      </c>
      <c r="U753" s="4" t="s">
        <v>112</v>
      </c>
      <c r="V753" s="4">
        <v>3</v>
      </c>
      <c r="W753" s="85"/>
      <c r="X753" s="4" t="s">
        <v>3474</v>
      </c>
      <c r="Y753" s="4">
        <v>0</v>
      </c>
      <c r="Z753" s="4" t="e">
        <v>#N/A</v>
      </c>
      <c r="AA753" s="4" t="s">
        <v>127</v>
      </c>
      <c r="AB753" s="4" t="s">
        <v>4290</v>
      </c>
    </row>
    <row r="754" spans="1:28">
      <c r="A754" s="4">
        <v>753</v>
      </c>
      <c r="B754" s="4">
        <v>13699393</v>
      </c>
      <c r="C754" s="5">
        <v>205252538</v>
      </c>
      <c r="D754" s="115" t="s">
        <v>4168</v>
      </c>
      <c r="E754" s="4" t="s">
        <v>4389</v>
      </c>
      <c r="F754" s="7" t="s">
        <v>82</v>
      </c>
      <c r="G754" s="7" t="s">
        <v>89</v>
      </c>
      <c r="H754" s="7" t="s">
        <v>90</v>
      </c>
      <c r="I754" s="4" t="s">
        <v>1789</v>
      </c>
      <c r="J754" s="4" t="s">
        <v>5</v>
      </c>
      <c r="K754" s="4" t="s">
        <v>10</v>
      </c>
      <c r="L754" s="4" t="s">
        <v>23</v>
      </c>
      <c r="M754" s="4" t="s">
        <v>4314</v>
      </c>
      <c r="N754" s="4"/>
      <c r="O754" s="4"/>
      <c r="P754" s="25">
        <v>46238</v>
      </c>
      <c r="Q754" s="4" t="s">
        <v>1112</v>
      </c>
      <c r="R754" s="4"/>
      <c r="S754" s="6" t="s">
        <v>1796</v>
      </c>
      <c r="T754" s="4" t="s">
        <v>92</v>
      </c>
      <c r="U754" s="4"/>
      <c r="V754" s="4">
        <v>99</v>
      </c>
      <c r="W754" s="4"/>
      <c r="X754" s="4"/>
      <c r="Y754" s="4"/>
      <c r="Z754" s="4"/>
      <c r="AA754" s="4"/>
      <c r="AB754" s="4"/>
    </row>
    <row r="755" spans="1:28">
      <c r="A755" s="4">
        <v>754</v>
      </c>
      <c r="B755" s="5">
        <v>14481752</v>
      </c>
      <c r="C755" s="5">
        <v>204373722</v>
      </c>
      <c r="D755" s="115" t="s">
        <v>1759</v>
      </c>
      <c r="E755" s="4" t="s">
        <v>1760</v>
      </c>
      <c r="F755" s="7" t="s">
        <v>82</v>
      </c>
      <c r="G755" s="7" t="s">
        <v>87</v>
      </c>
      <c r="H755" s="7" t="s">
        <v>75</v>
      </c>
      <c r="I755" s="6" t="s">
        <v>1790</v>
      </c>
      <c r="J755" s="7" t="s">
        <v>5</v>
      </c>
      <c r="K755" s="4" t="s">
        <v>10</v>
      </c>
      <c r="L755" s="4" t="s">
        <v>20</v>
      </c>
      <c r="M755" s="4" t="s">
        <v>3321</v>
      </c>
      <c r="N755" s="4" t="s">
        <v>2584</v>
      </c>
      <c r="O755" s="89"/>
      <c r="P755" s="25">
        <v>45593</v>
      </c>
      <c r="Q755" s="7" t="s">
        <v>1112</v>
      </c>
      <c r="R755" s="90" t="s">
        <v>3256</v>
      </c>
      <c r="S755" s="6" t="s">
        <v>1795</v>
      </c>
      <c r="T755" s="4" t="s">
        <v>81</v>
      </c>
      <c r="U755" s="4" t="s">
        <v>103</v>
      </c>
      <c r="V755" s="4">
        <v>99</v>
      </c>
      <c r="W755" s="85">
        <v>46323</v>
      </c>
      <c r="X755" s="4" t="s">
        <v>3698</v>
      </c>
      <c r="Y755" s="4">
        <v>509564737</v>
      </c>
      <c r="Z755" s="4" t="s">
        <v>2075</v>
      </c>
      <c r="AA755" s="4" t="s">
        <v>1194</v>
      </c>
      <c r="AB755" s="4" t="s">
        <v>4290</v>
      </c>
    </row>
    <row r="756" spans="1:28">
      <c r="A756" s="4">
        <v>755</v>
      </c>
      <c r="B756" s="5">
        <v>14361390</v>
      </c>
      <c r="C756" s="5">
        <v>205839585</v>
      </c>
      <c r="D756" s="115" t="s">
        <v>2668</v>
      </c>
      <c r="E756" s="4" t="s">
        <v>2669</v>
      </c>
      <c r="F756" s="7" t="s">
        <v>74</v>
      </c>
      <c r="G756" s="7" t="s">
        <v>76</v>
      </c>
      <c r="H756" s="7" t="s">
        <v>88</v>
      </c>
      <c r="I756" s="7" t="s">
        <v>1789</v>
      </c>
      <c r="J756" s="7" t="s">
        <v>5</v>
      </c>
      <c r="K756" s="4" t="s">
        <v>10</v>
      </c>
      <c r="L756" s="4" t="s">
        <v>22</v>
      </c>
      <c r="M756" s="4" t="s">
        <v>390</v>
      </c>
      <c r="N756" s="4"/>
      <c r="O756" s="89"/>
      <c r="P756" s="25">
        <v>45894</v>
      </c>
      <c r="Q756" s="7" t="s">
        <v>1192</v>
      </c>
      <c r="R756" s="7" t="s">
        <v>3257</v>
      </c>
      <c r="S756" s="6" t="s">
        <v>1795</v>
      </c>
      <c r="T756" s="4" t="s">
        <v>81</v>
      </c>
      <c r="U756" s="4" t="s">
        <v>349</v>
      </c>
      <c r="V756" s="4">
        <v>99</v>
      </c>
      <c r="W756" s="85">
        <v>45949</v>
      </c>
      <c r="X756" s="4" t="s">
        <v>2758</v>
      </c>
      <c r="Y756" s="4">
        <v>567549534</v>
      </c>
      <c r="Z756" s="4" t="s">
        <v>2766</v>
      </c>
      <c r="AA756" s="4" t="s">
        <v>95</v>
      </c>
      <c r="AB756" s="4" t="s">
        <v>4290</v>
      </c>
    </row>
    <row r="757" spans="1:28">
      <c r="A757" s="4">
        <v>756</v>
      </c>
      <c r="B757" s="5">
        <v>11636439</v>
      </c>
      <c r="C757" s="5">
        <v>204094215</v>
      </c>
      <c r="D757" s="115" t="s">
        <v>1490</v>
      </c>
      <c r="E757" s="4" t="s">
        <v>1491</v>
      </c>
      <c r="F757" s="7" t="s">
        <v>82</v>
      </c>
      <c r="G757" s="7" t="s">
        <v>75</v>
      </c>
      <c r="H757" s="7" t="s">
        <v>76</v>
      </c>
      <c r="I757" s="6" t="s">
        <v>1790</v>
      </c>
      <c r="J757" s="7" t="s">
        <v>5</v>
      </c>
      <c r="K757" s="4" t="s">
        <v>10</v>
      </c>
      <c r="L757" s="4" t="s">
        <v>27</v>
      </c>
      <c r="M757" s="4" t="s">
        <v>374</v>
      </c>
      <c r="N757" s="4" t="s">
        <v>2584</v>
      </c>
      <c r="O757" s="89"/>
      <c r="P757" s="25">
        <v>45561</v>
      </c>
      <c r="Q757" s="7" t="s">
        <v>1113</v>
      </c>
      <c r="R757" s="90" t="s">
        <v>3252</v>
      </c>
      <c r="S757" s="6" t="s">
        <v>1795</v>
      </c>
      <c r="T757" s="4" t="s">
        <v>92</v>
      </c>
      <c r="U757" s="4" t="s">
        <v>132</v>
      </c>
      <c r="V757" s="4">
        <v>99</v>
      </c>
      <c r="W757" s="85">
        <v>46291</v>
      </c>
      <c r="X757" s="4" t="s">
        <v>3703</v>
      </c>
      <c r="Y757" s="4">
        <v>524642581</v>
      </c>
      <c r="Z757" s="4" t="s">
        <v>2076</v>
      </c>
      <c r="AA757" s="4" t="s">
        <v>1203</v>
      </c>
      <c r="AB757" s="4" t="s">
        <v>4289</v>
      </c>
    </row>
    <row r="758" spans="1:28" ht="14.5" customHeight="1">
      <c r="A758" s="4">
        <v>757</v>
      </c>
      <c r="B758" s="4">
        <f>_xlfn.XLOOKUP(C758,'[1]employeeList-AUH1 (28)'!$A:$A,'[1]employeeList-AUH1 (28)'!$D:$D)</f>
        <v>13823482</v>
      </c>
      <c r="C758" s="5">
        <v>206239524</v>
      </c>
      <c r="D758" s="115" t="str">
        <f>VLOOKUP(C758,'[1]employeeList-AUH1 (28)'!$A$1:$J$1523,2,0)</f>
        <v>fsarckoh</v>
      </c>
      <c r="E758" s="4" t="s">
        <v>3099</v>
      </c>
      <c r="F758" s="7" t="s">
        <v>82</v>
      </c>
      <c r="G758" s="7" t="s">
        <v>76</v>
      </c>
      <c r="H758" s="7" t="s">
        <v>88</v>
      </c>
      <c r="I758" s="4" t="s">
        <v>1789</v>
      </c>
      <c r="J758" s="4" t="s">
        <v>5</v>
      </c>
      <c r="K758" s="4" t="s">
        <v>10</v>
      </c>
      <c r="L758" s="4" t="s">
        <v>24</v>
      </c>
      <c r="M758" s="4" t="s">
        <v>374</v>
      </c>
      <c r="N758" s="4"/>
      <c r="O758" s="4"/>
      <c r="P758" s="25">
        <v>46239</v>
      </c>
      <c r="Q758" s="4" t="s">
        <v>351</v>
      </c>
      <c r="R758" s="4"/>
      <c r="S758" s="6" t="s">
        <v>1796</v>
      </c>
      <c r="T758" s="4" t="s">
        <v>92</v>
      </c>
      <c r="U758" s="4"/>
      <c r="V758" s="4">
        <v>99</v>
      </c>
      <c r="W758" s="4"/>
      <c r="X758" s="4"/>
      <c r="Y758" s="4"/>
      <c r="Z758" s="4"/>
      <c r="AA758" s="4"/>
      <c r="AB758" s="4"/>
    </row>
    <row r="759" spans="1:28">
      <c r="A759" s="4">
        <v>758</v>
      </c>
      <c r="B759" s="5">
        <v>11130321</v>
      </c>
      <c r="C759" s="5">
        <v>102582339</v>
      </c>
      <c r="D759" s="115" t="s">
        <v>394</v>
      </c>
      <c r="E759" s="4" t="s">
        <v>395</v>
      </c>
      <c r="F759" s="7" t="s">
        <v>74</v>
      </c>
      <c r="G759" s="7" t="s">
        <v>90</v>
      </c>
      <c r="H759" s="7" t="s">
        <v>87</v>
      </c>
      <c r="I759" s="6" t="s">
        <v>244</v>
      </c>
      <c r="J759" s="7" t="s">
        <v>5</v>
      </c>
      <c r="K759" s="4" t="s">
        <v>10</v>
      </c>
      <c r="L759" s="4" t="s">
        <v>21</v>
      </c>
      <c r="M759" s="4" t="s">
        <v>4314</v>
      </c>
      <c r="N759" s="4" t="s">
        <v>2583</v>
      </c>
      <c r="O759" s="89"/>
      <c r="P759" s="25">
        <v>42960</v>
      </c>
      <c r="Q759" s="7" t="s">
        <v>1111</v>
      </c>
      <c r="R759" s="90" t="s">
        <v>2586</v>
      </c>
      <c r="S759" s="6" t="s">
        <v>1795</v>
      </c>
      <c r="T759" s="4" t="s">
        <v>81</v>
      </c>
      <c r="U759" s="4" t="s">
        <v>3263</v>
      </c>
      <c r="V759" s="4">
        <v>3</v>
      </c>
      <c r="W759" s="85"/>
      <c r="X759" s="4" t="s">
        <v>2357</v>
      </c>
      <c r="Y759" s="4">
        <v>0</v>
      </c>
      <c r="Z759" s="4" t="e">
        <v>#N/A</v>
      </c>
      <c r="AA759" s="4" t="s">
        <v>1194</v>
      </c>
      <c r="AB759" s="4" t="s">
        <v>4290</v>
      </c>
    </row>
    <row r="760" spans="1:28" ht="14.5" customHeight="1">
      <c r="A760" s="4">
        <v>759</v>
      </c>
      <c r="B760" s="5">
        <v>12350896</v>
      </c>
      <c r="C760" s="5">
        <v>206886514</v>
      </c>
      <c r="D760" s="115" t="s">
        <v>3598</v>
      </c>
      <c r="E760" s="4" t="s">
        <v>3533</v>
      </c>
      <c r="F760" s="7" t="s">
        <v>74</v>
      </c>
      <c r="G760" s="7" t="s">
        <v>75</v>
      </c>
      <c r="H760" s="7" t="s">
        <v>76</v>
      </c>
      <c r="I760" s="7" t="s">
        <v>1789</v>
      </c>
      <c r="J760" s="7" t="s">
        <v>5</v>
      </c>
      <c r="K760" s="4" t="s">
        <v>10</v>
      </c>
      <c r="L760" s="4" t="s">
        <v>23</v>
      </c>
      <c r="M760" s="4" t="s">
        <v>4361</v>
      </c>
      <c r="N760" s="4" t="s">
        <v>2584</v>
      </c>
      <c r="O760" s="89"/>
      <c r="P760" s="25">
        <v>46027</v>
      </c>
      <c r="Q760" s="7" t="s">
        <v>1112</v>
      </c>
      <c r="R760" s="4" t="s">
        <v>3258</v>
      </c>
      <c r="S760" s="4" t="s">
        <v>1795</v>
      </c>
      <c r="T760" s="4" t="s">
        <v>81</v>
      </c>
      <c r="U760" s="4"/>
      <c r="V760" s="4">
        <v>99</v>
      </c>
      <c r="W760" s="85">
        <v>46024</v>
      </c>
      <c r="X760" s="95" t="s">
        <v>3554</v>
      </c>
      <c r="Y760" s="4" t="s">
        <v>3560</v>
      </c>
      <c r="Z760" s="4" t="s">
        <v>3577</v>
      </c>
      <c r="AA760" s="4" t="s">
        <v>85</v>
      </c>
      <c r="AB760" s="4" t="s">
        <v>4289</v>
      </c>
    </row>
    <row r="761" spans="1:28">
      <c r="A761" s="4">
        <v>760</v>
      </c>
      <c r="B761" s="5">
        <v>13542497</v>
      </c>
      <c r="C761" s="5">
        <v>204138116</v>
      </c>
      <c r="D761" s="115" t="s">
        <v>1587</v>
      </c>
      <c r="E761" s="4" t="s">
        <v>1553</v>
      </c>
      <c r="F761" s="7" t="s">
        <v>74</v>
      </c>
      <c r="G761" s="7" t="s">
        <v>75</v>
      </c>
      <c r="H761" s="7" t="s">
        <v>76</v>
      </c>
      <c r="I761" s="6" t="s">
        <v>1790</v>
      </c>
      <c r="J761" s="7" t="s">
        <v>5</v>
      </c>
      <c r="K761" s="4" t="s">
        <v>10</v>
      </c>
      <c r="L761" s="4" t="s">
        <v>27</v>
      </c>
      <c r="M761" s="4" t="s">
        <v>3321</v>
      </c>
      <c r="N761" s="4" t="s">
        <v>2584</v>
      </c>
      <c r="O761" s="89"/>
      <c r="P761" s="25">
        <v>45565</v>
      </c>
      <c r="Q761" s="7" t="s">
        <v>1112</v>
      </c>
      <c r="R761" s="90" t="s">
        <v>3260</v>
      </c>
      <c r="S761" s="6" t="s">
        <v>1795</v>
      </c>
      <c r="T761" s="4" t="s">
        <v>81</v>
      </c>
      <c r="U761" s="4" t="s">
        <v>103</v>
      </c>
      <c r="V761" s="4">
        <v>99</v>
      </c>
      <c r="W761" s="85">
        <v>46295</v>
      </c>
      <c r="X761" s="4" t="s">
        <v>3694</v>
      </c>
      <c r="Y761" s="4">
        <v>589301204</v>
      </c>
      <c r="Z761" s="4" t="s">
        <v>1570</v>
      </c>
      <c r="AA761" s="4" t="s">
        <v>1196</v>
      </c>
      <c r="AB761" s="4" t="s">
        <v>4289</v>
      </c>
    </row>
    <row r="762" spans="1:28">
      <c r="A762" s="4">
        <v>761</v>
      </c>
      <c r="B762" s="5">
        <v>11488438</v>
      </c>
      <c r="C762" s="5">
        <v>206915147</v>
      </c>
      <c r="D762" s="115" t="s">
        <v>3855</v>
      </c>
      <c r="E762" s="4" t="s">
        <v>3678</v>
      </c>
      <c r="F762" s="7" t="s">
        <v>74</v>
      </c>
      <c r="G762" s="7" t="s">
        <v>75</v>
      </c>
      <c r="H762" s="7" t="s">
        <v>76</v>
      </c>
      <c r="I762" s="7" t="s">
        <v>1789</v>
      </c>
      <c r="J762" s="7" t="s">
        <v>5</v>
      </c>
      <c r="K762" s="4" t="s">
        <v>10</v>
      </c>
      <c r="L762" s="4" t="s">
        <v>22</v>
      </c>
      <c r="M762" s="4" t="s">
        <v>390</v>
      </c>
      <c r="N762" s="4" t="s">
        <v>2584</v>
      </c>
      <c r="O762" s="89"/>
      <c r="P762" s="25">
        <v>46034</v>
      </c>
      <c r="Q762" s="7" t="s">
        <v>1112</v>
      </c>
      <c r="R762" s="90" t="s">
        <v>2586</v>
      </c>
      <c r="S762" s="6" t="s">
        <v>1795</v>
      </c>
      <c r="T762" s="4" t="s">
        <v>81</v>
      </c>
      <c r="U762" s="4"/>
      <c r="V762" s="4">
        <v>99</v>
      </c>
      <c r="W762" s="85">
        <v>46415</v>
      </c>
      <c r="X762" s="4" t="s">
        <v>3290</v>
      </c>
      <c r="Y762" s="4">
        <v>525422507</v>
      </c>
      <c r="Z762" s="4" t="s">
        <v>3684</v>
      </c>
      <c r="AA762" s="4" t="s">
        <v>3016</v>
      </c>
      <c r="AB762" s="4" t="s">
        <v>4289</v>
      </c>
    </row>
    <row r="763" spans="1:28">
      <c r="A763" s="4">
        <v>762</v>
      </c>
      <c r="B763" s="4">
        <v>13676093</v>
      </c>
      <c r="C763" s="4">
        <v>206065208</v>
      </c>
      <c r="D763" s="115" t="s">
        <v>2877</v>
      </c>
      <c r="E763" s="4" t="s">
        <v>2898</v>
      </c>
      <c r="F763" s="7" t="s">
        <v>82</v>
      </c>
      <c r="G763" s="7" t="s">
        <v>75</v>
      </c>
      <c r="H763" s="7" t="s">
        <v>76</v>
      </c>
      <c r="I763" s="4" t="s">
        <v>1789</v>
      </c>
      <c r="J763" s="4" t="s">
        <v>5</v>
      </c>
      <c r="K763" s="4" t="s">
        <v>10</v>
      </c>
      <c r="L763" s="4" t="s">
        <v>24</v>
      </c>
      <c r="M763" s="4" t="s">
        <v>2741</v>
      </c>
      <c r="N763" s="4"/>
      <c r="O763" s="4"/>
      <c r="P763" s="25">
        <v>46226</v>
      </c>
      <c r="Q763" s="4" t="s">
        <v>1112</v>
      </c>
      <c r="R763" s="90" t="s">
        <v>2586</v>
      </c>
      <c r="S763" s="6" t="s">
        <v>1796</v>
      </c>
      <c r="T763" s="4" t="s">
        <v>81</v>
      </c>
      <c r="U763" s="4"/>
      <c r="V763" s="4">
        <v>99</v>
      </c>
      <c r="W763" s="4"/>
      <c r="X763" s="4" t="s">
        <v>4376</v>
      </c>
      <c r="Y763" s="4">
        <v>566706137</v>
      </c>
      <c r="Z763" s="4" t="s">
        <v>4372</v>
      </c>
      <c r="AA763" s="4" t="s">
        <v>95</v>
      </c>
      <c r="AB763" s="4"/>
    </row>
    <row r="764" spans="1:28">
      <c r="A764" s="4">
        <v>763</v>
      </c>
      <c r="B764" s="106">
        <v>14417706</v>
      </c>
      <c r="C764" s="106">
        <v>204865035</v>
      </c>
      <c r="D764" s="5" t="s">
        <v>2735</v>
      </c>
      <c r="E764" s="115" t="s">
        <v>2736</v>
      </c>
      <c r="F764" s="7" t="s">
        <v>82</v>
      </c>
      <c r="G764" s="7" t="s">
        <v>87</v>
      </c>
      <c r="H764" s="7" t="s">
        <v>75</v>
      </c>
      <c r="I764" s="7" t="s">
        <v>1789</v>
      </c>
      <c r="J764" s="7" t="s">
        <v>5</v>
      </c>
      <c r="K764" s="4" t="s">
        <v>10</v>
      </c>
      <c r="L764" s="4" t="s">
        <v>22</v>
      </c>
      <c r="M764" s="4" t="s">
        <v>2676</v>
      </c>
      <c r="N764" s="4"/>
      <c r="O764" s="25"/>
      <c r="P764" s="25">
        <v>45894</v>
      </c>
      <c r="Q764" s="7" t="s">
        <v>1112</v>
      </c>
      <c r="R764" s="6" t="s">
        <v>2586</v>
      </c>
      <c r="S764" s="6" t="s">
        <v>1795</v>
      </c>
      <c r="T764" s="6" t="s">
        <v>81</v>
      </c>
      <c r="U764" s="6" t="s">
        <v>107</v>
      </c>
      <c r="V764" s="4">
        <v>99</v>
      </c>
      <c r="W764" s="6">
        <v>45949</v>
      </c>
      <c r="X764" s="6" t="s">
        <v>2758</v>
      </c>
      <c r="Y764" s="4">
        <v>564753844</v>
      </c>
      <c r="Z764" s="6" t="s">
        <v>4337</v>
      </c>
      <c r="AA764" s="6" t="s">
        <v>85</v>
      </c>
      <c r="AB764" s="4">
        <v>0</v>
      </c>
    </row>
    <row r="765" spans="1:28">
      <c r="A765" s="4">
        <v>764</v>
      </c>
      <c r="B765" s="5">
        <v>12778647</v>
      </c>
      <c r="C765" s="5">
        <v>203850767</v>
      </c>
      <c r="D765" s="115" t="s">
        <v>756</v>
      </c>
      <c r="E765" s="4" t="s">
        <v>757</v>
      </c>
      <c r="F765" s="7" t="s">
        <v>82</v>
      </c>
      <c r="G765" s="7" t="s">
        <v>94</v>
      </c>
      <c r="H765" s="7" t="s">
        <v>89</v>
      </c>
      <c r="I765" s="7" t="s">
        <v>1789</v>
      </c>
      <c r="J765" s="7" t="s">
        <v>5</v>
      </c>
      <c r="K765" s="4" t="s">
        <v>10</v>
      </c>
      <c r="L765" s="4" t="s">
        <v>22</v>
      </c>
      <c r="M765" s="4" t="s">
        <v>390</v>
      </c>
      <c r="N765" s="4" t="s">
        <v>2584</v>
      </c>
      <c r="O765" s="89"/>
      <c r="P765" s="25">
        <v>45524</v>
      </c>
      <c r="Q765" s="7" t="s">
        <v>1112</v>
      </c>
      <c r="R765" s="90" t="s">
        <v>2586</v>
      </c>
      <c r="S765" s="6" t="s">
        <v>1795</v>
      </c>
      <c r="T765" s="4" t="s">
        <v>81</v>
      </c>
      <c r="U765" s="4" t="s">
        <v>349</v>
      </c>
      <c r="V765" s="4">
        <v>99</v>
      </c>
      <c r="W765" s="85">
        <v>45580</v>
      </c>
      <c r="X765" s="4" t="s">
        <v>1216</v>
      </c>
      <c r="Y765" s="4">
        <v>558755370</v>
      </c>
      <c r="Z765" s="4" t="s">
        <v>2077</v>
      </c>
      <c r="AA765" s="4" t="s">
        <v>95</v>
      </c>
      <c r="AB765" s="4" t="s">
        <v>4289</v>
      </c>
    </row>
    <row r="766" spans="1:28">
      <c r="A766" s="4">
        <v>765</v>
      </c>
      <c r="B766" s="106">
        <v>15328958</v>
      </c>
      <c r="C766" s="106">
        <v>204865037</v>
      </c>
      <c r="D766" s="5" t="s">
        <v>2737</v>
      </c>
      <c r="E766" s="115" t="s">
        <v>2738</v>
      </c>
      <c r="F766" s="7" t="s">
        <v>74</v>
      </c>
      <c r="G766" s="7" t="s">
        <v>87</v>
      </c>
      <c r="H766" s="7" t="s">
        <v>75</v>
      </c>
      <c r="I766" s="6" t="s">
        <v>1790</v>
      </c>
      <c r="J766" s="7" t="s">
        <v>5</v>
      </c>
      <c r="K766" s="4" t="s">
        <v>10</v>
      </c>
      <c r="L766" s="4" t="s">
        <v>22</v>
      </c>
      <c r="M766" s="4" t="s">
        <v>2676</v>
      </c>
      <c r="N766" s="4"/>
      <c r="O766" s="25"/>
      <c r="P766" s="25">
        <v>45894</v>
      </c>
      <c r="Q766" s="7" t="s">
        <v>1112</v>
      </c>
      <c r="R766" s="6" t="s">
        <v>3256</v>
      </c>
      <c r="S766" s="6" t="s">
        <v>1795</v>
      </c>
      <c r="T766" s="6" t="s">
        <v>81</v>
      </c>
      <c r="U766" s="6" t="s">
        <v>107</v>
      </c>
      <c r="V766" s="4">
        <v>99</v>
      </c>
      <c r="W766" s="6">
        <v>45949</v>
      </c>
      <c r="X766" s="6" t="s">
        <v>2758</v>
      </c>
      <c r="Y766" s="4">
        <v>547794482</v>
      </c>
      <c r="Z766" s="6" t="s">
        <v>4338</v>
      </c>
      <c r="AA766" s="6" t="s">
        <v>85</v>
      </c>
      <c r="AB766" s="4">
        <v>0</v>
      </c>
    </row>
    <row r="767" spans="1:28" ht="14.5" customHeight="1">
      <c r="A767" s="4">
        <v>766</v>
      </c>
      <c r="B767" s="5">
        <v>14985911</v>
      </c>
      <c r="C767" s="5">
        <v>204137705</v>
      </c>
      <c r="D767" s="115" t="s">
        <v>1582</v>
      </c>
      <c r="E767" s="4" t="s">
        <v>1548</v>
      </c>
      <c r="F767" s="7" t="s">
        <v>82</v>
      </c>
      <c r="G767" s="7" t="s">
        <v>89</v>
      </c>
      <c r="H767" s="7" t="s">
        <v>90</v>
      </c>
      <c r="I767" s="6" t="s">
        <v>1790</v>
      </c>
      <c r="J767" s="7" t="s">
        <v>5</v>
      </c>
      <c r="K767" s="4" t="s">
        <v>10</v>
      </c>
      <c r="L767" s="4" t="s">
        <v>27</v>
      </c>
      <c r="M767" s="4" t="s">
        <v>374</v>
      </c>
      <c r="N767" s="4" t="s">
        <v>2584</v>
      </c>
      <c r="O767" s="89"/>
      <c r="P767" s="25">
        <v>45565</v>
      </c>
      <c r="Q767" s="7" t="s">
        <v>1112</v>
      </c>
      <c r="R767" s="90" t="s">
        <v>3262</v>
      </c>
      <c r="S767" s="6" t="s">
        <v>1795</v>
      </c>
      <c r="T767" s="4" t="s">
        <v>81</v>
      </c>
      <c r="U767" s="4" t="s">
        <v>112</v>
      </c>
      <c r="V767" s="4">
        <v>99</v>
      </c>
      <c r="W767" s="85">
        <v>46295</v>
      </c>
      <c r="X767" s="4" t="s">
        <v>3694</v>
      </c>
      <c r="Y767" s="4">
        <v>551287200</v>
      </c>
      <c r="Z767" s="4" t="s">
        <v>1565</v>
      </c>
      <c r="AA767" s="4" t="s">
        <v>85</v>
      </c>
      <c r="AB767" s="4" t="s">
        <v>4289</v>
      </c>
    </row>
    <row r="768" spans="1:28">
      <c r="A768" s="4">
        <v>767</v>
      </c>
      <c r="B768" s="5">
        <v>14899683</v>
      </c>
      <c r="C768" s="5">
        <v>203737010</v>
      </c>
      <c r="D768" s="115" t="s">
        <v>271</v>
      </c>
      <c r="E768" s="4" t="s">
        <v>272</v>
      </c>
      <c r="F768" s="7" t="s">
        <v>82</v>
      </c>
      <c r="G768" s="7" t="s">
        <v>90</v>
      </c>
      <c r="H768" s="7" t="s">
        <v>87</v>
      </c>
      <c r="I768" s="6" t="s">
        <v>1788</v>
      </c>
      <c r="J768" s="7" t="s">
        <v>5</v>
      </c>
      <c r="K768" s="4" t="s">
        <v>10</v>
      </c>
      <c r="L768" s="4" t="s">
        <v>24</v>
      </c>
      <c r="M768" s="4" t="s">
        <v>4314</v>
      </c>
      <c r="N768" s="4" t="s">
        <v>2584</v>
      </c>
      <c r="O768" s="89"/>
      <c r="P768" s="25">
        <v>45502</v>
      </c>
      <c r="Q768" s="7" t="s">
        <v>1112</v>
      </c>
      <c r="R768" s="90" t="s">
        <v>3261</v>
      </c>
      <c r="S768" s="6" t="s">
        <v>1795</v>
      </c>
      <c r="T768" s="4" t="s">
        <v>81</v>
      </c>
      <c r="U768" s="4" t="s">
        <v>112</v>
      </c>
      <c r="V768" s="4">
        <v>99</v>
      </c>
      <c r="W768" s="85">
        <v>46232</v>
      </c>
      <c r="X768" s="4" t="s">
        <v>3694</v>
      </c>
      <c r="Y768" s="4">
        <v>508145241</v>
      </c>
      <c r="Z768" s="4" t="s">
        <v>2078</v>
      </c>
      <c r="AA768" s="4" t="s">
        <v>85</v>
      </c>
      <c r="AB768" s="4" t="s">
        <v>4289</v>
      </c>
    </row>
    <row r="769" spans="1:28">
      <c r="A769" s="4">
        <v>768</v>
      </c>
      <c r="B769" s="5">
        <v>12284796</v>
      </c>
      <c r="C769" s="5">
        <v>206906443</v>
      </c>
      <c r="D769" s="115" t="s">
        <v>3621</v>
      </c>
      <c r="E769" s="4" t="s">
        <v>3642</v>
      </c>
      <c r="F769" s="7" t="s">
        <v>82</v>
      </c>
      <c r="G769" s="7" t="s">
        <v>90</v>
      </c>
      <c r="H769" s="7" t="s">
        <v>87</v>
      </c>
      <c r="I769" s="7" t="s">
        <v>1789</v>
      </c>
      <c r="J769" s="6" t="s">
        <v>5</v>
      </c>
      <c r="K769" s="6" t="s">
        <v>10</v>
      </c>
      <c r="L769" s="4" t="s">
        <v>22</v>
      </c>
      <c r="M769" s="4" t="s">
        <v>3321</v>
      </c>
      <c r="N769" s="4" t="s">
        <v>2584</v>
      </c>
      <c r="O769" s="89"/>
      <c r="P769" s="25">
        <v>46030</v>
      </c>
      <c r="Q769" s="7" t="s">
        <v>1112</v>
      </c>
      <c r="R769" s="4" t="s">
        <v>3261</v>
      </c>
      <c r="S769" s="6" t="s">
        <v>1795</v>
      </c>
      <c r="T769" s="4" t="s">
        <v>81</v>
      </c>
      <c r="U769" s="4"/>
      <c r="V769" s="4">
        <v>99</v>
      </c>
      <c r="W769" s="85">
        <v>46395</v>
      </c>
      <c r="X769" s="4" t="s">
        <v>3290</v>
      </c>
      <c r="Y769" s="4">
        <v>554590743</v>
      </c>
      <c r="Z769" s="4" t="s">
        <v>3664</v>
      </c>
      <c r="AA769" s="4" t="s">
        <v>3016</v>
      </c>
      <c r="AB769" s="4" t="e">
        <v>#N/A</v>
      </c>
    </row>
    <row r="770" spans="1:28">
      <c r="A770" s="4">
        <v>769</v>
      </c>
      <c r="B770" s="106">
        <v>12643651</v>
      </c>
      <c r="C770" s="106">
        <v>203993509</v>
      </c>
      <c r="D770" s="5" t="s">
        <v>1337</v>
      </c>
      <c r="E770" s="115" t="s">
        <v>1338</v>
      </c>
      <c r="F770" s="7" t="s">
        <v>74</v>
      </c>
      <c r="G770" s="7" t="s">
        <v>87</v>
      </c>
      <c r="H770" s="7" t="s">
        <v>75</v>
      </c>
      <c r="I770" s="6" t="s">
        <v>1790</v>
      </c>
      <c r="J770" s="7" t="s">
        <v>5</v>
      </c>
      <c r="K770" s="4" t="s">
        <v>10</v>
      </c>
      <c r="L770" s="4" t="s">
        <v>22</v>
      </c>
      <c r="M770" s="4" t="s">
        <v>2676</v>
      </c>
      <c r="N770" s="4"/>
      <c r="O770" s="25"/>
      <c r="P770" s="25">
        <v>45894</v>
      </c>
      <c r="Q770" s="7" t="s">
        <v>1112</v>
      </c>
      <c r="R770" s="4" t="s">
        <v>3260</v>
      </c>
      <c r="S770" s="6" t="s">
        <v>1795</v>
      </c>
      <c r="T770" s="6" t="s">
        <v>81</v>
      </c>
      <c r="U770" s="6" t="s">
        <v>349</v>
      </c>
      <c r="V770" s="4">
        <v>99</v>
      </c>
      <c r="W770" s="6">
        <v>45949</v>
      </c>
      <c r="X770" s="6" t="s">
        <v>2758</v>
      </c>
      <c r="Y770" s="4">
        <v>562178980</v>
      </c>
      <c r="Z770" s="6" t="s">
        <v>4339</v>
      </c>
      <c r="AA770" s="6" t="s">
        <v>95</v>
      </c>
      <c r="AB770" s="4">
        <v>0</v>
      </c>
    </row>
    <row r="771" spans="1:28">
      <c r="A771" s="4">
        <v>770</v>
      </c>
      <c r="B771" s="5">
        <v>13910912</v>
      </c>
      <c r="C771" s="5">
        <v>206850959</v>
      </c>
      <c r="D771" s="115" t="s">
        <v>3317</v>
      </c>
      <c r="E771" s="5" t="s">
        <v>3286</v>
      </c>
      <c r="F771" s="7" t="s">
        <v>74</v>
      </c>
      <c r="G771" s="7" t="s">
        <v>75</v>
      </c>
      <c r="H771" s="7" t="s">
        <v>76</v>
      </c>
      <c r="I771" s="7" t="s">
        <v>1789</v>
      </c>
      <c r="J771" s="7" t="s">
        <v>5</v>
      </c>
      <c r="K771" s="4" t="s">
        <v>10</v>
      </c>
      <c r="L771" s="5" t="s">
        <v>22</v>
      </c>
      <c r="M771" s="4" t="s">
        <v>4314</v>
      </c>
      <c r="N771" s="5" t="s">
        <v>3289</v>
      </c>
      <c r="O771" s="89"/>
      <c r="P771" s="25">
        <v>46013</v>
      </c>
      <c r="Q771" s="7" t="s">
        <v>1112</v>
      </c>
      <c r="R771" s="90" t="s">
        <v>3256</v>
      </c>
      <c r="S771" s="5" t="s">
        <v>1795</v>
      </c>
      <c r="T771" s="5" t="s">
        <v>81</v>
      </c>
      <c r="U771" s="5"/>
      <c r="V771" s="5">
        <v>99</v>
      </c>
      <c r="W771" s="91">
        <v>45648</v>
      </c>
      <c r="X771" s="5" t="s">
        <v>3290</v>
      </c>
      <c r="Y771" s="5">
        <v>586543512</v>
      </c>
      <c r="Z771" s="5" t="s">
        <v>3305</v>
      </c>
      <c r="AA771" s="4" t="s">
        <v>95</v>
      </c>
      <c r="AB771" s="4" t="s">
        <v>4289</v>
      </c>
    </row>
    <row r="772" spans="1:28">
      <c r="A772" s="4">
        <v>771</v>
      </c>
      <c r="B772" s="5">
        <v>12010457</v>
      </c>
      <c r="C772" s="5">
        <v>206128855</v>
      </c>
      <c r="D772" s="115" t="s">
        <v>2933</v>
      </c>
      <c r="E772" s="4" t="s">
        <v>2934</v>
      </c>
      <c r="F772" s="7" t="s">
        <v>74</v>
      </c>
      <c r="G772" s="7" t="s">
        <v>89</v>
      </c>
      <c r="H772" s="7" t="s">
        <v>90</v>
      </c>
      <c r="I772" s="6" t="s">
        <v>1788</v>
      </c>
      <c r="J772" s="7" t="s">
        <v>5</v>
      </c>
      <c r="K772" s="4" t="s">
        <v>10</v>
      </c>
      <c r="L772" s="4" t="s">
        <v>24</v>
      </c>
      <c r="M772" s="4" t="s">
        <v>4361</v>
      </c>
      <c r="N772" s="4"/>
      <c r="O772" s="89"/>
      <c r="P772" s="25">
        <v>45929</v>
      </c>
      <c r="Q772" s="7" t="s">
        <v>1112</v>
      </c>
      <c r="R772" s="90" t="s">
        <v>3257</v>
      </c>
      <c r="S772" s="6" t="s">
        <v>1795</v>
      </c>
      <c r="T772" s="4" t="s">
        <v>92</v>
      </c>
      <c r="U772" s="4" t="s">
        <v>3263</v>
      </c>
      <c r="V772" s="4">
        <v>99</v>
      </c>
      <c r="W772" s="85"/>
      <c r="X772" s="4"/>
      <c r="Y772" s="4"/>
      <c r="Z772" s="4"/>
      <c r="AA772" s="4" t="s">
        <v>85</v>
      </c>
      <c r="AB772" s="4" t="s">
        <v>4289</v>
      </c>
    </row>
    <row r="773" spans="1:28">
      <c r="A773" s="4">
        <v>772</v>
      </c>
      <c r="B773" s="5">
        <v>11073256</v>
      </c>
      <c r="C773" s="5">
        <v>203965176</v>
      </c>
      <c r="D773" s="115" t="s">
        <v>1249</v>
      </c>
      <c r="E773" s="4" t="s">
        <v>1250</v>
      </c>
      <c r="F773" s="7" t="s">
        <v>74</v>
      </c>
      <c r="G773" s="7" t="s">
        <v>88</v>
      </c>
      <c r="H773" s="7" t="s">
        <v>94</v>
      </c>
      <c r="I773" s="6" t="s">
        <v>1788</v>
      </c>
      <c r="J773" s="7" t="s">
        <v>5</v>
      </c>
      <c r="K773" s="4" t="s">
        <v>10</v>
      </c>
      <c r="L773" s="4" t="s">
        <v>24</v>
      </c>
      <c r="M773" s="4" t="s">
        <v>3321</v>
      </c>
      <c r="N773" s="4" t="s">
        <v>2584</v>
      </c>
      <c r="O773" s="89"/>
      <c r="P773" s="25">
        <v>45544</v>
      </c>
      <c r="Q773" s="7" t="s">
        <v>1112</v>
      </c>
      <c r="R773" s="90" t="s">
        <v>2586</v>
      </c>
      <c r="S773" s="6" t="s">
        <v>1795</v>
      </c>
      <c r="T773" s="4" t="s">
        <v>81</v>
      </c>
      <c r="U773" s="4" t="s">
        <v>112</v>
      </c>
      <c r="V773" s="4">
        <v>99</v>
      </c>
      <c r="W773" s="85">
        <v>46274</v>
      </c>
      <c r="X773" s="4" t="s">
        <v>3739</v>
      </c>
      <c r="Y773" s="4">
        <v>528658859</v>
      </c>
      <c r="Z773" s="4" t="s">
        <v>2079</v>
      </c>
      <c r="AA773" s="4" t="s">
        <v>85</v>
      </c>
      <c r="AB773" s="4" t="s">
        <v>4289</v>
      </c>
    </row>
    <row r="774" spans="1:28">
      <c r="A774" s="4">
        <v>773</v>
      </c>
      <c r="B774" s="5">
        <v>13745883</v>
      </c>
      <c r="C774" s="5">
        <v>205852638</v>
      </c>
      <c r="D774" s="115" t="s">
        <v>2698</v>
      </c>
      <c r="E774" s="4" t="s">
        <v>2699</v>
      </c>
      <c r="F774" s="7" t="s">
        <v>82</v>
      </c>
      <c r="G774" s="7" t="s">
        <v>89</v>
      </c>
      <c r="H774" s="7" t="s">
        <v>90</v>
      </c>
      <c r="I774" s="7" t="s">
        <v>1789</v>
      </c>
      <c r="J774" s="7" t="s">
        <v>5</v>
      </c>
      <c r="K774" s="4" t="s">
        <v>10</v>
      </c>
      <c r="L774" s="4" t="s">
        <v>23</v>
      </c>
      <c r="M774" s="4" t="s">
        <v>374</v>
      </c>
      <c r="N774" s="4"/>
      <c r="O774" s="89"/>
      <c r="P774" s="25">
        <v>45894</v>
      </c>
      <c r="Q774" s="7" t="s">
        <v>1112</v>
      </c>
      <c r="R774" s="90" t="s">
        <v>3260</v>
      </c>
      <c r="S774" s="6" t="s">
        <v>1795</v>
      </c>
      <c r="T774" s="4" t="s">
        <v>92</v>
      </c>
      <c r="U774" s="4" t="s">
        <v>349</v>
      </c>
      <c r="V774" s="4">
        <v>99</v>
      </c>
      <c r="W774" s="85">
        <v>45949</v>
      </c>
      <c r="X774" s="4" t="s">
        <v>3527</v>
      </c>
      <c r="Y774" s="4">
        <v>552845326</v>
      </c>
      <c r="Z774" s="4" t="s">
        <v>2774</v>
      </c>
      <c r="AA774" s="4" t="s">
        <v>1204</v>
      </c>
      <c r="AB774" s="4" t="s">
        <v>4289</v>
      </c>
    </row>
    <row r="775" spans="1:28">
      <c r="A775" s="4">
        <v>774</v>
      </c>
      <c r="B775" s="5">
        <v>11062172</v>
      </c>
      <c r="C775" s="5">
        <v>206192269</v>
      </c>
      <c r="D775" s="115" t="s">
        <v>3002</v>
      </c>
      <c r="E775" s="4" t="s">
        <v>3003</v>
      </c>
      <c r="F775" s="7" t="s">
        <v>74</v>
      </c>
      <c r="G775" s="7" t="s">
        <v>76</v>
      </c>
      <c r="H775" s="7" t="s">
        <v>88</v>
      </c>
      <c r="I775" s="7" t="s">
        <v>1789</v>
      </c>
      <c r="J775" s="7" t="s">
        <v>5</v>
      </c>
      <c r="K775" s="4" t="s">
        <v>10</v>
      </c>
      <c r="L775" s="4" t="s">
        <v>23</v>
      </c>
      <c r="M775" s="4" t="s">
        <v>4361</v>
      </c>
      <c r="N775" s="4" t="s">
        <v>2584</v>
      </c>
      <c r="O775" s="89"/>
      <c r="P775" s="25">
        <v>45936</v>
      </c>
      <c r="Q775" s="7" t="s">
        <v>1112</v>
      </c>
      <c r="R775" s="7" t="s">
        <v>3257</v>
      </c>
      <c r="S775" s="6" t="s">
        <v>3012</v>
      </c>
      <c r="T775" s="4" t="s">
        <v>92</v>
      </c>
      <c r="U775" s="4" t="s">
        <v>349</v>
      </c>
      <c r="V775" s="4">
        <v>99</v>
      </c>
      <c r="W775" s="85">
        <v>45996</v>
      </c>
      <c r="X775" s="4" t="s">
        <v>3013</v>
      </c>
      <c r="Y775" s="4">
        <v>971508238608</v>
      </c>
      <c r="Z775" s="4" t="s">
        <v>3043</v>
      </c>
      <c r="AA775" s="4" t="s">
        <v>1204</v>
      </c>
      <c r="AB775" s="4" t="s">
        <v>4289</v>
      </c>
    </row>
    <row r="776" spans="1:28">
      <c r="A776" s="4">
        <v>775</v>
      </c>
      <c r="B776" s="5">
        <v>15025206</v>
      </c>
      <c r="C776" s="5">
        <v>204070590</v>
      </c>
      <c r="D776" s="115" t="s">
        <v>1465</v>
      </c>
      <c r="E776" s="4" t="s">
        <v>1442</v>
      </c>
      <c r="F776" s="7" t="s">
        <v>74</v>
      </c>
      <c r="G776" s="7" t="s">
        <v>88</v>
      </c>
      <c r="H776" s="7" t="s">
        <v>94</v>
      </c>
      <c r="I776" s="6" t="s">
        <v>1790</v>
      </c>
      <c r="J776" s="7" t="s">
        <v>5</v>
      </c>
      <c r="K776" s="4" t="s">
        <v>10</v>
      </c>
      <c r="L776" s="4" t="s">
        <v>22</v>
      </c>
      <c r="M776" s="4" t="s">
        <v>4361</v>
      </c>
      <c r="N776" s="4" t="s">
        <v>2584</v>
      </c>
      <c r="O776" s="89"/>
      <c r="P776" s="25">
        <v>45558</v>
      </c>
      <c r="Q776" s="7" t="s">
        <v>1112</v>
      </c>
      <c r="R776" s="90" t="s">
        <v>3262</v>
      </c>
      <c r="S776" s="6" t="s">
        <v>1795</v>
      </c>
      <c r="T776" s="4" t="s">
        <v>81</v>
      </c>
      <c r="U776" s="4" t="s">
        <v>103</v>
      </c>
      <c r="V776" s="4">
        <v>99</v>
      </c>
      <c r="W776" s="85">
        <v>45614</v>
      </c>
      <c r="X776" s="4" t="s">
        <v>1216</v>
      </c>
      <c r="Y776" s="4">
        <v>557184821</v>
      </c>
      <c r="Z776" s="4" t="s">
        <v>1458</v>
      </c>
      <c r="AA776" s="4" t="s">
        <v>95</v>
      </c>
      <c r="AB776" s="4" t="s">
        <v>4289</v>
      </c>
    </row>
    <row r="777" spans="1:28">
      <c r="A777" s="4">
        <v>776</v>
      </c>
      <c r="B777" s="106">
        <v>12969069</v>
      </c>
      <c r="C777" s="106">
        <v>204010424</v>
      </c>
      <c r="D777" s="5" t="s">
        <v>1347</v>
      </c>
      <c r="E777" s="115" t="s">
        <v>1348</v>
      </c>
      <c r="F777" s="7" t="s">
        <v>82</v>
      </c>
      <c r="G777" s="7" t="s">
        <v>90</v>
      </c>
      <c r="H777" s="7" t="s">
        <v>87</v>
      </c>
      <c r="I777" s="7" t="s">
        <v>1789</v>
      </c>
      <c r="J777" s="7" t="s">
        <v>5</v>
      </c>
      <c r="K777" s="4" t="s">
        <v>10</v>
      </c>
      <c r="L777" s="4" t="s">
        <v>22</v>
      </c>
      <c r="M777" s="4" t="s">
        <v>4361</v>
      </c>
      <c r="N777" s="4" t="s">
        <v>2584</v>
      </c>
      <c r="O777" s="25"/>
      <c r="P777" s="25">
        <v>45551</v>
      </c>
      <c r="Q777" s="7" t="s">
        <v>1112</v>
      </c>
      <c r="R777" s="6" t="s">
        <v>3252</v>
      </c>
      <c r="S777" s="6" t="s">
        <v>1795</v>
      </c>
      <c r="T777" s="6" t="s">
        <v>81</v>
      </c>
      <c r="U777" s="6" t="s">
        <v>112</v>
      </c>
      <c r="V777" s="4">
        <v>99</v>
      </c>
      <c r="W777" s="6">
        <v>45607</v>
      </c>
      <c r="X777" s="6" t="s">
        <v>1216</v>
      </c>
      <c r="Y777" s="4">
        <v>502590442</v>
      </c>
      <c r="Z777" s="6" t="s">
        <v>4340</v>
      </c>
      <c r="AA777" s="6" t="s">
        <v>95</v>
      </c>
      <c r="AB777" s="4">
        <v>0</v>
      </c>
    </row>
    <row r="778" spans="1:28">
      <c r="A778" s="4">
        <v>777</v>
      </c>
      <c r="B778" s="5">
        <v>11698975</v>
      </c>
      <c r="C778" s="5">
        <v>206897652</v>
      </c>
      <c r="D778" s="115" t="s">
        <v>3634</v>
      </c>
      <c r="E778" s="4" t="s">
        <v>3654</v>
      </c>
      <c r="F778" s="7" t="s">
        <v>74</v>
      </c>
      <c r="G778" s="7" t="s">
        <v>90</v>
      </c>
      <c r="H778" s="7" t="s">
        <v>87</v>
      </c>
      <c r="I778" s="7" t="s">
        <v>1788</v>
      </c>
      <c r="J778" s="6" t="s">
        <v>5</v>
      </c>
      <c r="K778" s="6" t="s">
        <v>10</v>
      </c>
      <c r="L778" s="4" t="s">
        <v>24</v>
      </c>
      <c r="M778" s="4" t="s">
        <v>4314</v>
      </c>
      <c r="N778" s="4" t="s">
        <v>2584</v>
      </c>
      <c r="O778" s="89"/>
      <c r="P778" s="25">
        <v>46030</v>
      </c>
      <c r="Q778" s="7" t="s">
        <v>1113</v>
      </c>
      <c r="R778" s="90" t="s">
        <v>3254</v>
      </c>
      <c r="S778" s="6" t="s">
        <v>1795</v>
      </c>
      <c r="T778" s="4" t="s">
        <v>81</v>
      </c>
      <c r="U778" s="4"/>
      <c r="V778" s="4">
        <v>99</v>
      </c>
      <c r="W778" s="85">
        <v>46395</v>
      </c>
      <c r="X778" s="4" t="s">
        <v>3696</v>
      </c>
      <c r="Y778" s="4">
        <v>527014069</v>
      </c>
      <c r="Z778" s="4" t="s">
        <v>3673</v>
      </c>
      <c r="AA778" s="4"/>
      <c r="AB778" s="4" t="e">
        <v>#N/A</v>
      </c>
    </row>
    <row r="779" spans="1:28">
      <c r="A779" s="4">
        <v>778</v>
      </c>
      <c r="B779" s="5">
        <v>15149711</v>
      </c>
      <c r="C779" s="5">
        <v>202460493</v>
      </c>
      <c r="D779" s="115" t="s">
        <v>1678</v>
      </c>
      <c r="E779" s="4" t="s">
        <v>1679</v>
      </c>
      <c r="F779" s="7" t="s">
        <v>74</v>
      </c>
      <c r="G779" s="7" t="s">
        <v>90</v>
      </c>
      <c r="H779" s="7" t="s">
        <v>87</v>
      </c>
      <c r="I779" s="6" t="s">
        <v>1790</v>
      </c>
      <c r="J779" s="7" t="s">
        <v>5</v>
      </c>
      <c r="K779" s="4" t="s">
        <v>10</v>
      </c>
      <c r="L779" s="4" t="s">
        <v>27</v>
      </c>
      <c r="M779" s="4" t="s">
        <v>390</v>
      </c>
      <c r="N779" s="4" t="s">
        <v>2584</v>
      </c>
      <c r="O779" s="89"/>
      <c r="P779" s="25">
        <v>45586</v>
      </c>
      <c r="Q779" s="7" t="s">
        <v>1113</v>
      </c>
      <c r="R779" s="90" t="s">
        <v>3257</v>
      </c>
      <c r="S779" s="6" t="s">
        <v>1795</v>
      </c>
      <c r="T779" s="4" t="s">
        <v>92</v>
      </c>
      <c r="U779" s="4" t="s">
        <v>103</v>
      </c>
      <c r="V779" s="4">
        <v>99</v>
      </c>
      <c r="W779" s="85">
        <v>46316</v>
      </c>
      <c r="X779" s="4" t="s">
        <v>3694</v>
      </c>
      <c r="Y779" s="4">
        <v>528258263</v>
      </c>
      <c r="Z779" s="4">
        <v>0</v>
      </c>
      <c r="AA779" s="4" t="s">
        <v>85</v>
      </c>
      <c r="AB779" s="4" t="s">
        <v>4289</v>
      </c>
    </row>
    <row r="780" spans="1:28">
      <c r="A780" s="4">
        <v>779</v>
      </c>
      <c r="B780" s="5">
        <v>11980763</v>
      </c>
      <c r="C780" s="5">
        <v>202351580</v>
      </c>
      <c r="D780" s="115" t="s">
        <v>1323</v>
      </c>
      <c r="E780" s="4" t="s">
        <v>1324</v>
      </c>
      <c r="F780" s="7" t="s">
        <v>82</v>
      </c>
      <c r="G780" s="7" t="s">
        <v>88</v>
      </c>
      <c r="H780" s="7" t="s">
        <v>94</v>
      </c>
      <c r="I780" s="6" t="s">
        <v>1788</v>
      </c>
      <c r="J780" s="7" t="s">
        <v>5</v>
      </c>
      <c r="K780" s="4" t="s">
        <v>10</v>
      </c>
      <c r="L780" s="4" t="s">
        <v>24</v>
      </c>
      <c r="M780" s="4" t="s">
        <v>374</v>
      </c>
      <c r="N780" s="4" t="s">
        <v>2584</v>
      </c>
      <c r="O780" s="89"/>
      <c r="P780" s="25">
        <v>45544</v>
      </c>
      <c r="Q780" s="7" t="s">
        <v>1113</v>
      </c>
      <c r="R780" s="90" t="s">
        <v>3260</v>
      </c>
      <c r="S780" s="6" t="s">
        <v>1795</v>
      </c>
      <c r="T780" s="4" t="s">
        <v>92</v>
      </c>
      <c r="U780" s="4" t="s">
        <v>349</v>
      </c>
      <c r="V780" s="4">
        <v>99</v>
      </c>
      <c r="W780" s="85">
        <v>45909</v>
      </c>
      <c r="X780" s="4" t="s">
        <v>3739</v>
      </c>
      <c r="Y780" s="4">
        <v>544609749</v>
      </c>
      <c r="Z780" s="4" t="s">
        <v>2080</v>
      </c>
      <c r="AA780" s="4" t="s">
        <v>1196</v>
      </c>
      <c r="AB780" s="4" t="s">
        <v>4289</v>
      </c>
    </row>
    <row r="781" spans="1:28">
      <c r="A781" s="4">
        <v>780</v>
      </c>
      <c r="B781" s="5">
        <v>13093145</v>
      </c>
      <c r="C781" s="5">
        <v>204011443</v>
      </c>
      <c r="D781" s="115" t="s">
        <v>1368</v>
      </c>
      <c r="E781" s="4" t="s">
        <v>1369</v>
      </c>
      <c r="F781" s="7" t="s">
        <v>82</v>
      </c>
      <c r="G781" s="7" t="s">
        <v>90</v>
      </c>
      <c r="H781" s="7" t="s">
        <v>87</v>
      </c>
      <c r="I781" s="6" t="s">
        <v>1790</v>
      </c>
      <c r="J781" s="7" t="s">
        <v>5</v>
      </c>
      <c r="K781" s="4" t="s">
        <v>10</v>
      </c>
      <c r="L781" s="4" t="s">
        <v>22</v>
      </c>
      <c r="M781" s="4" t="s">
        <v>390</v>
      </c>
      <c r="N781" s="4" t="s">
        <v>2584</v>
      </c>
      <c r="O781" s="89"/>
      <c r="P781" s="25">
        <v>45551</v>
      </c>
      <c r="Q781" s="7" t="s">
        <v>1113</v>
      </c>
      <c r="R781" s="90" t="s">
        <v>3262</v>
      </c>
      <c r="S781" s="6" t="s">
        <v>1795</v>
      </c>
      <c r="T781" s="4" t="s">
        <v>81</v>
      </c>
      <c r="U781" s="4" t="s">
        <v>349</v>
      </c>
      <c r="V781" s="4">
        <v>99</v>
      </c>
      <c r="W781" s="85">
        <v>45607</v>
      </c>
      <c r="X781" s="4" t="s">
        <v>1216</v>
      </c>
      <c r="Y781" s="4">
        <v>585241573</v>
      </c>
      <c r="Z781" s="4" t="s">
        <v>1420</v>
      </c>
      <c r="AA781" s="4" t="s">
        <v>95</v>
      </c>
      <c r="AB781" s="4" t="s">
        <v>4289</v>
      </c>
    </row>
    <row r="782" spans="1:28">
      <c r="A782" s="4">
        <v>781</v>
      </c>
      <c r="B782" s="5">
        <v>12142585</v>
      </c>
      <c r="C782" s="5">
        <v>204072301</v>
      </c>
      <c r="D782" s="115" t="s">
        <v>1464</v>
      </c>
      <c r="E782" s="4" t="s">
        <v>1441</v>
      </c>
      <c r="F782" s="7" t="s">
        <v>74</v>
      </c>
      <c r="G782" s="7" t="s">
        <v>87</v>
      </c>
      <c r="H782" s="7" t="s">
        <v>75</v>
      </c>
      <c r="I782" s="6" t="s">
        <v>1790</v>
      </c>
      <c r="J782" s="7" t="s">
        <v>5</v>
      </c>
      <c r="K782" s="4" t="s">
        <v>10</v>
      </c>
      <c r="L782" s="4" t="s">
        <v>22</v>
      </c>
      <c r="M782" s="4" t="s">
        <v>4361</v>
      </c>
      <c r="N782" s="4" t="s">
        <v>2584</v>
      </c>
      <c r="O782" s="89"/>
      <c r="P782" s="25">
        <v>45558</v>
      </c>
      <c r="Q782" s="7" t="s">
        <v>1112</v>
      </c>
      <c r="R782" s="90" t="s">
        <v>3261</v>
      </c>
      <c r="S782" s="6" t="s">
        <v>1795</v>
      </c>
      <c r="T782" s="4" t="s">
        <v>81</v>
      </c>
      <c r="U782" s="4" t="s">
        <v>107</v>
      </c>
      <c r="V782" s="4">
        <v>99</v>
      </c>
      <c r="W782" s="85">
        <v>45614</v>
      </c>
      <c r="X782" s="4" t="s">
        <v>1216</v>
      </c>
      <c r="Y782" s="4">
        <v>562491481</v>
      </c>
      <c r="Z782" s="4" t="s">
        <v>1457</v>
      </c>
      <c r="AA782" s="4" t="s">
        <v>95</v>
      </c>
      <c r="AB782" s="4" t="s">
        <v>4289</v>
      </c>
    </row>
    <row r="783" spans="1:28">
      <c r="A783" s="4">
        <v>782</v>
      </c>
      <c r="B783" s="5">
        <v>13690297</v>
      </c>
      <c r="C783" s="5">
        <v>206897647</v>
      </c>
      <c r="D783" s="115" t="s">
        <v>3632</v>
      </c>
      <c r="E783" s="4" t="s">
        <v>3652</v>
      </c>
      <c r="F783" s="7" t="s">
        <v>82</v>
      </c>
      <c r="G783" s="7" t="s">
        <v>87</v>
      </c>
      <c r="H783" s="7" t="s">
        <v>75</v>
      </c>
      <c r="I783" s="7" t="s">
        <v>1788</v>
      </c>
      <c r="J783" s="6" t="s">
        <v>5</v>
      </c>
      <c r="K783" s="6" t="s">
        <v>10</v>
      </c>
      <c r="L783" s="4" t="s">
        <v>24</v>
      </c>
      <c r="M783" s="4" t="s">
        <v>4314</v>
      </c>
      <c r="N783" s="4" t="s">
        <v>2584</v>
      </c>
      <c r="O783" s="89"/>
      <c r="P783" s="25">
        <v>46030</v>
      </c>
      <c r="Q783" s="7" t="s">
        <v>1113</v>
      </c>
      <c r="R783" s="4" t="s">
        <v>3261</v>
      </c>
      <c r="S783" s="6" t="s">
        <v>1795</v>
      </c>
      <c r="T783" s="4" t="s">
        <v>81</v>
      </c>
      <c r="U783" s="4"/>
      <c r="V783" s="4">
        <v>99</v>
      </c>
      <c r="W783" s="85">
        <v>46395</v>
      </c>
      <c r="X783" s="4" t="s">
        <v>3657</v>
      </c>
      <c r="Y783" s="4">
        <v>548964759</v>
      </c>
      <c r="Z783" s="4" t="s">
        <v>3671</v>
      </c>
      <c r="AA783" s="4"/>
      <c r="AB783" s="4" t="e">
        <v>#N/A</v>
      </c>
    </row>
    <row r="784" spans="1:28">
      <c r="A784" s="4">
        <v>783</v>
      </c>
      <c r="B784" s="4">
        <f>_xlfn.XLOOKUP(C784,'[1]employeeList-AUH1 (28)'!$A:$A,'[1]employeeList-AUH1 (28)'!$D:$D)</f>
        <v>12901466</v>
      </c>
      <c r="C784" s="5">
        <v>206897649</v>
      </c>
      <c r="D784" s="115" t="str">
        <f>VLOOKUP(C784,'[1]employeeList-AUH1 (28)'!$A$1:$J$1523,2,0)</f>
        <v>gideopwa</v>
      </c>
      <c r="E784" s="4" t="s">
        <v>3651</v>
      </c>
      <c r="F784" s="7" t="s">
        <v>82</v>
      </c>
      <c r="G784" s="7" t="s">
        <v>87</v>
      </c>
      <c r="H784" s="7" t="s">
        <v>75</v>
      </c>
      <c r="I784" s="4" t="s">
        <v>1789</v>
      </c>
      <c r="J784" s="4" t="s">
        <v>5</v>
      </c>
      <c r="K784" s="4" t="s">
        <v>10</v>
      </c>
      <c r="L784" s="4" t="s">
        <v>24</v>
      </c>
      <c r="M784" s="4" t="s">
        <v>374</v>
      </c>
      <c r="N784" s="4"/>
      <c r="O784" s="4"/>
      <c r="P784" s="25">
        <v>46239</v>
      </c>
      <c r="Q784" s="4" t="s">
        <v>351</v>
      </c>
      <c r="R784" s="4"/>
      <c r="S784" s="6" t="s">
        <v>1796</v>
      </c>
      <c r="T784" s="4" t="s">
        <v>81</v>
      </c>
      <c r="U784" s="4"/>
      <c r="V784" s="4">
        <v>99</v>
      </c>
      <c r="W784" s="4"/>
      <c r="X784" s="4"/>
      <c r="Y784" s="4"/>
      <c r="Z784" s="4"/>
      <c r="AA784" s="4"/>
      <c r="AB784" s="4"/>
    </row>
    <row r="785" spans="1:28">
      <c r="A785" s="4">
        <v>784</v>
      </c>
      <c r="B785" s="4">
        <v>12277085</v>
      </c>
      <c r="C785" s="4">
        <v>206136723</v>
      </c>
      <c r="D785" s="115" t="s">
        <v>2964</v>
      </c>
      <c r="E785" s="4" t="s">
        <v>2965</v>
      </c>
      <c r="F785" s="7" t="s">
        <v>82</v>
      </c>
      <c r="G785" s="7" t="s">
        <v>75</v>
      </c>
      <c r="H785" s="7" t="s">
        <v>76</v>
      </c>
      <c r="I785" s="4" t="s">
        <v>1789</v>
      </c>
      <c r="J785" s="4" t="s">
        <v>5</v>
      </c>
      <c r="K785" s="4" t="s">
        <v>10</v>
      </c>
      <c r="L785" s="4" t="s">
        <v>24</v>
      </c>
      <c r="M785" s="4" t="s">
        <v>2741</v>
      </c>
      <c r="N785" s="4"/>
      <c r="O785" s="4"/>
      <c r="P785" s="25">
        <v>46226</v>
      </c>
      <c r="Q785" s="4" t="s">
        <v>1112</v>
      </c>
      <c r="R785" s="90" t="s">
        <v>3256</v>
      </c>
      <c r="S785" s="6" t="s">
        <v>1796</v>
      </c>
      <c r="T785" s="4" t="s">
        <v>92</v>
      </c>
      <c r="U785" s="4"/>
      <c r="V785" s="4">
        <v>99</v>
      </c>
      <c r="W785" s="4"/>
      <c r="X785" s="4" t="s">
        <v>4375</v>
      </c>
      <c r="Y785" s="4">
        <v>527208895</v>
      </c>
      <c r="Z785" s="4" t="s">
        <v>4363</v>
      </c>
      <c r="AA785" s="4" t="s">
        <v>85</v>
      </c>
      <c r="AB785" s="4"/>
    </row>
    <row r="786" spans="1:28">
      <c r="A786" s="4">
        <v>785</v>
      </c>
      <c r="B786" s="5">
        <v>14505756</v>
      </c>
      <c r="C786" s="5">
        <v>206136725</v>
      </c>
      <c r="D786" s="115" t="s">
        <v>2966</v>
      </c>
      <c r="E786" s="4" t="s">
        <v>2967</v>
      </c>
      <c r="F786" s="7" t="s">
        <v>82</v>
      </c>
      <c r="G786" s="7" t="s">
        <v>94</v>
      </c>
      <c r="H786" s="7" t="s">
        <v>89</v>
      </c>
      <c r="I786" s="6" t="s">
        <v>1788</v>
      </c>
      <c r="J786" s="7" t="s">
        <v>5</v>
      </c>
      <c r="K786" s="4" t="s">
        <v>10</v>
      </c>
      <c r="L786" s="4" t="s">
        <v>24</v>
      </c>
      <c r="M786" s="4" t="s">
        <v>2741</v>
      </c>
      <c r="N786" s="4"/>
      <c r="O786" s="89"/>
      <c r="P786" s="25">
        <v>45929</v>
      </c>
      <c r="Q786" s="7" t="s">
        <v>1112</v>
      </c>
      <c r="R786" s="90" t="s">
        <v>3255</v>
      </c>
      <c r="S786" s="6" t="s">
        <v>1795</v>
      </c>
      <c r="T786" s="4" t="s">
        <v>92</v>
      </c>
      <c r="U786" s="4" t="s">
        <v>112</v>
      </c>
      <c r="V786" s="4">
        <v>99</v>
      </c>
      <c r="W786" s="85"/>
      <c r="X786" s="4"/>
      <c r="Y786" s="4"/>
      <c r="Z786" s="4"/>
      <c r="AA786" s="4" t="s">
        <v>85</v>
      </c>
      <c r="AB786" s="4" t="s">
        <v>4289</v>
      </c>
    </row>
    <row r="787" spans="1:28">
      <c r="A787" s="4">
        <v>786</v>
      </c>
      <c r="B787" s="5">
        <v>11796310</v>
      </c>
      <c r="C787" s="5">
        <v>206239529</v>
      </c>
      <c r="D787" s="115" t="s">
        <v>3111</v>
      </c>
      <c r="E787" s="4" t="s">
        <v>3061</v>
      </c>
      <c r="F787" s="7" t="s">
        <v>74</v>
      </c>
      <c r="G787" s="7" t="s">
        <v>75</v>
      </c>
      <c r="H787" s="7" t="s">
        <v>76</v>
      </c>
      <c r="I787" s="6" t="s">
        <v>1788</v>
      </c>
      <c r="J787" s="7" t="s">
        <v>5</v>
      </c>
      <c r="K787" s="4" t="s">
        <v>10</v>
      </c>
      <c r="L787" s="4" t="s">
        <v>24</v>
      </c>
      <c r="M787" s="4" t="s">
        <v>4314</v>
      </c>
      <c r="N787" s="4" t="s">
        <v>2584</v>
      </c>
      <c r="O787" s="89"/>
      <c r="P787" s="25">
        <v>45943</v>
      </c>
      <c r="Q787" s="7" t="s">
        <v>1112</v>
      </c>
      <c r="R787" s="4" t="s">
        <v>3252</v>
      </c>
      <c r="S787" s="6" t="s">
        <v>3012</v>
      </c>
      <c r="T787" s="4" t="s">
        <v>92</v>
      </c>
      <c r="U787" s="4" t="s">
        <v>349</v>
      </c>
      <c r="V787" s="4">
        <v>99</v>
      </c>
      <c r="W787" s="85" t="s">
        <v>3072</v>
      </c>
      <c r="X787" s="4" t="s">
        <v>3703</v>
      </c>
      <c r="Y787" s="4">
        <v>588661165</v>
      </c>
      <c r="Z787" s="4" t="s">
        <v>3076</v>
      </c>
      <c r="AA787" s="4" t="s">
        <v>85</v>
      </c>
      <c r="AB787" s="4" t="s">
        <v>4289</v>
      </c>
    </row>
    <row r="788" spans="1:28">
      <c r="A788" s="4">
        <v>787</v>
      </c>
      <c r="B788" s="5">
        <v>14285750</v>
      </c>
      <c r="C788" s="5">
        <v>206074973</v>
      </c>
      <c r="D788" s="115" t="s">
        <v>2876</v>
      </c>
      <c r="E788" s="4" t="s">
        <v>2897</v>
      </c>
      <c r="F788" s="7" t="s">
        <v>74</v>
      </c>
      <c r="G788" s="7" t="s">
        <v>87</v>
      </c>
      <c r="H788" s="7" t="s">
        <v>75</v>
      </c>
      <c r="I788" s="6" t="s">
        <v>1788</v>
      </c>
      <c r="J788" s="7" t="s">
        <v>5</v>
      </c>
      <c r="K788" s="4" t="s">
        <v>10</v>
      </c>
      <c r="L788" s="4" t="s">
        <v>24</v>
      </c>
      <c r="M788" s="4" t="s">
        <v>3321</v>
      </c>
      <c r="N788" s="4" t="s">
        <v>2584</v>
      </c>
      <c r="O788" s="89"/>
      <c r="P788" s="25">
        <v>45922</v>
      </c>
      <c r="Q788" s="7" t="s">
        <v>1112</v>
      </c>
      <c r="R788" s="90" t="s">
        <v>3261</v>
      </c>
      <c r="S788" s="6" t="s">
        <v>1795</v>
      </c>
      <c r="T788" s="4" t="s">
        <v>92</v>
      </c>
      <c r="U788" s="4" t="s">
        <v>132</v>
      </c>
      <c r="V788" s="4">
        <v>99</v>
      </c>
      <c r="W788" s="85">
        <v>45983</v>
      </c>
      <c r="X788" s="4" t="s">
        <v>3703</v>
      </c>
      <c r="Y788" s="4"/>
      <c r="Z788" s="4"/>
      <c r="AA788" s="4" t="s">
        <v>85</v>
      </c>
      <c r="AB788" s="4" t="s">
        <v>4289</v>
      </c>
    </row>
    <row r="789" spans="1:28">
      <c r="A789" s="4">
        <v>788</v>
      </c>
      <c r="B789" s="5">
        <v>12280476</v>
      </c>
      <c r="C789" s="5">
        <v>206926478</v>
      </c>
      <c r="D789" s="115" t="s">
        <v>3952</v>
      </c>
      <c r="E789" s="4" t="s">
        <v>3953</v>
      </c>
      <c r="F789" s="7" t="s">
        <v>82</v>
      </c>
      <c r="G789" s="7" t="s">
        <v>76</v>
      </c>
      <c r="H789" s="7" t="s">
        <v>88</v>
      </c>
      <c r="I789" s="7" t="s">
        <v>1789</v>
      </c>
      <c r="J789" s="7" t="s">
        <v>5</v>
      </c>
      <c r="K789" s="7" t="s">
        <v>10</v>
      </c>
      <c r="L789" s="7" t="s">
        <v>22</v>
      </c>
      <c r="M789" s="4" t="s">
        <v>390</v>
      </c>
      <c r="N789" s="4" t="s">
        <v>2584</v>
      </c>
      <c r="O789" s="89"/>
      <c r="P789" s="25">
        <v>46037</v>
      </c>
      <c r="Q789" s="7" t="s">
        <v>3940</v>
      </c>
      <c r="R789" s="90" t="s">
        <v>3254</v>
      </c>
      <c r="S789" s="6" t="s">
        <v>1795</v>
      </c>
      <c r="T789" s="4" t="s">
        <v>81</v>
      </c>
      <c r="U789" s="4"/>
      <c r="V789" s="4">
        <v>99</v>
      </c>
      <c r="W789" s="4"/>
      <c r="X789" s="4" t="s">
        <v>3290</v>
      </c>
      <c r="Y789" s="4">
        <v>589648785</v>
      </c>
      <c r="Z789" s="4" t="s">
        <v>3954</v>
      </c>
      <c r="AA789" s="4" t="s">
        <v>95</v>
      </c>
      <c r="AB789" s="4" t="e">
        <v>#N/A</v>
      </c>
    </row>
    <row r="790" spans="1:28" ht="14.5" customHeight="1">
      <c r="A790" s="4">
        <v>789</v>
      </c>
      <c r="B790" s="5">
        <v>303931</v>
      </c>
      <c r="C790" s="5">
        <v>204138503</v>
      </c>
      <c r="D790" s="115" t="s">
        <v>1581</v>
      </c>
      <c r="E790" s="4" t="s">
        <v>1547</v>
      </c>
      <c r="F790" s="7" t="s">
        <v>82</v>
      </c>
      <c r="G790" s="7" t="s">
        <v>94</v>
      </c>
      <c r="H790" s="7" t="s">
        <v>89</v>
      </c>
      <c r="I790" s="6" t="s">
        <v>1788</v>
      </c>
      <c r="J790" s="7" t="s">
        <v>5</v>
      </c>
      <c r="K790" s="4" t="s">
        <v>10</v>
      </c>
      <c r="L790" s="4" t="s">
        <v>24</v>
      </c>
      <c r="M790" s="4" t="s">
        <v>393</v>
      </c>
      <c r="N790" s="4" t="s">
        <v>2584</v>
      </c>
      <c r="O790" s="89"/>
      <c r="P790" s="25">
        <v>45565</v>
      </c>
      <c r="Q790" s="7" t="s">
        <v>1112</v>
      </c>
      <c r="R790" s="90" t="s">
        <v>3257</v>
      </c>
      <c r="S790" s="6" t="s">
        <v>1795</v>
      </c>
      <c r="T790" s="4" t="s">
        <v>92</v>
      </c>
      <c r="U790" s="4" t="s">
        <v>107</v>
      </c>
      <c r="V790" s="4">
        <v>99</v>
      </c>
      <c r="W790" s="85">
        <v>46295</v>
      </c>
      <c r="X790" s="4" t="s">
        <v>3694</v>
      </c>
      <c r="Y790" s="4">
        <v>547962884</v>
      </c>
      <c r="Z790" s="4" t="s">
        <v>1564</v>
      </c>
      <c r="AA790" s="4" t="s">
        <v>85</v>
      </c>
      <c r="AB790" s="4" t="s">
        <v>4289</v>
      </c>
    </row>
    <row r="791" spans="1:28">
      <c r="A791" s="4">
        <v>790</v>
      </c>
      <c r="B791" s="5">
        <v>11588760</v>
      </c>
      <c r="C791" s="5">
        <v>205853573</v>
      </c>
      <c r="D791" s="115" t="s">
        <v>2700</v>
      </c>
      <c r="E791" s="4" t="s">
        <v>2701</v>
      </c>
      <c r="F791" s="7" t="s">
        <v>82</v>
      </c>
      <c r="G791" s="7" t="s">
        <v>89</v>
      </c>
      <c r="H791" s="7" t="s">
        <v>90</v>
      </c>
      <c r="I791" s="7" t="s">
        <v>1789</v>
      </c>
      <c r="J791" s="7" t="s">
        <v>5</v>
      </c>
      <c r="K791" s="4" t="s">
        <v>10</v>
      </c>
      <c r="L791" s="4" t="s">
        <v>23</v>
      </c>
      <c r="M791" s="4" t="s">
        <v>374</v>
      </c>
      <c r="N791" s="4"/>
      <c r="O791" s="89"/>
      <c r="P791" s="25">
        <v>45894</v>
      </c>
      <c r="Q791" s="7" t="s">
        <v>1112</v>
      </c>
      <c r="R791" s="90" t="s">
        <v>3260</v>
      </c>
      <c r="S791" s="6" t="s">
        <v>1795</v>
      </c>
      <c r="T791" s="4" t="s">
        <v>92</v>
      </c>
      <c r="U791" s="4" t="s">
        <v>349</v>
      </c>
      <c r="V791" s="4">
        <v>99</v>
      </c>
      <c r="W791" s="85">
        <v>45949</v>
      </c>
      <c r="X791" s="4" t="s">
        <v>3527</v>
      </c>
      <c r="Y791" s="4">
        <v>553341931</v>
      </c>
      <c r="Z791" s="4" t="s">
        <v>2775</v>
      </c>
      <c r="AA791" s="4" t="s">
        <v>1204</v>
      </c>
      <c r="AB791" s="4" t="s">
        <v>4289</v>
      </c>
    </row>
    <row r="792" spans="1:28">
      <c r="A792" s="4">
        <v>791</v>
      </c>
      <c r="B792" s="5">
        <v>14426646</v>
      </c>
      <c r="C792" s="5">
        <v>206915464</v>
      </c>
      <c r="D792" s="115" t="s">
        <v>3867</v>
      </c>
      <c r="E792" s="4" t="s">
        <v>3868</v>
      </c>
      <c r="F792" s="7" t="s">
        <v>82</v>
      </c>
      <c r="G792" s="7" t="s">
        <v>89</v>
      </c>
      <c r="H792" s="7" t="s">
        <v>90</v>
      </c>
      <c r="I792" s="7" t="s">
        <v>1789</v>
      </c>
      <c r="J792" s="7" t="s">
        <v>5</v>
      </c>
      <c r="K792" s="7" t="s">
        <v>10</v>
      </c>
      <c r="L792" s="7" t="s">
        <v>22</v>
      </c>
      <c r="M792" s="7" t="s">
        <v>3321</v>
      </c>
      <c r="N792" s="4" t="s">
        <v>2584</v>
      </c>
      <c r="O792" s="89"/>
      <c r="P792" s="25">
        <v>46034</v>
      </c>
      <c r="Q792" s="7" t="s">
        <v>1192</v>
      </c>
      <c r="R792" s="4" t="s">
        <v>3258</v>
      </c>
      <c r="S792" s="6" t="s">
        <v>1795</v>
      </c>
      <c r="T792" s="4" t="s">
        <v>81</v>
      </c>
      <c r="U792" s="4"/>
      <c r="V792" s="4">
        <v>99</v>
      </c>
      <c r="W792" s="85">
        <v>46446</v>
      </c>
      <c r="X792" s="4" t="s">
        <v>3290</v>
      </c>
      <c r="Y792" s="4">
        <v>525422454</v>
      </c>
      <c r="Z792" s="4" t="s">
        <v>3875</v>
      </c>
      <c r="AA792" s="4" t="s">
        <v>3658</v>
      </c>
      <c r="AB792" s="4" t="e">
        <v>#N/A</v>
      </c>
    </row>
    <row r="793" spans="1:28">
      <c r="A793" s="4">
        <v>792</v>
      </c>
      <c r="B793" s="5">
        <v>181053</v>
      </c>
      <c r="C793" s="5">
        <v>203468748</v>
      </c>
      <c r="D793" s="115" t="s">
        <v>501</v>
      </c>
      <c r="E793" s="4" t="s">
        <v>502</v>
      </c>
      <c r="F793" s="7" t="s">
        <v>82</v>
      </c>
      <c r="G793" s="7" t="s">
        <v>76</v>
      </c>
      <c r="H793" s="7" t="s">
        <v>88</v>
      </c>
      <c r="I793" s="6" t="s">
        <v>1788</v>
      </c>
      <c r="J793" s="7" t="s">
        <v>5</v>
      </c>
      <c r="K793" s="4" t="s">
        <v>10</v>
      </c>
      <c r="L793" s="4" t="s">
        <v>24</v>
      </c>
      <c r="M793" s="4" t="s">
        <v>374</v>
      </c>
      <c r="N793" s="4" t="s">
        <v>2584</v>
      </c>
      <c r="O793" s="89"/>
      <c r="P793" s="25">
        <v>45456</v>
      </c>
      <c r="Q793" s="7" t="s">
        <v>351</v>
      </c>
      <c r="R793" s="90" t="s">
        <v>3264</v>
      </c>
      <c r="S793" s="6" t="s">
        <v>1795</v>
      </c>
      <c r="T793" s="4" t="s">
        <v>81</v>
      </c>
      <c r="U793" s="4" t="s">
        <v>112</v>
      </c>
      <c r="V793" s="4">
        <v>99</v>
      </c>
      <c r="W793" s="85">
        <v>45821</v>
      </c>
      <c r="X793" s="4" t="s">
        <v>3698</v>
      </c>
      <c r="Y793" s="4">
        <v>554015216</v>
      </c>
      <c r="Z793" s="4" t="s">
        <v>2081</v>
      </c>
      <c r="AA793" s="4" t="s">
        <v>1218</v>
      </c>
      <c r="AB793" s="4" t="s">
        <v>4289</v>
      </c>
    </row>
    <row r="794" spans="1:28" ht="14.5" customHeight="1">
      <c r="A794" s="4">
        <v>793</v>
      </c>
      <c r="B794" s="106">
        <v>235316</v>
      </c>
      <c r="C794" s="5">
        <v>205199079</v>
      </c>
      <c r="D794" s="116" t="s">
        <v>4076</v>
      </c>
      <c r="E794" s="4" t="s">
        <v>4102</v>
      </c>
      <c r="F794" s="7" t="s">
        <v>82</v>
      </c>
      <c r="G794" s="7" t="s">
        <v>88</v>
      </c>
      <c r="H794" s="7" t="s">
        <v>94</v>
      </c>
      <c r="I794" s="7" t="s">
        <v>1788</v>
      </c>
      <c r="J794" s="7" t="s">
        <v>5</v>
      </c>
      <c r="K794" s="4" t="s">
        <v>10</v>
      </c>
      <c r="L794" s="4" t="s">
        <v>23</v>
      </c>
      <c r="M794" s="4" t="s">
        <v>4313</v>
      </c>
      <c r="N794" s="4" t="s">
        <v>2584</v>
      </c>
      <c r="O794" s="89"/>
      <c r="P794" s="25">
        <v>46048</v>
      </c>
      <c r="Q794" s="7" t="s">
        <v>1112</v>
      </c>
      <c r="R794" s="4" t="s">
        <v>3252</v>
      </c>
      <c r="S794" s="7" t="s">
        <v>1795</v>
      </c>
      <c r="T794" s="4" t="s">
        <v>81</v>
      </c>
      <c r="U794" s="4"/>
      <c r="V794" s="4">
        <v>99</v>
      </c>
      <c r="W794" s="85">
        <v>46104</v>
      </c>
      <c r="X794" s="4"/>
      <c r="Y794" s="4"/>
      <c r="Z794" s="4"/>
      <c r="AA794" s="4"/>
      <c r="AB794" s="4" t="e">
        <v>#N/A</v>
      </c>
    </row>
    <row r="795" spans="1:28">
      <c r="A795" s="4">
        <v>794</v>
      </c>
      <c r="B795" s="5">
        <v>11713711</v>
      </c>
      <c r="C795" s="5">
        <v>206906444</v>
      </c>
      <c r="D795" s="115" t="s">
        <v>3622</v>
      </c>
      <c r="E795" s="4" t="s">
        <v>3643</v>
      </c>
      <c r="F795" s="7" t="s">
        <v>82</v>
      </c>
      <c r="G795" s="7" t="s">
        <v>90</v>
      </c>
      <c r="H795" s="7" t="s">
        <v>87</v>
      </c>
      <c r="I795" s="7" t="s">
        <v>1789</v>
      </c>
      <c r="J795" s="6" t="s">
        <v>5</v>
      </c>
      <c r="K795" s="6" t="s">
        <v>10</v>
      </c>
      <c r="L795" s="4" t="s">
        <v>22</v>
      </c>
      <c r="M795" s="4" t="s">
        <v>3321</v>
      </c>
      <c r="N795" s="4" t="s">
        <v>2584</v>
      </c>
      <c r="O795" s="89"/>
      <c r="P795" s="25">
        <v>46030</v>
      </c>
      <c r="Q795" s="7" t="s">
        <v>1112</v>
      </c>
      <c r="R795" s="90" t="s">
        <v>3254</v>
      </c>
      <c r="S795" s="6" t="s">
        <v>1795</v>
      </c>
      <c r="T795" s="4" t="s">
        <v>81</v>
      </c>
      <c r="U795" s="4"/>
      <c r="V795" s="4">
        <v>99</v>
      </c>
      <c r="W795" s="85">
        <v>46395</v>
      </c>
      <c r="X795" s="4" t="s">
        <v>3290</v>
      </c>
      <c r="Y795" s="4">
        <v>554590743</v>
      </c>
      <c r="Z795" s="4" t="s">
        <v>3665</v>
      </c>
      <c r="AA795" s="4" t="s">
        <v>3016</v>
      </c>
      <c r="AB795" s="4" t="e">
        <v>#N/A</v>
      </c>
    </row>
    <row r="796" spans="1:28">
      <c r="A796" s="4">
        <v>795</v>
      </c>
      <c r="B796" s="5">
        <v>339416</v>
      </c>
      <c r="C796" s="5">
        <v>204138121</v>
      </c>
      <c r="D796" s="115" t="s">
        <v>1589</v>
      </c>
      <c r="E796" s="4" t="s">
        <v>1557</v>
      </c>
      <c r="F796" s="7" t="s">
        <v>74</v>
      </c>
      <c r="G796" s="7" t="s">
        <v>75</v>
      </c>
      <c r="H796" s="7" t="s">
        <v>76</v>
      </c>
      <c r="I796" s="6" t="s">
        <v>1790</v>
      </c>
      <c r="J796" s="7" t="s">
        <v>5</v>
      </c>
      <c r="K796" s="4" t="s">
        <v>10</v>
      </c>
      <c r="L796" s="4" t="s">
        <v>27</v>
      </c>
      <c r="M796" s="4" t="s">
        <v>4314</v>
      </c>
      <c r="N796" s="4" t="s">
        <v>2584</v>
      </c>
      <c r="O796" s="89"/>
      <c r="P796" s="25">
        <v>45565</v>
      </c>
      <c r="Q796" s="7" t="s">
        <v>351</v>
      </c>
      <c r="R796" s="90" t="s">
        <v>3257</v>
      </c>
      <c r="S796" s="6" t="s">
        <v>1795</v>
      </c>
      <c r="T796" s="4" t="s">
        <v>92</v>
      </c>
      <c r="U796" s="4" t="s">
        <v>103</v>
      </c>
      <c r="V796" s="4">
        <v>99</v>
      </c>
      <c r="W796" s="85">
        <v>46295</v>
      </c>
      <c r="X796" s="4" t="s">
        <v>3688</v>
      </c>
      <c r="Y796" s="4">
        <v>561989332</v>
      </c>
      <c r="Z796" s="4" t="s">
        <v>1573</v>
      </c>
      <c r="AA796" s="4" t="s">
        <v>1578</v>
      </c>
      <c r="AB796" s="4" t="s">
        <v>4289</v>
      </c>
    </row>
    <row r="797" spans="1:28">
      <c r="A797" s="4">
        <v>796</v>
      </c>
      <c r="B797" s="5">
        <v>13821800</v>
      </c>
      <c r="C797" s="5">
        <v>204299547</v>
      </c>
      <c r="D797" s="115" t="s">
        <v>1681</v>
      </c>
      <c r="E797" s="4" t="s">
        <v>1682</v>
      </c>
      <c r="F797" s="7" t="s">
        <v>74</v>
      </c>
      <c r="G797" s="7" t="s">
        <v>90</v>
      </c>
      <c r="H797" s="7" t="s">
        <v>87</v>
      </c>
      <c r="I797" s="6" t="s">
        <v>1790</v>
      </c>
      <c r="J797" s="7" t="s">
        <v>5</v>
      </c>
      <c r="K797" s="4" t="s">
        <v>10</v>
      </c>
      <c r="L797" s="4" t="s">
        <v>27</v>
      </c>
      <c r="M797" s="4" t="s">
        <v>374</v>
      </c>
      <c r="N797" s="4" t="s">
        <v>2583</v>
      </c>
      <c r="O797" s="89"/>
      <c r="P797" s="25">
        <v>45586</v>
      </c>
      <c r="Q797" s="7" t="s">
        <v>1192</v>
      </c>
      <c r="R797" s="90" t="s">
        <v>3254</v>
      </c>
      <c r="S797" s="6" t="s">
        <v>1795</v>
      </c>
      <c r="T797" s="4" t="s">
        <v>81</v>
      </c>
      <c r="U797" s="4" t="s">
        <v>107</v>
      </c>
      <c r="V797" s="4">
        <v>99</v>
      </c>
      <c r="W797" s="85">
        <v>45642</v>
      </c>
      <c r="X797" s="4" t="s">
        <v>3690</v>
      </c>
      <c r="Y797" s="4">
        <v>522098654</v>
      </c>
      <c r="Z797" s="4" t="s">
        <v>2082</v>
      </c>
      <c r="AA797" s="4" t="s">
        <v>85</v>
      </c>
      <c r="AB797" s="4" t="s">
        <v>4290</v>
      </c>
    </row>
    <row r="798" spans="1:28">
      <c r="A798" s="4">
        <v>797</v>
      </c>
      <c r="B798" s="5">
        <v>12306719</v>
      </c>
      <c r="C798" s="5">
        <v>203965458</v>
      </c>
      <c r="D798" s="115" t="s">
        <v>1321</v>
      </c>
      <c r="E798" s="4" t="s">
        <v>1322</v>
      </c>
      <c r="F798" s="7" t="s">
        <v>82</v>
      </c>
      <c r="G798" s="7" t="s">
        <v>89</v>
      </c>
      <c r="H798" s="7" t="s">
        <v>90</v>
      </c>
      <c r="I798" s="6" t="s">
        <v>1788</v>
      </c>
      <c r="J798" s="7" t="s">
        <v>5</v>
      </c>
      <c r="K798" s="4" t="s">
        <v>10</v>
      </c>
      <c r="L798" s="4" t="s">
        <v>24</v>
      </c>
      <c r="M798" s="4" t="s">
        <v>3321</v>
      </c>
      <c r="N798" s="4" t="s">
        <v>2584</v>
      </c>
      <c r="O798" s="89"/>
      <c r="P798" s="25">
        <v>45544</v>
      </c>
      <c r="Q798" s="7" t="s">
        <v>1113</v>
      </c>
      <c r="R798" s="90" t="s">
        <v>3261</v>
      </c>
      <c r="S798" s="6" t="s">
        <v>1795</v>
      </c>
      <c r="T798" s="4" t="s">
        <v>81</v>
      </c>
      <c r="U798" s="4" t="s">
        <v>349</v>
      </c>
      <c r="V798" s="4">
        <v>99</v>
      </c>
      <c r="W798" s="85">
        <v>45909</v>
      </c>
      <c r="X798" s="4" t="s">
        <v>3703</v>
      </c>
      <c r="Y798" s="4">
        <v>564989853</v>
      </c>
      <c r="Z798" s="4" t="s">
        <v>2083</v>
      </c>
      <c r="AA798" s="4" t="s">
        <v>85</v>
      </c>
      <c r="AB798" s="4" t="s">
        <v>4289</v>
      </c>
    </row>
    <row r="799" spans="1:28" ht="14.5" customHeight="1">
      <c r="A799" s="4">
        <v>798</v>
      </c>
      <c r="B799" s="5">
        <v>11085199</v>
      </c>
      <c r="C799" s="5">
        <v>203512949</v>
      </c>
      <c r="D799" s="115" t="s">
        <v>517</v>
      </c>
      <c r="E799" s="4" t="s">
        <v>518</v>
      </c>
      <c r="F799" s="7" t="s">
        <v>82</v>
      </c>
      <c r="G799" s="7" t="s">
        <v>75</v>
      </c>
      <c r="H799" s="7" t="s">
        <v>76</v>
      </c>
      <c r="I799" s="6" t="s">
        <v>1788</v>
      </c>
      <c r="J799" s="7" t="s">
        <v>5</v>
      </c>
      <c r="K799" s="4" t="s">
        <v>10</v>
      </c>
      <c r="L799" s="4" t="s">
        <v>24</v>
      </c>
      <c r="M799" s="4" t="s">
        <v>374</v>
      </c>
      <c r="N799" s="4" t="s">
        <v>2584</v>
      </c>
      <c r="O799" s="89"/>
      <c r="P799" s="25">
        <v>45463</v>
      </c>
      <c r="Q799" s="7" t="s">
        <v>1112</v>
      </c>
      <c r="R799" s="90" t="s">
        <v>3258</v>
      </c>
      <c r="S799" s="6" t="s">
        <v>1795</v>
      </c>
      <c r="T799" s="4" t="s">
        <v>92</v>
      </c>
      <c r="U799" s="4" t="s">
        <v>103</v>
      </c>
      <c r="V799" s="4">
        <v>99</v>
      </c>
      <c r="W799" s="85">
        <v>45828</v>
      </c>
      <c r="X799" s="4" t="s">
        <v>3694</v>
      </c>
      <c r="Y799" s="4">
        <v>558174574</v>
      </c>
      <c r="Z799" s="4" t="s">
        <v>2084</v>
      </c>
      <c r="AA799" s="4" t="s">
        <v>85</v>
      </c>
      <c r="AB799" s="4" t="s">
        <v>4289</v>
      </c>
    </row>
    <row r="800" spans="1:28">
      <c r="A800" s="4">
        <v>799</v>
      </c>
      <c r="B800" s="106">
        <v>13294965</v>
      </c>
      <c r="C800" s="106">
        <v>204072302</v>
      </c>
      <c r="D800" s="5" t="s">
        <v>1467</v>
      </c>
      <c r="E800" s="115" t="s">
        <v>1444</v>
      </c>
      <c r="F800" s="7" t="s">
        <v>74</v>
      </c>
      <c r="G800" s="7" t="s">
        <v>87</v>
      </c>
      <c r="H800" s="7" t="s">
        <v>75</v>
      </c>
      <c r="I800" s="6" t="s">
        <v>1790</v>
      </c>
      <c r="J800" s="7" t="s">
        <v>5</v>
      </c>
      <c r="K800" s="4" t="s">
        <v>10</v>
      </c>
      <c r="L800" s="4" t="s">
        <v>22</v>
      </c>
      <c r="M800" s="4" t="s">
        <v>2676</v>
      </c>
      <c r="N800" s="4" t="s">
        <v>2584</v>
      </c>
      <c r="O800" s="25"/>
      <c r="P800" s="25">
        <v>45684</v>
      </c>
      <c r="Q800" s="7" t="s">
        <v>1112</v>
      </c>
      <c r="R800" s="6" t="s">
        <v>2586</v>
      </c>
      <c r="S800" s="6" t="s">
        <v>1795</v>
      </c>
      <c r="T800" s="6" t="s">
        <v>81</v>
      </c>
      <c r="U800" s="6" t="s">
        <v>103</v>
      </c>
      <c r="V800" s="4">
        <v>99</v>
      </c>
      <c r="W800" s="6">
        <v>45740</v>
      </c>
      <c r="X800" s="6" t="s">
        <v>1216</v>
      </c>
      <c r="Y800" s="4">
        <v>0</v>
      </c>
      <c r="Z800" s="6">
        <v>0</v>
      </c>
      <c r="AA800" s="6" t="s">
        <v>95</v>
      </c>
      <c r="AB800" s="4">
        <v>0</v>
      </c>
    </row>
    <row r="801" spans="1:28">
      <c r="A801" s="4">
        <v>800</v>
      </c>
      <c r="B801" s="5">
        <v>12310949</v>
      </c>
      <c r="C801" s="5">
        <v>202249751</v>
      </c>
      <c r="D801" s="115" t="s">
        <v>1191</v>
      </c>
      <c r="E801" s="4" t="s">
        <v>1492</v>
      </c>
      <c r="F801" s="7" t="s">
        <v>82</v>
      </c>
      <c r="G801" s="7" t="s">
        <v>87</v>
      </c>
      <c r="H801" s="7" t="s">
        <v>75</v>
      </c>
      <c r="I801" s="6" t="s">
        <v>1788</v>
      </c>
      <c r="J801" s="7" t="s">
        <v>5</v>
      </c>
      <c r="K801" s="4" t="s">
        <v>10</v>
      </c>
      <c r="L801" s="4" t="s">
        <v>24</v>
      </c>
      <c r="M801" s="4" t="s">
        <v>374</v>
      </c>
      <c r="N801" s="4" t="s">
        <v>2584</v>
      </c>
      <c r="O801" s="89"/>
      <c r="P801" s="25">
        <v>45561</v>
      </c>
      <c r="Q801" s="7" t="s">
        <v>1192</v>
      </c>
      <c r="R801" s="90" t="s">
        <v>3264</v>
      </c>
      <c r="S801" s="6" t="s">
        <v>1795</v>
      </c>
      <c r="T801" s="4" t="s">
        <v>92</v>
      </c>
      <c r="U801" s="4" t="s">
        <v>107</v>
      </c>
      <c r="V801" s="4">
        <v>99</v>
      </c>
      <c r="W801" s="85">
        <v>46291</v>
      </c>
      <c r="X801" s="4" t="s">
        <v>3739</v>
      </c>
      <c r="Y801" s="4">
        <v>525662897</v>
      </c>
      <c r="Z801" s="4" t="s">
        <v>2085</v>
      </c>
      <c r="AA801" s="4" t="s">
        <v>85</v>
      </c>
      <c r="AB801" s="4" t="s">
        <v>4290</v>
      </c>
    </row>
    <row r="802" spans="1:28">
      <c r="A802" s="4">
        <v>801</v>
      </c>
      <c r="B802" s="5">
        <v>11153860</v>
      </c>
      <c r="C802" s="5">
        <v>204966775</v>
      </c>
      <c r="D802" s="115" t="s">
        <v>2452</v>
      </c>
      <c r="E802" s="4" t="s">
        <v>2453</v>
      </c>
      <c r="F802" s="7" t="s">
        <v>82</v>
      </c>
      <c r="G802" s="7" t="s">
        <v>90</v>
      </c>
      <c r="H802" s="7" t="s">
        <v>87</v>
      </c>
      <c r="I802" s="6" t="s">
        <v>1790</v>
      </c>
      <c r="J802" s="7" t="s">
        <v>5</v>
      </c>
      <c r="K802" s="4" t="s">
        <v>10</v>
      </c>
      <c r="L802" s="4" t="s">
        <v>22</v>
      </c>
      <c r="M802" s="4" t="s">
        <v>3321</v>
      </c>
      <c r="N802" s="4" t="s">
        <v>2584</v>
      </c>
      <c r="O802" s="89"/>
      <c r="P802" s="25">
        <v>45719</v>
      </c>
      <c r="Q802" s="7" t="s">
        <v>1112</v>
      </c>
      <c r="R802" s="90" t="s">
        <v>3258</v>
      </c>
      <c r="S802" s="6" t="s">
        <v>1795</v>
      </c>
      <c r="T802" s="4" t="s">
        <v>81</v>
      </c>
      <c r="U802" s="4" t="s">
        <v>349</v>
      </c>
      <c r="V802" s="4">
        <v>99</v>
      </c>
      <c r="W802" s="85">
        <v>45775</v>
      </c>
      <c r="X802" s="4" t="s">
        <v>1216</v>
      </c>
      <c r="Y802" s="4">
        <v>502682116</v>
      </c>
      <c r="Z802" s="4" t="s">
        <v>2473</v>
      </c>
      <c r="AA802" s="4" t="s">
        <v>85</v>
      </c>
      <c r="AB802" s="4" t="s">
        <v>4289</v>
      </c>
    </row>
    <row r="803" spans="1:28">
      <c r="A803" s="4">
        <v>802</v>
      </c>
      <c r="B803" s="5">
        <v>286958</v>
      </c>
      <c r="C803" s="5">
        <v>206915469</v>
      </c>
      <c r="D803" s="115" t="s">
        <v>3857</v>
      </c>
      <c r="E803" s="4" t="s">
        <v>3680</v>
      </c>
      <c r="F803" s="7" t="s">
        <v>82</v>
      </c>
      <c r="G803" s="7" t="s">
        <v>89</v>
      </c>
      <c r="H803" s="7" t="s">
        <v>90</v>
      </c>
      <c r="I803" s="7" t="s">
        <v>1789</v>
      </c>
      <c r="J803" s="7" t="s">
        <v>5</v>
      </c>
      <c r="K803" s="4" t="s">
        <v>10</v>
      </c>
      <c r="L803" s="4" t="s">
        <v>22</v>
      </c>
      <c r="M803" s="4" t="s">
        <v>4313</v>
      </c>
      <c r="N803" s="4" t="s">
        <v>2584</v>
      </c>
      <c r="O803" s="89"/>
      <c r="P803" s="25">
        <v>46034</v>
      </c>
      <c r="Q803" s="7" t="s">
        <v>1112</v>
      </c>
      <c r="R803" s="4" t="s">
        <v>3264</v>
      </c>
      <c r="S803" s="6" t="s">
        <v>1795</v>
      </c>
      <c r="T803" s="4" t="s">
        <v>81</v>
      </c>
      <c r="U803" s="4"/>
      <c r="V803" s="4">
        <v>99</v>
      </c>
      <c r="W803" s="85">
        <v>46424</v>
      </c>
      <c r="X803" s="4" t="s">
        <v>3290</v>
      </c>
      <c r="Y803" s="4">
        <v>525422501</v>
      </c>
      <c r="Z803" s="4" t="s">
        <v>3686</v>
      </c>
      <c r="AA803" s="4" t="s">
        <v>3016</v>
      </c>
      <c r="AB803" s="4" t="e">
        <v>#N/A</v>
      </c>
    </row>
    <row r="804" spans="1:28">
      <c r="A804" s="4">
        <v>803</v>
      </c>
      <c r="B804" s="5">
        <v>13134024</v>
      </c>
      <c r="C804" s="5">
        <v>204116868</v>
      </c>
      <c r="D804" s="115" t="s">
        <v>1528</v>
      </c>
      <c r="E804" s="4" t="s">
        <v>1529</v>
      </c>
      <c r="F804" s="7" t="s">
        <v>82</v>
      </c>
      <c r="G804" s="7" t="s">
        <v>87</v>
      </c>
      <c r="H804" s="7" t="s">
        <v>75</v>
      </c>
      <c r="I804" s="6" t="s">
        <v>1790</v>
      </c>
      <c r="J804" s="7" t="s">
        <v>5</v>
      </c>
      <c r="K804" s="4" t="s">
        <v>10</v>
      </c>
      <c r="L804" s="4" t="s">
        <v>27</v>
      </c>
      <c r="M804" s="4" t="s">
        <v>390</v>
      </c>
      <c r="N804" s="4" t="s">
        <v>2584</v>
      </c>
      <c r="O804" s="89"/>
      <c r="P804" s="25">
        <v>45561</v>
      </c>
      <c r="Q804" s="7" t="s">
        <v>1112</v>
      </c>
      <c r="R804" s="90" t="s">
        <v>3258</v>
      </c>
      <c r="S804" s="6" t="s">
        <v>1795</v>
      </c>
      <c r="T804" s="4" t="s">
        <v>81</v>
      </c>
      <c r="U804" s="4" t="s">
        <v>112</v>
      </c>
      <c r="V804" s="4">
        <v>99</v>
      </c>
      <c r="W804" s="85">
        <v>46291</v>
      </c>
      <c r="X804" s="4" t="s">
        <v>3694</v>
      </c>
      <c r="Y804" s="4">
        <v>523297862</v>
      </c>
      <c r="Z804" s="4" t="s">
        <v>2238</v>
      </c>
      <c r="AA804" s="4" t="s">
        <v>85</v>
      </c>
      <c r="AB804" s="4" t="s">
        <v>4289</v>
      </c>
    </row>
    <row r="805" spans="1:28">
      <c r="A805" s="4">
        <v>804</v>
      </c>
      <c r="B805" s="5">
        <v>100239</v>
      </c>
      <c r="C805" s="5">
        <v>203512668</v>
      </c>
      <c r="D805" s="115" t="s">
        <v>543</v>
      </c>
      <c r="E805" s="4" t="s">
        <v>544</v>
      </c>
      <c r="F805" s="7" t="s">
        <v>74</v>
      </c>
      <c r="G805" s="7" t="s">
        <v>90</v>
      </c>
      <c r="H805" s="7" t="s">
        <v>87</v>
      </c>
      <c r="I805" s="6" t="s">
        <v>1788</v>
      </c>
      <c r="J805" s="7" t="s">
        <v>5</v>
      </c>
      <c r="K805" s="4" t="s">
        <v>10</v>
      </c>
      <c r="L805" s="4" t="s">
        <v>24</v>
      </c>
      <c r="M805" s="4" t="s">
        <v>4314</v>
      </c>
      <c r="N805" s="4" t="s">
        <v>2583</v>
      </c>
      <c r="O805" s="89"/>
      <c r="P805" s="25">
        <v>45463</v>
      </c>
      <c r="Q805" s="7" t="s">
        <v>1113</v>
      </c>
      <c r="R805" s="90" t="s">
        <v>3253</v>
      </c>
      <c r="S805" s="6" t="s">
        <v>1795</v>
      </c>
      <c r="T805" s="4" t="s">
        <v>81</v>
      </c>
      <c r="U805" s="4" t="s">
        <v>107</v>
      </c>
      <c r="V805" s="4">
        <v>99</v>
      </c>
      <c r="W805" s="85">
        <v>45828</v>
      </c>
      <c r="X805" s="4" t="s">
        <v>3688</v>
      </c>
      <c r="Y805" s="4">
        <v>557909626</v>
      </c>
      <c r="Z805" s="4" t="s">
        <v>2086</v>
      </c>
      <c r="AA805" s="4" t="s">
        <v>85</v>
      </c>
      <c r="AB805" s="4" t="s">
        <v>4289</v>
      </c>
    </row>
    <row r="806" spans="1:28">
      <c r="A806" s="4">
        <v>805</v>
      </c>
      <c r="B806" s="5">
        <v>13113776</v>
      </c>
      <c r="C806" s="5">
        <v>204013684</v>
      </c>
      <c r="D806" s="115" t="s">
        <v>1405</v>
      </c>
      <c r="E806" s="4" t="s">
        <v>1406</v>
      </c>
      <c r="F806" s="7" t="s">
        <v>82</v>
      </c>
      <c r="G806" s="7" t="s">
        <v>76</v>
      </c>
      <c r="H806" s="7" t="s">
        <v>88</v>
      </c>
      <c r="I806" s="6" t="s">
        <v>1788</v>
      </c>
      <c r="J806" s="7" t="s">
        <v>5</v>
      </c>
      <c r="K806" s="4" t="s">
        <v>10</v>
      </c>
      <c r="L806" s="4" t="s">
        <v>24</v>
      </c>
      <c r="M806" s="4" t="s">
        <v>4314</v>
      </c>
      <c r="N806" s="4" t="s">
        <v>2584</v>
      </c>
      <c r="O806" s="89"/>
      <c r="P806" s="25">
        <v>45551</v>
      </c>
      <c r="Q806" s="7" t="s">
        <v>1192</v>
      </c>
      <c r="R806" s="90" t="s">
        <v>3264</v>
      </c>
      <c r="S806" s="6" t="s">
        <v>1795</v>
      </c>
      <c r="T806" s="4" t="s">
        <v>81</v>
      </c>
      <c r="U806" s="4" t="s">
        <v>349</v>
      </c>
      <c r="V806" s="4">
        <v>99</v>
      </c>
      <c r="W806" s="85">
        <v>45916</v>
      </c>
      <c r="X806" s="4" t="s">
        <v>3688</v>
      </c>
      <c r="Y806" s="4">
        <v>523232605</v>
      </c>
      <c r="Z806" s="4" t="s">
        <v>1429</v>
      </c>
      <c r="AA806" s="4" t="s">
        <v>85</v>
      </c>
      <c r="AB806" s="4" t="s">
        <v>4289</v>
      </c>
    </row>
    <row r="807" spans="1:28">
      <c r="A807" s="4">
        <v>806</v>
      </c>
      <c r="B807" s="5">
        <v>11170127</v>
      </c>
      <c r="C807" s="5">
        <v>206926479</v>
      </c>
      <c r="D807" s="115" t="s">
        <v>3946</v>
      </c>
      <c r="E807" s="4" t="s">
        <v>3947</v>
      </c>
      <c r="F807" s="7" t="s">
        <v>74</v>
      </c>
      <c r="G807" s="7" t="s">
        <v>90</v>
      </c>
      <c r="H807" s="7" t="s">
        <v>87</v>
      </c>
      <c r="I807" s="7" t="s">
        <v>1789</v>
      </c>
      <c r="J807" s="7" t="s">
        <v>5</v>
      </c>
      <c r="K807" s="7" t="s">
        <v>10</v>
      </c>
      <c r="L807" s="7" t="s">
        <v>22</v>
      </c>
      <c r="M807" s="7" t="s">
        <v>3321</v>
      </c>
      <c r="N807" s="4" t="s">
        <v>2584</v>
      </c>
      <c r="O807" s="89"/>
      <c r="P807" s="25">
        <v>46037</v>
      </c>
      <c r="Q807" s="7" t="s">
        <v>3940</v>
      </c>
      <c r="R807" s="4" t="s">
        <v>3261</v>
      </c>
      <c r="S807" s="6" t="s">
        <v>1795</v>
      </c>
      <c r="T807" s="4" t="s">
        <v>81</v>
      </c>
      <c r="U807" s="4"/>
      <c r="V807" s="4">
        <v>99</v>
      </c>
      <c r="W807" s="4"/>
      <c r="X807" s="4" t="s">
        <v>3290</v>
      </c>
      <c r="Y807" s="4">
        <v>569708989</v>
      </c>
      <c r="Z807" s="4" t="s">
        <v>3948</v>
      </c>
      <c r="AA807" s="4" t="s">
        <v>95</v>
      </c>
      <c r="AB807" s="4" t="s">
        <v>4290</v>
      </c>
    </row>
    <row r="808" spans="1:28">
      <c r="A808" s="4">
        <v>807</v>
      </c>
      <c r="B808" s="5">
        <v>13651546</v>
      </c>
      <c r="C808" s="5">
        <v>108019714</v>
      </c>
      <c r="D808" s="115" t="s">
        <v>387</v>
      </c>
      <c r="E808" s="4" t="s">
        <v>388</v>
      </c>
      <c r="F808" s="7" t="s">
        <v>74</v>
      </c>
      <c r="G808" s="7" t="s">
        <v>76</v>
      </c>
      <c r="H808" s="7" t="s">
        <v>88</v>
      </c>
      <c r="I808" s="6" t="s">
        <v>244</v>
      </c>
      <c r="J808" s="7" t="s">
        <v>5</v>
      </c>
      <c r="K808" s="4" t="s">
        <v>10</v>
      </c>
      <c r="L808" s="4" t="s">
        <v>21</v>
      </c>
      <c r="M808" s="4" t="s">
        <v>390</v>
      </c>
      <c r="N808" s="4" t="s">
        <v>2583</v>
      </c>
      <c r="O808" s="89"/>
      <c r="P808" s="25">
        <v>44757</v>
      </c>
      <c r="Q808" s="7" t="s">
        <v>1111</v>
      </c>
      <c r="R808" s="90" t="s">
        <v>3258</v>
      </c>
      <c r="S808" s="6" t="s">
        <v>1795</v>
      </c>
      <c r="T808" s="4" t="s">
        <v>81</v>
      </c>
      <c r="U808" s="4" t="s">
        <v>103</v>
      </c>
      <c r="V808" s="4">
        <v>3</v>
      </c>
      <c r="W808" s="85"/>
      <c r="X808" s="4" t="s">
        <v>3474</v>
      </c>
      <c r="Y808" s="4">
        <v>0</v>
      </c>
      <c r="Z808" s="4" t="e">
        <v>#N/A</v>
      </c>
      <c r="AA808" s="4" t="s">
        <v>1194</v>
      </c>
      <c r="AB808" s="4" t="s">
        <v>4290</v>
      </c>
    </row>
    <row r="809" spans="1:28">
      <c r="A809" s="4">
        <v>808</v>
      </c>
      <c r="B809" s="5">
        <v>14988038</v>
      </c>
      <c r="C809" s="5">
        <v>203965181</v>
      </c>
      <c r="D809" s="115" t="s">
        <v>1247</v>
      </c>
      <c r="E809" s="4" t="s">
        <v>1248</v>
      </c>
      <c r="F809" s="7" t="s">
        <v>82</v>
      </c>
      <c r="G809" s="7" t="s">
        <v>88</v>
      </c>
      <c r="H809" s="7" t="s">
        <v>94</v>
      </c>
      <c r="I809" s="6" t="s">
        <v>1788</v>
      </c>
      <c r="J809" s="7" t="s">
        <v>5</v>
      </c>
      <c r="K809" s="4" t="s">
        <v>10</v>
      </c>
      <c r="L809" s="4" t="s">
        <v>24</v>
      </c>
      <c r="M809" s="4" t="s">
        <v>390</v>
      </c>
      <c r="N809" s="4" t="s">
        <v>2583</v>
      </c>
      <c r="O809" s="89"/>
      <c r="P809" s="25">
        <v>45544</v>
      </c>
      <c r="Q809" s="7" t="s">
        <v>1112</v>
      </c>
      <c r="R809" s="90" t="s">
        <v>3255</v>
      </c>
      <c r="S809" s="6" t="s">
        <v>1795</v>
      </c>
      <c r="T809" s="4" t="s">
        <v>81</v>
      </c>
      <c r="U809" s="4" t="s">
        <v>103</v>
      </c>
      <c r="V809" s="4">
        <v>99</v>
      </c>
      <c r="W809" s="85">
        <v>46274</v>
      </c>
      <c r="X809" s="4" t="s">
        <v>3739</v>
      </c>
      <c r="Y809" s="4">
        <v>524116202</v>
      </c>
      <c r="Z809" s="4" t="s">
        <v>2088</v>
      </c>
      <c r="AA809" s="4" t="s">
        <v>1203</v>
      </c>
      <c r="AB809" s="4" t="s">
        <v>4290</v>
      </c>
    </row>
    <row r="810" spans="1:28">
      <c r="A810" s="4">
        <v>809</v>
      </c>
      <c r="B810" s="5">
        <v>13686874</v>
      </c>
      <c r="C810" s="5">
        <v>203468745</v>
      </c>
      <c r="D810" s="115" t="s">
        <v>503</v>
      </c>
      <c r="E810" s="4" t="s">
        <v>504</v>
      </c>
      <c r="F810" s="7" t="s">
        <v>74</v>
      </c>
      <c r="G810" s="7" t="s">
        <v>87</v>
      </c>
      <c r="H810" s="7" t="s">
        <v>75</v>
      </c>
      <c r="I810" s="6" t="s">
        <v>1788</v>
      </c>
      <c r="J810" s="7" t="s">
        <v>5</v>
      </c>
      <c r="K810" s="4" t="s">
        <v>10</v>
      </c>
      <c r="L810" s="4" t="s">
        <v>24</v>
      </c>
      <c r="M810" s="4" t="s">
        <v>374</v>
      </c>
      <c r="N810" s="4" t="s">
        <v>2583</v>
      </c>
      <c r="O810" s="89"/>
      <c r="P810" s="25">
        <v>45456</v>
      </c>
      <c r="Q810" s="7" t="s">
        <v>351</v>
      </c>
      <c r="R810" s="90" t="s">
        <v>3258</v>
      </c>
      <c r="S810" s="6" t="s">
        <v>1795</v>
      </c>
      <c r="T810" s="4" t="s">
        <v>81</v>
      </c>
      <c r="U810" s="4" t="s">
        <v>107</v>
      </c>
      <c r="V810" s="4">
        <v>99</v>
      </c>
      <c r="W810" s="85">
        <v>45821</v>
      </c>
      <c r="X810" s="4" t="s">
        <v>3688</v>
      </c>
      <c r="Y810" s="4">
        <v>551015267</v>
      </c>
      <c r="Z810" s="4" t="s">
        <v>2089</v>
      </c>
      <c r="AA810" s="4" t="s">
        <v>85</v>
      </c>
      <c r="AB810" s="4" t="s">
        <v>4290</v>
      </c>
    </row>
    <row r="811" spans="1:28">
      <c r="A811" s="4">
        <v>810</v>
      </c>
      <c r="B811" s="5">
        <v>13019479</v>
      </c>
      <c r="C811" s="5">
        <v>203993450</v>
      </c>
      <c r="D811" s="115" t="s">
        <v>1335</v>
      </c>
      <c r="E811" s="4" t="s">
        <v>1336</v>
      </c>
      <c r="F811" s="7" t="s">
        <v>82</v>
      </c>
      <c r="G811" s="7" t="s">
        <v>88</v>
      </c>
      <c r="H811" s="7" t="s">
        <v>94</v>
      </c>
      <c r="I811" s="6" t="s">
        <v>1790</v>
      </c>
      <c r="J811" s="7" t="s">
        <v>5</v>
      </c>
      <c r="K811" s="4" t="s">
        <v>10</v>
      </c>
      <c r="L811" s="4" t="s">
        <v>22</v>
      </c>
      <c r="M811" s="4" t="s">
        <v>390</v>
      </c>
      <c r="N811" s="4" t="s">
        <v>2584</v>
      </c>
      <c r="O811" s="89"/>
      <c r="P811" s="25">
        <v>45547</v>
      </c>
      <c r="Q811" s="7" t="s">
        <v>1192</v>
      </c>
      <c r="R811" s="90" t="s">
        <v>3252</v>
      </c>
      <c r="S811" s="6" t="s">
        <v>1795</v>
      </c>
      <c r="T811" s="4" t="s">
        <v>81</v>
      </c>
      <c r="U811" s="4" t="s">
        <v>103</v>
      </c>
      <c r="V811" s="4">
        <v>99</v>
      </c>
      <c r="W811" s="85">
        <v>45603</v>
      </c>
      <c r="X811" s="4" t="s">
        <v>1216</v>
      </c>
      <c r="Y811" s="4">
        <v>566931564</v>
      </c>
      <c r="Z811" s="4" t="s">
        <v>2090</v>
      </c>
      <c r="AA811" s="4" t="s">
        <v>95</v>
      </c>
      <c r="AB811" s="4" t="s">
        <v>4290</v>
      </c>
    </row>
    <row r="812" spans="1:28">
      <c r="A812" s="4">
        <v>811</v>
      </c>
      <c r="B812" s="5">
        <v>12037092</v>
      </c>
      <c r="C812" s="5">
        <v>203881657</v>
      </c>
      <c r="D812" s="115" t="s">
        <v>1082</v>
      </c>
      <c r="E812" s="4" t="s">
        <v>1083</v>
      </c>
      <c r="F812" s="7" t="s">
        <v>82</v>
      </c>
      <c r="G812" s="7" t="s">
        <v>76</v>
      </c>
      <c r="H812" s="7" t="s">
        <v>88</v>
      </c>
      <c r="I812" s="6" t="s">
        <v>1788</v>
      </c>
      <c r="J812" s="7" t="s">
        <v>5</v>
      </c>
      <c r="K812" s="4" t="s">
        <v>10</v>
      </c>
      <c r="L812" s="4" t="s">
        <v>24</v>
      </c>
      <c r="M812" s="4" t="s">
        <v>390</v>
      </c>
      <c r="N812" s="4" t="s">
        <v>2584</v>
      </c>
      <c r="O812" s="89"/>
      <c r="P812" s="25">
        <v>45530</v>
      </c>
      <c r="Q812" s="7" t="s">
        <v>1112</v>
      </c>
      <c r="R812" s="90" t="s">
        <v>3260</v>
      </c>
      <c r="S812" s="6" t="s">
        <v>1795</v>
      </c>
      <c r="T812" s="4" t="s">
        <v>92</v>
      </c>
      <c r="U812" s="4" t="s">
        <v>107</v>
      </c>
      <c r="V812" s="4">
        <v>99</v>
      </c>
      <c r="W812" s="85">
        <v>45895</v>
      </c>
      <c r="X812" s="4" t="s">
        <v>3739</v>
      </c>
      <c r="Y812" s="4">
        <v>525549195</v>
      </c>
      <c r="Z812" s="4" t="s">
        <v>2411</v>
      </c>
      <c r="AA812" s="4" t="s">
        <v>2273</v>
      </c>
      <c r="AB812" s="4" t="s">
        <v>4289</v>
      </c>
    </row>
    <row r="813" spans="1:28">
      <c r="A813" s="4">
        <v>812</v>
      </c>
      <c r="B813" s="120">
        <v>11014459</v>
      </c>
      <c r="C813" s="93">
        <v>204976025</v>
      </c>
      <c r="D813" s="132" t="s">
        <v>4079</v>
      </c>
      <c r="E813" s="4" t="s">
        <v>4105</v>
      </c>
      <c r="F813" s="7" t="s">
        <v>82</v>
      </c>
      <c r="G813" s="7" t="s">
        <v>88</v>
      </c>
      <c r="H813" s="7" t="s">
        <v>94</v>
      </c>
      <c r="I813" s="7" t="s">
        <v>1789</v>
      </c>
      <c r="J813" s="7" t="s">
        <v>5</v>
      </c>
      <c r="K813" s="4" t="s">
        <v>10</v>
      </c>
      <c r="L813" s="92" t="s">
        <v>23</v>
      </c>
      <c r="M813" s="92" t="s">
        <v>4313</v>
      </c>
      <c r="N813" s="92" t="s">
        <v>2584</v>
      </c>
      <c r="O813" s="89"/>
      <c r="P813" s="25">
        <v>46048</v>
      </c>
      <c r="Q813" s="7" t="s">
        <v>1112</v>
      </c>
      <c r="R813" s="90" t="s">
        <v>2586</v>
      </c>
      <c r="S813" s="131" t="s">
        <v>1795</v>
      </c>
      <c r="T813" s="92" t="s">
        <v>81</v>
      </c>
      <c r="U813" s="92"/>
      <c r="V813" s="92">
        <v>99</v>
      </c>
      <c r="W813" s="130">
        <v>46104</v>
      </c>
      <c r="X813" s="92"/>
      <c r="Y813" s="92"/>
      <c r="Z813" s="92"/>
      <c r="AA813" s="4"/>
      <c r="AB813" s="4" t="e">
        <v>#N/A</v>
      </c>
    </row>
    <row r="814" spans="1:28">
      <c r="A814" s="4">
        <v>813</v>
      </c>
      <c r="B814" s="106">
        <v>12636051</v>
      </c>
      <c r="C814" s="106">
        <v>203850785</v>
      </c>
      <c r="D814" s="5" t="s">
        <v>758</v>
      </c>
      <c r="E814" s="115" t="s">
        <v>759</v>
      </c>
      <c r="F814" s="7" t="s">
        <v>82</v>
      </c>
      <c r="G814" s="7" t="s">
        <v>94</v>
      </c>
      <c r="H814" s="7" t="s">
        <v>89</v>
      </c>
      <c r="I814" s="7" t="s">
        <v>1789</v>
      </c>
      <c r="J814" s="7" t="s">
        <v>5</v>
      </c>
      <c r="K814" s="4" t="s">
        <v>10</v>
      </c>
      <c r="L814" s="4" t="s">
        <v>22</v>
      </c>
      <c r="M814" s="4" t="s">
        <v>2676</v>
      </c>
      <c r="N814" s="4" t="s">
        <v>2584</v>
      </c>
      <c r="O814" s="25"/>
      <c r="P814" s="25">
        <v>45524</v>
      </c>
      <c r="Q814" s="7" t="s">
        <v>1112</v>
      </c>
      <c r="R814" s="6" t="s">
        <v>3255</v>
      </c>
      <c r="S814" s="6" t="s">
        <v>1795</v>
      </c>
      <c r="T814" s="6" t="s">
        <v>81</v>
      </c>
      <c r="U814" s="6" t="s">
        <v>103</v>
      </c>
      <c r="V814" s="4">
        <v>99</v>
      </c>
      <c r="W814" s="6">
        <v>45580</v>
      </c>
      <c r="X814" s="6" t="s">
        <v>1216</v>
      </c>
      <c r="Y814" s="4">
        <v>507589635</v>
      </c>
      <c r="Z814" s="6" t="s">
        <v>4341</v>
      </c>
      <c r="AA814" s="6" t="s">
        <v>95</v>
      </c>
      <c r="AB814" s="4">
        <v>0</v>
      </c>
    </row>
    <row r="815" spans="1:28">
      <c r="A815" s="4">
        <v>814</v>
      </c>
      <c r="B815" s="106">
        <v>12501156</v>
      </c>
      <c r="C815" s="5">
        <v>105444856</v>
      </c>
      <c r="D815" s="115" t="s">
        <v>4120</v>
      </c>
      <c r="E815" s="4" t="s">
        <v>4121</v>
      </c>
      <c r="F815" s="7" t="s">
        <v>82</v>
      </c>
      <c r="G815" s="7" t="s">
        <v>75</v>
      </c>
      <c r="H815" s="7" t="s">
        <v>76</v>
      </c>
      <c r="I815" s="6" t="s">
        <v>244</v>
      </c>
      <c r="J815" s="7" t="s">
        <v>5</v>
      </c>
      <c r="K815" s="4" t="s">
        <v>10</v>
      </c>
      <c r="L815" s="4" t="s">
        <v>21</v>
      </c>
      <c r="M815" s="4" t="s">
        <v>4361</v>
      </c>
      <c r="N815" s="4" t="s">
        <v>2583</v>
      </c>
      <c r="O815" s="89"/>
      <c r="P815" s="25">
        <v>46048</v>
      </c>
      <c r="Q815" s="7" t="s">
        <v>1111</v>
      </c>
      <c r="R815" s="4"/>
      <c r="S815" s="7" t="s">
        <v>1795</v>
      </c>
      <c r="T815" s="4" t="s">
        <v>1199</v>
      </c>
      <c r="U815" s="4"/>
      <c r="V815" s="4">
        <v>99</v>
      </c>
      <c r="W815" s="85">
        <v>46104</v>
      </c>
      <c r="X815" s="4"/>
      <c r="Y815" s="4"/>
      <c r="Z815" s="4"/>
      <c r="AA815" s="4"/>
      <c r="AB815" s="4" t="s">
        <v>4290</v>
      </c>
    </row>
    <row r="816" spans="1:28" ht="14.5" customHeight="1">
      <c r="A816" s="4">
        <v>815</v>
      </c>
      <c r="B816" s="5">
        <v>14727197</v>
      </c>
      <c r="C816" s="5">
        <v>206138254</v>
      </c>
      <c r="D816" s="115" t="s">
        <v>2968</v>
      </c>
      <c r="E816" s="4" t="s">
        <v>2969</v>
      </c>
      <c r="F816" s="7" t="s">
        <v>82</v>
      </c>
      <c r="G816" s="7" t="s">
        <v>88</v>
      </c>
      <c r="H816" s="7" t="s">
        <v>94</v>
      </c>
      <c r="I816" s="7" t="s">
        <v>1789</v>
      </c>
      <c r="J816" s="7" t="s">
        <v>5</v>
      </c>
      <c r="K816" s="4" t="s">
        <v>10</v>
      </c>
      <c r="L816" s="4" t="s">
        <v>24</v>
      </c>
      <c r="M816" s="4" t="s">
        <v>374</v>
      </c>
      <c r="N816" s="4"/>
      <c r="O816" s="89"/>
      <c r="P816" s="25">
        <v>45929</v>
      </c>
      <c r="Q816" s="7" t="s">
        <v>1112</v>
      </c>
      <c r="R816" s="90" t="s">
        <v>3253</v>
      </c>
      <c r="S816" s="6" t="s">
        <v>1795</v>
      </c>
      <c r="T816" s="4" t="s">
        <v>81</v>
      </c>
      <c r="U816" s="4" t="s">
        <v>107</v>
      </c>
      <c r="V816" s="4">
        <v>99</v>
      </c>
      <c r="W816" s="85"/>
      <c r="X816" s="4"/>
      <c r="Y816" s="4"/>
      <c r="Z816" s="4"/>
      <c r="AA816" s="4" t="s">
        <v>85</v>
      </c>
      <c r="AB816" s="4" t="s">
        <v>4289</v>
      </c>
    </row>
    <row r="817" spans="1:28">
      <c r="A817" s="4">
        <v>816</v>
      </c>
      <c r="B817" s="5">
        <v>13146550</v>
      </c>
      <c r="C817" s="5">
        <v>204951503</v>
      </c>
      <c r="D817" s="115" t="s">
        <v>2417</v>
      </c>
      <c r="E817" s="4" t="s">
        <v>2418</v>
      </c>
      <c r="F817" s="7" t="s">
        <v>74</v>
      </c>
      <c r="G817" s="7" t="s">
        <v>87</v>
      </c>
      <c r="H817" s="7" t="s">
        <v>75</v>
      </c>
      <c r="I817" s="6" t="s">
        <v>1790</v>
      </c>
      <c r="J817" s="7" t="s">
        <v>5</v>
      </c>
      <c r="K817" s="4" t="s">
        <v>10</v>
      </c>
      <c r="L817" s="4" t="s">
        <v>22</v>
      </c>
      <c r="M817" s="4" t="s">
        <v>3321</v>
      </c>
      <c r="N817" s="4" t="s">
        <v>2584</v>
      </c>
      <c r="O817" s="89"/>
      <c r="P817" s="25">
        <v>45719</v>
      </c>
      <c r="Q817" s="7" t="s">
        <v>1112</v>
      </c>
      <c r="R817" s="90" t="s">
        <v>3257</v>
      </c>
      <c r="S817" s="6" t="s">
        <v>1795</v>
      </c>
      <c r="T817" s="4" t="s">
        <v>81</v>
      </c>
      <c r="U817" s="4" t="s">
        <v>112</v>
      </c>
      <c r="V817" s="4">
        <v>99</v>
      </c>
      <c r="W817" s="85">
        <v>45775</v>
      </c>
      <c r="X817" s="4" t="s">
        <v>1216</v>
      </c>
      <c r="Y817" s="4">
        <v>525185873</v>
      </c>
      <c r="Z817" s="4" t="s">
        <v>2440</v>
      </c>
      <c r="AA817" s="4" t="s">
        <v>85</v>
      </c>
      <c r="AB817" s="4" t="s">
        <v>4289</v>
      </c>
    </row>
    <row r="818" spans="1:28">
      <c r="A818" s="4">
        <v>817</v>
      </c>
      <c r="B818" s="106">
        <v>12502180</v>
      </c>
      <c r="C818" s="106">
        <v>203850807</v>
      </c>
      <c r="D818" s="5" t="s">
        <v>760</v>
      </c>
      <c r="E818" s="115" t="s">
        <v>761</v>
      </c>
      <c r="F818" s="7" t="s">
        <v>82</v>
      </c>
      <c r="G818" s="7" t="s">
        <v>94</v>
      </c>
      <c r="H818" s="7" t="s">
        <v>89</v>
      </c>
      <c r="I818" s="7" t="s">
        <v>1789</v>
      </c>
      <c r="J818" s="7" t="s">
        <v>5</v>
      </c>
      <c r="K818" s="4" t="s">
        <v>10</v>
      </c>
      <c r="L818" s="4" t="s">
        <v>22</v>
      </c>
      <c r="M818" s="4" t="s">
        <v>2676</v>
      </c>
      <c r="N818" s="4" t="s">
        <v>2584</v>
      </c>
      <c r="O818" s="25"/>
      <c r="P818" s="25">
        <v>45524</v>
      </c>
      <c r="Q818" s="7" t="s">
        <v>1112</v>
      </c>
      <c r="R818" s="6" t="s">
        <v>2586</v>
      </c>
      <c r="S818" s="6" t="s">
        <v>1795</v>
      </c>
      <c r="T818" s="6" t="s">
        <v>81</v>
      </c>
      <c r="U818" s="6" t="s">
        <v>107</v>
      </c>
      <c r="V818" s="4">
        <v>99</v>
      </c>
      <c r="W818" s="6">
        <v>45580</v>
      </c>
      <c r="X818" s="6" t="s">
        <v>1216</v>
      </c>
      <c r="Y818" s="4">
        <v>552371597</v>
      </c>
      <c r="Z818" s="6" t="s">
        <v>4342</v>
      </c>
      <c r="AA818" s="6" t="s">
        <v>95</v>
      </c>
      <c r="AB818" s="4">
        <v>0</v>
      </c>
    </row>
    <row r="819" spans="1:28">
      <c r="A819" s="4">
        <v>818</v>
      </c>
      <c r="B819" s="5">
        <v>13923860</v>
      </c>
      <c r="C819" s="5">
        <v>112181816</v>
      </c>
      <c r="D819" s="115" t="s">
        <v>273</v>
      </c>
      <c r="E819" s="4" t="s">
        <v>274</v>
      </c>
      <c r="F819" s="7" t="s">
        <v>82</v>
      </c>
      <c r="G819" s="7" t="s">
        <v>87</v>
      </c>
      <c r="H819" s="7" t="s">
        <v>75</v>
      </c>
      <c r="I819" s="6" t="s">
        <v>1788</v>
      </c>
      <c r="J819" s="7" t="s">
        <v>5</v>
      </c>
      <c r="K819" s="4" t="s">
        <v>10</v>
      </c>
      <c r="L819" s="4" t="s">
        <v>24</v>
      </c>
      <c r="M819" s="4" t="s">
        <v>3321</v>
      </c>
      <c r="N819" s="4" t="s">
        <v>2584</v>
      </c>
      <c r="O819" s="89"/>
      <c r="P819" s="25">
        <v>45502</v>
      </c>
      <c r="Q819" s="7" t="s">
        <v>1112</v>
      </c>
      <c r="R819" s="90" t="s">
        <v>3257</v>
      </c>
      <c r="S819" s="6" t="s">
        <v>1795</v>
      </c>
      <c r="T819" s="4" t="s">
        <v>81</v>
      </c>
      <c r="U819" s="4" t="s">
        <v>103</v>
      </c>
      <c r="V819" s="4">
        <v>99</v>
      </c>
      <c r="W819" s="85">
        <v>46232</v>
      </c>
      <c r="X819" s="4" t="s">
        <v>3694</v>
      </c>
      <c r="Y819" s="4">
        <v>508845071</v>
      </c>
      <c r="Z819" s="4" t="s">
        <v>2091</v>
      </c>
      <c r="AA819" s="4" t="s">
        <v>85</v>
      </c>
      <c r="AB819" s="4" t="s">
        <v>4289</v>
      </c>
    </row>
    <row r="820" spans="1:28" ht="14.5" customHeight="1">
      <c r="A820" s="4">
        <v>819</v>
      </c>
      <c r="B820" s="5">
        <v>13120967</v>
      </c>
      <c r="C820" s="5">
        <v>203993281</v>
      </c>
      <c r="D820" s="115" t="s">
        <v>1331</v>
      </c>
      <c r="E820" s="4" t="s">
        <v>1332</v>
      </c>
      <c r="F820" s="7" t="s">
        <v>74</v>
      </c>
      <c r="G820" s="7" t="s">
        <v>76</v>
      </c>
      <c r="H820" s="7" t="s">
        <v>88</v>
      </c>
      <c r="I820" s="6" t="s">
        <v>1788</v>
      </c>
      <c r="J820" s="7" t="s">
        <v>5</v>
      </c>
      <c r="K820" s="4" t="s">
        <v>10</v>
      </c>
      <c r="L820" s="4" t="s">
        <v>24</v>
      </c>
      <c r="M820" s="4" t="s">
        <v>3321</v>
      </c>
      <c r="N820" s="4" t="s">
        <v>2584</v>
      </c>
      <c r="O820" s="89"/>
      <c r="P820" s="25">
        <v>45547</v>
      </c>
      <c r="Q820" s="7" t="s">
        <v>1112</v>
      </c>
      <c r="R820" s="90" t="s">
        <v>3254</v>
      </c>
      <c r="S820" s="6" t="s">
        <v>1795</v>
      </c>
      <c r="T820" s="4" t="s">
        <v>92</v>
      </c>
      <c r="U820" s="4" t="s">
        <v>103</v>
      </c>
      <c r="V820" s="4">
        <v>99</v>
      </c>
      <c r="W820" s="85">
        <v>46277</v>
      </c>
      <c r="X820" s="4" t="s">
        <v>3703</v>
      </c>
      <c r="Y820" s="4">
        <v>544689194</v>
      </c>
      <c r="Z820" s="4" t="s">
        <v>2092</v>
      </c>
      <c r="AA820" s="4" t="s">
        <v>1203</v>
      </c>
      <c r="AB820" s="4" t="s">
        <v>4290</v>
      </c>
    </row>
    <row r="821" spans="1:28">
      <c r="A821" s="4">
        <v>820</v>
      </c>
      <c r="B821" s="5">
        <v>12208816</v>
      </c>
      <c r="C821" s="5">
        <v>206846308</v>
      </c>
      <c r="D821" s="115" t="s">
        <v>3322</v>
      </c>
      <c r="E821" s="5" t="s">
        <v>3323</v>
      </c>
      <c r="F821" s="7" t="s">
        <v>82</v>
      </c>
      <c r="G821" s="7" t="s">
        <v>94</v>
      </c>
      <c r="H821" s="7" t="s">
        <v>89</v>
      </c>
      <c r="I821" s="7" t="s">
        <v>1789</v>
      </c>
      <c r="J821" s="7" t="s">
        <v>5</v>
      </c>
      <c r="K821" s="4" t="s">
        <v>10</v>
      </c>
      <c r="L821" s="5" t="s">
        <v>22</v>
      </c>
      <c r="M821" s="5" t="s">
        <v>4313</v>
      </c>
      <c r="N821" s="5" t="s">
        <v>3289</v>
      </c>
      <c r="O821" s="89"/>
      <c r="P821" s="25">
        <v>46013</v>
      </c>
      <c r="Q821" s="7" t="s">
        <v>1112</v>
      </c>
      <c r="R821" s="4" t="s">
        <v>3255</v>
      </c>
      <c r="S821" s="5" t="s">
        <v>1795</v>
      </c>
      <c r="T821" s="5" t="s">
        <v>81</v>
      </c>
      <c r="U821" s="5"/>
      <c r="V821" s="5">
        <v>99</v>
      </c>
      <c r="W821" s="91">
        <v>45648</v>
      </c>
      <c r="X821" s="5" t="s">
        <v>3290</v>
      </c>
      <c r="Y821" s="5" t="s">
        <v>3334</v>
      </c>
      <c r="Z821" s="5" t="s">
        <v>3335</v>
      </c>
      <c r="AA821" s="4" t="s">
        <v>95</v>
      </c>
      <c r="AB821" s="4" t="s">
        <v>4289</v>
      </c>
    </row>
    <row r="822" spans="1:28">
      <c r="A822" s="4">
        <v>821</v>
      </c>
      <c r="B822" s="5">
        <v>14722607</v>
      </c>
      <c r="C822" s="5">
        <v>203736752</v>
      </c>
      <c r="D822" s="115" t="s">
        <v>275</v>
      </c>
      <c r="E822" s="4" t="s">
        <v>276</v>
      </c>
      <c r="F822" s="7" t="s">
        <v>74</v>
      </c>
      <c r="G822" s="7" t="s">
        <v>76</v>
      </c>
      <c r="H822" s="7" t="s">
        <v>88</v>
      </c>
      <c r="I822" s="6" t="s">
        <v>1790</v>
      </c>
      <c r="J822" s="7" t="s">
        <v>5</v>
      </c>
      <c r="K822" s="4" t="s">
        <v>10</v>
      </c>
      <c r="L822" s="4" t="s">
        <v>20</v>
      </c>
      <c r="M822" s="4" t="s">
        <v>393</v>
      </c>
      <c r="N822" s="4" t="s">
        <v>2584</v>
      </c>
      <c r="O822" s="89"/>
      <c r="P822" s="25">
        <v>45502</v>
      </c>
      <c r="Q822" s="7" t="s">
        <v>1112</v>
      </c>
      <c r="R822" s="90" t="s">
        <v>3260</v>
      </c>
      <c r="S822" s="6" t="s">
        <v>1795</v>
      </c>
      <c r="T822" s="4" t="s">
        <v>81</v>
      </c>
      <c r="U822" s="4" t="s">
        <v>107</v>
      </c>
      <c r="V822" s="4">
        <v>99</v>
      </c>
      <c r="W822" s="85">
        <v>46232</v>
      </c>
      <c r="X822" s="4" t="s">
        <v>3474</v>
      </c>
      <c r="Y822" s="4">
        <v>509275826</v>
      </c>
      <c r="Z822" s="4" t="s">
        <v>2093</v>
      </c>
      <c r="AA822" s="4" t="s">
        <v>1194</v>
      </c>
      <c r="AB822" s="4" t="s">
        <v>4290</v>
      </c>
    </row>
    <row r="823" spans="1:28">
      <c r="A823" s="4">
        <v>822</v>
      </c>
      <c r="B823" s="5">
        <v>11151879</v>
      </c>
      <c r="C823" s="5">
        <v>204886570</v>
      </c>
      <c r="D823" s="115" t="s">
        <v>2450</v>
      </c>
      <c r="E823" s="4" t="s">
        <v>2451</v>
      </c>
      <c r="F823" s="7" t="s">
        <v>82</v>
      </c>
      <c r="G823" s="7" t="s">
        <v>87</v>
      </c>
      <c r="H823" s="7" t="s">
        <v>75</v>
      </c>
      <c r="I823" s="6" t="s">
        <v>1790</v>
      </c>
      <c r="J823" s="7" t="s">
        <v>5</v>
      </c>
      <c r="K823" s="4" t="s">
        <v>10</v>
      </c>
      <c r="L823" s="4" t="s">
        <v>22</v>
      </c>
      <c r="M823" s="4" t="s">
        <v>3321</v>
      </c>
      <c r="N823" s="4" t="s">
        <v>2584</v>
      </c>
      <c r="O823" s="89"/>
      <c r="P823" s="25">
        <v>45719</v>
      </c>
      <c r="Q823" s="7" t="s">
        <v>1112</v>
      </c>
      <c r="R823" s="90" t="s">
        <v>3257</v>
      </c>
      <c r="S823" s="6" t="s">
        <v>1795</v>
      </c>
      <c r="T823" s="4" t="s">
        <v>81</v>
      </c>
      <c r="U823" s="4" t="s">
        <v>107</v>
      </c>
      <c r="V823" s="4">
        <v>99</v>
      </c>
      <c r="W823" s="85">
        <v>45775</v>
      </c>
      <c r="X823" s="4" t="s">
        <v>1216</v>
      </c>
      <c r="Y823" s="4">
        <v>552677538</v>
      </c>
      <c r="Z823" s="4" t="s">
        <v>2113</v>
      </c>
      <c r="AA823" s="4" t="s">
        <v>85</v>
      </c>
      <c r="AB823" s="4" t="s">
        <v>4290</v>
      </c>
    </row>
    <row r="824" spans="1:28" ht="14.5" customHeight="1">
      <c r="A824" s="4">
        <v>823</v>
      </c>
      <c r="B824" s="5">
        <v>12665392</v>
      </c>
      <c r="C824" s="5">
        <v>204060922</v>
      </c>
      <c r="D824" s="115" t="s">
        <v>1463</v>
      </c>
      <c r="E824" s="4" t="s">
        <v>1440</v>
      </c>
      <c r="F824" s="7" t="s">
        <v>82</v>
      </c>
      <c r="G824" s="7" t="s">
        <v>90</v>
      </c>
      <c r="H824" s="7" t="s">
        <v>87</v>
      </c>
      <c r="I824" s="6" t="s">
        <v>1790</v>
      </c>
      <c r="J824" s="7" t="s">
        <v>5</v>
      </c>
      <c r="K824" s="4" t="s">
        <v>10</v>
      </c>
      <c r="L824" s="4" t="s">
        <v>22</v>
      </c>
      <c r="M824" s="4" t="s">
        <v>4361</v>
      </c>
      <c r="N824" s="4" t="s">
        <v>2584</v>
      </c>
      <c r="O824" s="89"/>
      <c r="P824" s="25">
        <v>45558</v>
      </c>
      <c r="Q824" s="7" t="s">
        <v>1112</v>
      </c>
      <c r="R824" s="90" t="s">
        <v>3252</v>
      </c>
      <c r="S824" s="6" t="s">
        <v>1795</v>
      </c>
      <c r="T824" s="4" t="s">
        <v>81</v>
      </c>
      <c r="U824" s="4" t="s">
        <v>349</v>
      </c>
      <c r="V824" s="4">
        <v>99</v>
      </c>
      <c r="W824" s="85">
        <v>45614</v>
      </c>
      <c r="X824" s="4" t="s">
        <v>1216</v>
      </c>
      <c r="Y824" s="4">
        <v>562492106</v>
      </c>
      <c r="Z824" s="4" t="s">
        <v>1456</v>
      </c>
      <c r="AA824" s="4" t="s">
        <v>95</v>
      </c>
      <c r="AB824" s="4" t="s">
        <v>4289</v>
      </c>
    </row>
    <row r="825" spans="1:28">
      <c r="A825" s="4">
        <v>824</v>
      </c>
      <c r="B825" s="5">
        <v>14074251</v>
      </c>
      <c r="C825" s="5">
        <v>206846309</v>
      </c>
      <c r="D825" s="115" t="s">
        <v>3332</v>
      </c>
      <c r="E825" s="5" t="s">
        <v>3333</v>
      </c>
      <c r="F825" s="7" t="s">
        <v>82</v>
      </c>
      <c r="G825" s="7" t="s">
        <v>90</v>
      </c>
      <c r="H825" s="7" t="s">
        <v>87</v>
      </c>
      <c r="I825" s="7" t="s">
        <v>1789</v>
      </c>
      <c r="J825" s="7" t="s">
        <v>5</v>
      </c>
      <c r="K825" s="4" t="s">
        <v>10</v>
      </c>
      <c r="L825" s="5" t="s">
        <v>22</v>
      </c>
      <c r="M825" s="5" t="s">
        <v>2741</v>
      </c>
      <c r="N825" s="5" t="s">
        <v>3289</v>
      </c>
      <c r="O825" s="89"/>
      <c r="P825" s="25">
        <v>46013</v>
      </c>
      <c r="Q825" s="7" t="s">
        <v>1112</v>
      </c>
      <c r="R825" s="4" t="s">
        <v>3260</v>
      </c>
      <c r="S825" s="5" t="s">
        <v>1795</v>
      </c>
      <c r="T825" s="5" t="s">
        <v>81</v>
      </c>
      <c r="U825" s="5"/>
      <c r="V825" s="5">
        <v>99</v>
      </c>
      <c r="W825" s="91">
        <v>45648</v>
      </c>
      <c r="X825" s="5" t="s">
        <v>3290</v>
      </c>
      <c r="Y825" s="5" t="s">
        <v>3344</v>
      </c>
      <c r="Z825" s="5" t="s">
        <v>3345</v>
      </c>
      <c r="AA825" s="4" t="s">
        <v>95</v>
      </c>
      <c r="AB825" s="4" t="s">
        <v>4289</v>
      </c>
    </row>
    <row r="826" spans="1:28">
      <c r="A826" s="4">
        <v>825</v>
      </c>
      <c r="B826" s="5">
        <v>12452867</v>
      </c>
      <c r="C826" s="5">
        <v>203993118</v>
      </c>
      <c r="D826" s="115" t="s">
        <v>1345</v>
      </c>
      <c r="E826" s="4" t="s">
        <v>1346</v>
      </c>
      <c r="F826" s="7" t="s">
        <v>82</v>
      </c>
      <c r="G826" s="7" t="s">
        <v>94</v>
      </c>
      <c r="H826" s="7" t="s">
        <v>89</v>
      </c>
      <c r="I826" s="7" t="s">
        <v>1789</v>
      </c>
      <c r="J826" s="7" t="s">
        <v>5</v>
      </c>
      <c r="K826" s="4" t="s">
        <v>10</v>
      </c>
      <c r="L826" s="4" t="s">
        <v>22</v>
      </c>
      <c r="M826" s="4" t="s">
        <v>374</v>
      </c>
      <c r="N826" s="4" t="s">
        <v>2584</v>
      </c>
      <c r="O826" s="89"/>
      <c r="P826" s="25">
        <v>45547</v>
      </c>
      <c r="Q826" s="7" t="s">
        <v>1112</v>
      </c>
      <c r="R826" s="90" t="s">
        <v>3252</v>
      </c>
      <c r="S826" s="6" t="s">
        <v>1795</v>
      </c>
      <c r="T826" s="4" t="s">
        <v>81</v>
      </c>
      <c r="U826" s="4" t="s">
        <v>112</v>
      </c>
      <c r="V826" s="4">
        <v>99</v>
      </c>
      <c r="W826" s="85">
        <v>45603</v>
      </c>
      <c r="X826" s="4" t="s">
        <v>1216</v>
      </c>
      <c r="Y826" s="4">
        <v>554700731</v>
      </c>
      <c r="Z826" s="4" t="s">
        <v>2094</v>
      </c>
      <c r="AA826" s="4" t="s">
        <v>95</v>
      </c>
      <c r="AB826" s="4" t="s">
        <v>4289</v>
      </c>
    </row>
    <row r="827" spans="1:28" ht="14.5" customHeight="1">
      <c r="A827" s="4">
        <v>826</v>
      </c>
      <c r="B827" s="5">
        <v>13553570</v>
      </c>
      <c r="C827" s="5">
        <v>205199352</v>
      </c>
      <c r="D827" s="116" t="s">
        <v>4070</v>
      </c>
      <c r="E827" s="4" t="s">
        <v>4096</v>
      </c>
      <c r="F827" s="7" t="s">
        <v>82</v>
      </c>
      <c r="G827" s="7" t="s">
        <v>76</v>
      </c>
      <c r="H827" s="7" t="s">
        <v>88</v>
      </c>
      <c r="I827" s="7" t="s">
        <v>1788</v>
      </c>
      <c r="J827" s="7" t="s">
        <v>5</v>
      </c>
      <c r="K827" s="4" t="s">
        <v>10</v>
      </c>
      <c r="L827" s="4" t="s">
        <v>23</v>
      </c>
      <c r="M827" s="4" t="s">
        <v>4361</v>
      </c>
      <c r="N827" s="4" t="s">
        <v>2584</v>
      </c>
      <c r="O827" s="89"/>
      <c r="P827" s="25">
        <v>46048</v>
      </c>
      <c r="Q827" s="7" t="s">
        <v>1112</v>
      </c>
      <c r="R827" s="4" t="s">
        <v>3252</v>
      </c>
      <c r="S827" s="7" t="s">
        <v>1795</v>
      </c>
      <c r="T827" s="4" t="s">
        <v>81</v>
      </c>
      <c r="U827" s="4"/>
      <c r="V827" s="4">
        <v>99</v>
      </c>
      <c r="W827" s="85">
        <v>46104</v>
      </c>
      <c r="X827" s="4"/>
      <c r="Y827" s="4"/>
      <c r="Z827" s="4"/>
      <c r="AA827" s="4"/>
      <c r="AB827" s="4" t="e">
        <v>#N/A</v>
      </c>
    </row>
    <row r="828" spans="1:28">
      <c r="A828" s="4">
        <v>827</v>
      </c>
      <c r="B828" s="5">
        <v>12197</v>
      </c>
      <c r="C828" s="5">
        <v>204010090</v>
      </c>
      <c r="D828" s="115" t="s">
        <v>1360</v>
      </c>
      <c r="E828" s="4" t="s">
        <v>1361</v>
      </c>
      <c r="F828" s="7" t="s">
        <v>82</v>
      </c>
      <c r="G828" s="7" t="s">
        <v>94</v>
      </c>
      <c r="H828" s="7" t="s">
        <v>89</v>
      </c>
      <c r="I828" s="6" t="s">
        <v>1790</v>
      </c>
      <c r="J828" s="7" t="s">
        <v>5</v>
      </c>
      <c r="K828" s="4" t="s">
        <v>10</v>
      </c>
      <c r="L828" s="4" t="s">
        <v>22</v>
      </c>
      <c r="M828" s="4" t="s">
        <v>393</v>
      </c>
      <c r="N828" s="4" t="s">
        <v>2584</v>
      </c>
      <c r="O828" s="89"/>
      <c r="P828" s="25">
        <v>45551</v>
      </c>
      <c r="Q828" s="7" t="s">
        <v>1113</v>
      </c>
      <c r="R828" s="90" t="s">
        <v>3254</v>
      </c>
      <c r="S828" s="6" t="s">
        <v>1795</v>
      </c>
      <c r="T828" s="4" t="s">
        <v>81</v>
      </c>
      <c r="U828" s="4" t="s">
        <v>103</v>
      </c>
      <c r="V828" s="4">
        <v>99</v>
      </c>
      <c r="W828" s="85">
        <v>45607</v>
      </c>
      <c r="X828" s="4" t="s">
        <v>1216</v>
      </c>
      <c r="Y828" s="4">
        <v>553934078</v>
      </c>
      <c r="Z828" s="4" t="s">
        <v>1419</v>
      </c>
      <c r="AA828" s="4" t="s">
        <v>95</v>
      </c>
      <c r="AB828" s="4" t="s">
        <v>4289</v>
      </c>
    </row>
    <row r="829" spans="1:28">
      <c r="A829" s="4">
        <v>828</v>
      </c>
      <c r="B829" s="5">
        <v>11555565</v>
      </c>
      <c r="C829" s="5">
        <v>206850966</v>
      </c>
      <c r="D829" s="115" t="s">
        <v>3616</v>
      </c>
      <c r="E829" s="4" t="s">
        <v>3637</v>
      </c>
      <c r="F829" s="7" t="s">
        <v>82</v>
      </c>
      <c r="G829" s="7" t="s">
        <v>75</v>
      </c>
      <c r="H829" s="7" t="s">
        <v>76</v>
      </c>
      <c r="I829" s="7" t="s">
        <v>1789</v>
      </c>
      <c r="J829" s="6" t="s">
        <v>5</v>
      </c>
      <c r="K829" s="6" t="s">
        <v>10</v>
      </c>
      <c r="L829" s="4" t="s">
        <v>22</v>
      </c>
      <c r="M829" s="4" t="s">
        <v>3321</v>
      </c>
      <c r="N829" s="4" t="s">
        <v>2584</v>
      </c>
      <c r="O829" s="89"/>
      <c r="P829" s="25">
        <v>46030</v>
      </c>
      <c r="Q829" s="7" t="s">
        <v>1112</v>
      </c>
      <c r="R829" s="4" t="s">
        <v>3264</v>
      </c>
      <c r="S829" s="6" t="s">
        <v>1795</v>
      </c>
      <c r="T829" s="4" t="s">
        <v>81</v>
      </c>
      <c r="U829" s="4"/>
      <c r="V829" s="4">
        <v>99</v>
      </c>
      <c r="W829" s="85">
        <v>46395</v>
      </c>
      <c r="X829" s="4" t="s">
        <v>3290</v>
      </c>
      <c r="Y829" s="4">
        <v>574679465</v>
      </c>
      <c r="Z829" s="4" t="s">
        <v>3659</v>
      </c>
      <c r="AA829" s="4" t="s">
        <v>3016</v>
      </c>
      <c r="AB829" s="4" t="e">
        <v>#N/A</v>
      </c>
    </row>
    <row r="830" spans="1:28">
      <c r="A830" s="4">
        <v>829</v>
      </c>
      <c r="B830" s="5">
        <v>12506335</v>
      </c>
      <c r="C830" s="5">
        <v>203850808</v>
      </c>
      <c r="D830" s="115" t="s">
        <v>762</v>
      </c>
      <c r="E830" s="4" t="s">
        <v>763</v>
      </c>
      <c r="F830" s="7" t="s">
        <v>82</v>
      </c>
      <c r="G830" s="7" t="s">
        <v>75</v>
      </c>
      <c r="H830" s="7" t="s">
        <v>76</v>
      </c>
      <c r="I830" s="6" t="s">
        <v>1790</v>
      </c>
      <c r="J830" s="7" t="s">
        <v>5</v>
      </c>
      <c r="K830" s="4" t="s">
        <v>10</v>
      </c>
      <c r="L830" s="4" t="s">
        <v>22</v>
      </c>
      <c r="M830" s="4" t="s">
        <v>3321</v>
      </c>
      <c r="N830" s="4" t="s">
        <v>2584</v>
      </c>
      <c r="O830" s="89"/>
      <c r="P830" s="25">
        <v>45524</v>
      </c>
      <c r="Q830" s="7" t="s">
        <v>1112</v>
      </c>
      <c r="R830" s="90" t="s">
        <v>3257</v>
      </c>
      <c r="S830" s="6" t="s">
        <v>1795</v>
      </c>
      <c r="T830" s="4" t="s">
        <v>81</v>
      </c>
      <c r="U830" s="4" t="s">
        <v>107</v>
      </c>
      <c r="V830" s="4">
        <v>99</v>
      </c>
      <c r="W830" s="85">
        <v>45580</v>
      </c>
      <c r="X830" s="4" t="s">
        <v>1216</v>
      </c>
      <c r="Y830" s="4">
        <v>501743632</v>
      </c>
      <c r="Z830" s="4" t="s">
        <v>2095</v>
      </c>
      <c r="AA830" s="4" t="s">
        <v>95</v>
      </c>
      <c r="AB830" s="4" t="s">
        <v>4289</v>
      </c>
    </row>
    <row r="831" spans="1:28">
      <c r="A831" s="4">
        <v>830</v>
      </c>
      <c r="B831" s="5">
        <v>11349360</v>
      </c>
      <c r="C831" s="5">
        <v>206890217</v>
      </c>
      <c r="D831" s="115" t="s">
        <v>3600</v>
      </c>
      <c r="E831" s="4" t="s">
        <v>3535</v>
      </c>
      <c r="F831" s="7" t="s">
        <v>74</v>
      </c>
      <c r="G831" s="7" t="s">
        <v>75</v>
      </c>
      <c r="H831" s="7" t="s">
        <v>76</v>
      </c>
      <c r="I831" s="7" t="s">
        <v>1789</v>
      </c>
      <c r="J831" s="7" t="s">
        <v>5</v>
      </c>
      <c r="K831" s="4" t="s">
        <v>10</v>
      </c>
      <c r="L831" s="4" t="s">
        <v>23</v>
      </c>
      <c r="M831" s="4" t="s">
        <v>4361</v>
      </c>
      <c r="N831" s="4" t="s">
        <v>2584</v>
      </c>
      <c r="O831" s="89"/>
      <c r="P831" s="25">
        <v>46027</v>
      </c>
      <c r="Q831" s="7" t="s">
        <v>1112</v>
      </c>
      <c r="R831" s="4" t="s">
        <v>3260</v>
      </c>
      <c r="S831" s="4" t="s">
        <v>1795</v>
      </c>
      <c r="T831" s="4" t="s">
        <v>92</v>
      </c>
      <c r="U831" s="4"/>
      <c r="V831" s="4">
        <v>99</v>
      </c>
      <c r="W831" s="85">
        <v>46024</v>
      </c>
      <c r="X831" s="95" t="s">
        <v>3553</v>
      </c>
      <c r="Y831" s="4" t="s">
        <v>3561</v>
      </c>
      <c r="Z831" s="4" t="s">
        <v>3578</v>
      </c>
      <c r="AA831" s="4" t="s">
        <v>1204</v>
      </c>
      <c r="AB831" s="4" t="s">
        <v>4289</v>
      </c>
    </row>
    <row r="832" spans="1:28">
      <c r="A832" s="4">
        <v>831</v>
      </c>
      <c r="B832" s="5">
        <v>14754710</v>
      </c>
      <c r="C832" s="5">
        <v>203355686</v>
      </c>
      <c r="D832" s="115" t="s">
        <v>405</v>
      </c>
      <c r="E832" s="4" t="s">
        <v>406</v>
      </c>
      <c r="F832" s="7" t="s">
        <v>82</v>
      </c>
      <c r="G832" s="7" t="s">
        <v>76</v>
      </c>
      <c r="H832" s="7" t="s">
        <v>88</v>
      </c>
      <c r="I832" s="6" t="s">
        <v>1790</v>
      </c>
      <c r="J832" s="7" t="s">
        <v>5</v>
      </c>
      <c r="K832" s="4" t="s">
        <v>10</v>
      </c>
      <c r="L832" s="4" t="s">
        <v>20</v>
      </c>
      <c r="M832" s="4" t="s">
        <v>4314</v>
      </c>
      <c r="N832" s="4" t="s">
        <v>2583</v>
      </c>
      <c r="O832" s="89"/>
      <c r="P832" s="25">
        <v>45432</v>
      </c>
      <c r="Q832" s="7" t="s">
        <v>1112</v>
      </c>
      <c r="R832" s="90" t="s">
        <v>2586</v>
      </c>
      <c r="S832" s="6" t="s">
        <v>1795</v>
      </c>
      <c r="T832" s="4" t="s">
        <v>81</v>
      </c>
      <c r="U832" s="4" t="s">
        <v>112</v>
      </c>
      <c r="V832" s="4">
        <v>99</v>
      </c>
      <c r="W832" s="85">
        <v>46162</v>
      </c>
      <c r="X832" s="4" t="s">
        <v>3494</v>
      </c>
      <c r="Y832" s="4">
        <v>569186989</v>
      </c>
      <c r="Z832" s="4" t="s">
        <v>2096</v>
      </c>
      <c r="AA832" s="4" t="s">
        <v>2269</v>
      </c>
      <c r="AB832" s="4" t="s">
        <v>4289</v>
      </c>
    </row>
    <row r="833" spans="1:28">
      <c r="A833" s="4">
        <v>832</v>
      </c>
      <c r="B833" s="5">
        <v>14432012</v>
      </c>
      <c r="C833" s="5">
        <v>203911255</v>
      </c>
      <c r="D833" s="115" t="s">
        <v>1131</v>
      </c>
      <c r="E833" s="4" t="s">
        <v>1132</v>
      </c>
      <c r="F833" s="7" t="s">
        <v>74</v>
      </c>
      <c r="G833" s="7" t="s">
        <v>88</v>
      </c>
      <c r="H833" s="7" t="s">
        <v>94</v>
      </c>
      <c r="I833" s="6" t="s">
        <v>1790</v>
      </c>
      <c r="J833" s="7" t="s">
        <v>5</v>
      </c>
      <c r="K833" s="4" t="s">
        <v>10</v>
      </c>
      <c r="L833" s="4" t="s">
        <v>20</v>
      </c>
      <c r="M833" s="4" t="s">
        <v>390</v>
      </c>
      <c r="N833" s="4" t="s">
        <v>2584</v>
      </c>
      <c r="O833" s="89"/>
      <c r="P833" s="25">
        <v>45537</v>
      </c>
      <c r="Q833" s="7" t="s">
        <v>1112</v>
      </c>
      <c r="R833" s="90" t="s">
        <v>3252</v>
      </c>
      <c r="S833" s="6" t="s">
        <v>1795</v>
      </c>
      <c r="T833" s="4" t="s">
        <v>81</v>
      </c>
      <c r="U833" s="4" t="s">
        <v>349</v>
      </c>
      <c r="V833" s="4">
        <v>99</v>
      </c>
      <c r="W833" s="85">
        <v>46267</v>
      </c>
      <c r="X833" s="4" t="s">
        <v>1215</v>
      </c>
      <c r="Y833" s="4">
        <v>528249514</v>
      </c>
      <c r="Z833" s="4" t="s">
        <v>2097</v>
      </c>
      <c r="AA833" s="4" t="s">
        <v>1194</v>
      </c>
      <c r="AB833" s="4" t="s">
        <v>4289</v>
      </c>
    </row>
    <row r="834" spans="1:28">
      <c r="A834" s="4">
        <v>833</v>
      </c>
      <c r="B834" s="5">
        <v>12455175</v>
      </c>
      <c r="C834" s="5">
        <v>206136731</v>
      </c>
      <c r="D834" s="115" t="s">
        <v>2970</v>
      </c>
      <c r="E834" s="4" t="s">
        <v>2971</v>
      </c>
      <c r="F834" s="7" t="s">
        <v>82</v>
      </c>
      <c r="G834" s="7" t="s">
        <v>76</v>
      </c>
      <c r="H834" s="7" t="s">
        <v>88</v>
      </c>
      <c r="I834" s="6" t="s">
        <v>1788</v>
      </c>
      <c r="J834" s="7" t="s">
        <v>5</v>
      </c>
      <c r="K834" s="4" t="s">
        <v>10</v>
      </c>
      <c r="L834" s="4" t="s">
        <v>24</v>
      </c>
      <c r="M834" s="4" t="s">
        <v>2741</v>
      </c>
      <c r="N834" s="4"/>
      <c r="O834" s="89"/>
      <c r="P834" s="25">
        <v>45929</v>
      </c>
      <c r="Q834" s="7" t="s">
        <v>1112</v>
      </c>
      <c r="R834" s="90" t="s">
        <v>3260</v>
      </c>
      <c r="S834" s="6" t="s">
        <v>1795</v>
      </c>
      <c r="T834" s="4" t="s">
        <v>81</v>
      </c>
      <c r="U834" s="4" t="s">
        <v>3259</v>
      </c>
      <c r="V834" s="4">
        <v>99</v>
      </c>
      <c r="W834" s="85"/>
      <c r="X834" s="4"/>
      <c r="Y834" s="4"/>
      <c r="Z834" s="4"/>
      <c r="AA834" s="4" t="s">
        <v>85</v>
      </c>
      <c r="AB834" s="4" t="s">
        <v>4289</v>
      </c>
    </row>
    <row r="835" spans="1:28">
      <c r="A835" s="4">
        <v>834</v>
      </c>
      <c r="B835" s="5">
        <v>11725247</v>
      </c>
      <c r="C835" s="5">
        <v>203521137</v>
      </c>
      <c r="D835" s="115" t="s">
        <v>214</v>
      </c>
      <c r="E835" s="4" t="s">
        <v>215</v>
      </c>
      <c r="F835" s="7" t="s">
        <v>74</v>
      </c>
      <c r="G835" s="7" t="s">
        <v>87</v>
      </c>
      <c r="H835" s="7" t="s">
        <v>75</v>
      </c>
      <c r="I835" s="6" t="s">
        <v>1788</v>
      </c>
      <c r="J835" s="7" t="s">
        <v>5</v>
      </c>
      <c r="K835" s="4" t="s">
        <v>10</v>
      </c>
      <c r="L835" s="4" t="s">
        <v>24</v>
      </c>
      <c r="M835" s="4" t="s">
        <v>4314</v>
      </c>
      <c r="N835" s="4" t="s">
        <v>2584</v>
      </c>
      <c r="O835" s="89"/>
      <c r="P835" s="25">
        <v>45463</v>
      </c>
      <c r="Q835" s="7" t="s">
        <v>1112</v>
      </c>
      <c r="R835" s="90" t="s">
        <v>3252</v>
      </c>
      <c r="S835" s="6" t="s">
        <v>1795</v>
      </c>
      <c r="T835" s="4" t="s">
        <v>92</v>
      </c>
      <c r="U835" s="4" t="s">
        <v>349</v>
      </c>
      <c r="V835" s="4">
        <v>99</v>
      </c>
      <c r="W835" s="85">
        <v>45828</v>
      </c>
      <c r="X835" s="4" t="s">
        <v>3694</v>
      </c>
      <c r="Y835" s="4">
        <v>505072128</v>
      </c>
      <c r="Z835" s="4" t="s">
        <v>2098</v>
      </c>
      <c r="AA835" s="4" t="s">
        <v>85</v>
      </c>
      <c r="AB835" s="4" t="s">
        <v>4289</v>
      </c>
    </row>
    <row r="836" spans="1:28">
      <c r="A836" s="4">
        <v>835</v>
      </c>
      <c r="B836" s="5">
        <v>11214204</v>
      </c>
      <c r="C836" s="5">
        <v>104277448</v>
      </c>
      <c r="D836" s="115" t="s">
        <v>156</v>
      </c>
      <c r="E836" s="4" t="s">
        <v>157</v>
      </c>
      <c r="F836" s="7" t="s">
        <v>74</v>
      </c>
      <c r="G836" s="7" t="s">
        <v>94</v>
      </c>
      <c r="H836" s="7" t="s">
        <v>89</v>
      </c>
      <c r="I836" s="6" t="s">
        <v>244</v>
      </c>
      <c r="J836" s="7" t="s">
        <v>5</v>
      </c>
      <c r="K836" s="4" t="s">
        <v>10</v>
      </c>
      <c r="L836" s="4" t="s">
        <v>21</v>
      </c>
      <c r="M836" s="5" t="s">
        <v>390</v>
      </c>
      <c r="N836" s="4" t="s">
        <v>2583</v>
      </c>
      <c r="O836" s="89"/>
      <c r="P836" s="25">
        <v>44067</v>
      </c>
      <c r="Q836" s="7" t="s">
        <v>1111</v>
      </c>
      <c r="R836" s="90" t="s">
        <v>3262</v>
      </c>
      <c r="S836" s="6" t="s">
        <v>1795</v>
      </c>
      <c r="T836" s="4" t="s">
        <v>92</v>
      </c>
      <c r="U836" s="4" t="s">
        <v>103</v>
      </c>
      <c r="V836" s="4">
        <v>3</v>
      </c>
      <c r="W836" s="85"/>
      <c r="X836" s="4" t="s">
        <v>3739</v>
      </c>
      <c r="Y836" s="4">
        <v>0</v>
      </c>
      <c r="Z836" s="4" t="e">
        <v>#N/A</v>
      </c>
      <c r="AA836" s="4" t="s">
        <v>2269</v>
      </c>
      <c r="AB836" s="4" t="s">
        <v>4289</v>
      </c>
    </row>
    <row r="837" spans="1:28" ht="14.5" customHeight="1">
      <c r="A837" s="4">
        <v>836</v>
      </c>
      <c r="B837" s="5">
        <v>12450429</v>
      </c>
      <c r="C837" s="5">
        <v>206886730</v>
      </c>
      <c r="D837" s="115" t="s">
        <v>3590</v>
      </c>
      <c r="E837" s="4" t="s">
        <v>3536</v>
      </c>
      <c r="F837" s="7" t="s">
        <v>74</v>
      </c>
      <c r="G837" s="7" t="s">
        <v>75</v>
      </c>
      <c r="H837" s="7" t="s">
        <v>76</v>
      </c>
      <c r="I837" s="7" t="s">
        <v>1789</v>
      </c>
      <c r="J837" s="7" t="s">
        <v>5</v>
      </c>
      <c r="K837" s="4" t="s">
        <v>10</v>
      </c>
      <c r="L837" s="4" t="s">
        <v>23</v>
      </c>
      <c r="M837" s="4" t="s">
        <v>4361</v>
      </c>
      <c r="N837" s="4" t="s">
        <v>2584</v>
      </c>
      <c r="O837" s="89"/>
      <c r="P837" s="25">
        <v>46027</v>
      </c>
      <c r="Q837" s="7" t="s">
        <v>1112</v>
      </c>
      <c r="R837" s="7" t="s">
        <v>3257</v>
      </c>
      <c r="S837" s="4" t="s">
        <v>1795</v>
      </c>
      <c r="T837" s="4" t="s">
        <v>81</v>
      </c>
      <c r="U837" s="4"/>
      <c r="V837" s="4">
        <v>99</v>
      </c>
      <c r="W837" s="85">
        <v>46024</v>
      </c>
      <c r="X837" s="95" t="s">
        <v>3554</v>
      </c>
      <c r="Y837" s="4" t="s">
        <v>3562</v>
      </c>
      <c r="Z837" s="4" t="s">
        <v>3579</v>
      </c>
      <c r="AA837" s="4" t="s">
        <v>1204</v>
      </c>
      <c r="AB837" s="4" t="s">
        <v>4289</v>
      </c>
    </row>
    <row r="838" spans="1:28" ht="14.5" customHeight="1">
      <c r="A838" s="4">
        <v>837</v>
      </c>
      <c r="B838" s="5">
        <v>13124607</v>
      </c>
      <c r="C838" s="5">
        <v>203965183</v>
      </c>
      <c r="D838" s="115" t="s">
        <v>1243</v>
      </c>
      <c r="E838" s="4" t="s">
        <v>1244</v>
      </c>
      <c r="F838" s="7" t="s">
        <v>82</v>
      </c>
      <c r="G838" s="7" t="s">
        <v>94</v>
      </c>
      <c r="H838" s="7" t="s">
        <v>89</v>
      </c>
      <c r="I838" s="6" t="s">
        <v>1788</v>
      </c>
      <c r="J838" s="7" t="s">
        <v>5</v>
      </c>
      <c r="K838" s="4" t="s">
        <v>10</v>
      </c>
      <c r="L838" s="4" t="s">
        <v>24</v>
      </c>
      <c r="M838" s="4" t="s">
        <v>390</v>
      </c>
      <c r="N838" s="4" t="s">
        <v>2584</v>
      </c>
      <c r="O838" s="89"/>
      <c r="P838" s="25">
        <v>45544</v>
      </c>
      <c r="Q838" s="7" t="s">
        <v>1112</v>
      </c>
      <c r="R838" s="90" t="s">
        <v>3254</v>
      </c>
      <c r="S838" s="6" t="s">
        <v>1795</v>
      </c>
      <c r="T838" s="4" t="s">
        <v>81</v>
      </c>
      <c r="U838" s="4" t="s">
        <v>112</v>
      </c>
      <c r="V838" s="4">
        <v>99</v>
      </c>
      <c r="W838" s="85">
        <v>46274</v>
      </c>
      <c r="X838" s="4" t="s">
        <v>3698</v>
      </c>
      <c r="Y838" s="4">
        <v>528200728</v>
      </c>
      <c r="Z838" s="4" t="s">
        <v>2099</v>
      </c>
      <c r="AA838" s="4" t="s">
        <v>85</v>
      </c>
      <c r="AB838" s="4" t="s">
        <v>4289</v>
      </c>
    </row>
    <row r="839" spans="1:28" ht="14.5" customHeight="1">
      <c r="A839" s="4">
        <v>838</v>
      </c>
      <c r="B839" s="4">
        <v>14248783</v>
      </c>
      <c r="C839" s="5">
        <v>206230579</v>
      </c>
      <c r="D839" s="115" t="s">
        <v>3104</v>
      </c>
      <c r="E839" s="4" t="s">
        <v>4391</v>
      </c>
      <c r="F839" s="7" t="s">
        <v>82</v>
      </c>
      <c r="G839" s="7" t="s">
        <v>87</v>
      </c>
      <c r="H839" s="7" t="s">
        <v>75</v>
      </c>
      <c r="I839" s="4" t="s">
        <v>1789</v>
      </c>
      <c r="J839" s="4" t="s">
        <v>5</v>
      </c>
      <c r="K839" s="4" t="s">
        <v>10</v>
      </c>
      <c r="L839" s="4" t="s">
        <v>23</v>
      </c>
      <c r="M839" s="4" t="s">
        <v>4314</v>
      </c>
      <c r="N839" s="4"/>
      <c r="O839" s="4"/>
      <c r="P839" s="25">
        <v>46238</v>
      </c>
      <c r="Q839" s="4" t="s">
        <v>1112</v>
      </c>
      <c r="R839" s="4"/>
      <c r="S839" s="6" t="s">
        <v>1796</v>
      </c>
      <c r="T839" s="4" t="s">
        <v>92</v>
      </c>
      <c r="U839" s="4"/>
      <c r="V839" s="4">
        <v>99</v>
      </c>
      <c r="W839" s="4"/>
      <c r="X839" s="4"/>
      <c r="Y839" s="4"/>
      <c r="Z839" s="4"/>
      <c r="AA839" s="4"/>
      <c r="AB839" s="4"/>
    </row>
    <row r="840" spans="1:28">
      <c r="A840" s="4">
        <v>839</v>
      </c>
      <c r="B840" s="5">
        <v>13141256</v>
      </c>
      <c r="C840" s="5">
        <v>206930336</v>
      </c>
      <c r="D840" s="115" t="s">
        <v>3939</v>
      </c>
      <c r="E840" s="4" t="s">
        <v>4262</v>
      </c>
      <c r="F840" s="7" t="s">
        <v>74</v>
      </c>
      <c r="G840" s="7" t="s">
        <v>90</v>
      </c>
      <c r="H840" s="7" t="s">
        <v>87</v>
      </c>
      <c r="I840" s="7" t="s">
        <v>1789</v>
      </c>
      <c r="J840" s="7" t="s">
        <v>5</v>
      </c>
      <c r="K840" s="7" t="s">
        <v>10</v>
      </c>
      <c r="L840" s="7" t="s">
        <v>23</v>
      </c>
      <c r="M840" s="7" t="s">
        <v>390</v>
      </c>
      <c r="N840" s="4" t="s">
        <v>2584</v>
      </c>
      <c r="O840" s="89"/>
      <c r="P840" s="25">
        <v>46037</v>
      </c>
      <c r="Q840" s="7" t="s">
        <v>3940</v>
      </c>
      <c r="R840" s="4" t="s">
        <v>3262</v>
      </c>
      <c r="S840" s="6" t="s">
        <v>1795</v>
      </c>
      <c r="T840" s="4" t="s">
        <v>92</v>
      </c>
      <c r="U840" s="4"/>
      <c r="V840" s="4">
        <v>99</v>
      </c>
      <c r="W840" s="4"/>
      <c r="X840" s="4" t="s">
        <v>3929</v>
      </c>
      <c r="Y840" s="4" t="s">
        <v>3941</v>
      </c>
      <c r="Z840" s="4" t="s">
        <v>3942</v>
      </c>
      <c r="AA840" s="4" t="s">
        <v>3911</v>
      </c>
      <c r="AB840" s="4" t="s">
        <v>4289</v>
      </c>
    </row>
    <row r="841" spans="1:28">
      <c r="A841" s="4">
        <v>840</v>
      </c>
      <c r="B841" s="5">
        <v>11400850</v>
      </c>
      <c r="C841" s="5">
        <v>204009951</v>
      </c>
      <c r="D841" s="115" t="s">
        <v>1391</v>
      </c>
      <c r="E841" s="4" t="s">
        <v>1392</v>
      </c>
      <c r="F841" s="7" t="s">
        <v>82</v>
      </c>
      <c r="G841" s="7" t="s">
        <v>88</v>
      </c>
      <c r="H841" s="7" t="s">
        <v>94</v>
      </c>
      <c r="I841" s="6" t="s">
        <v>1790</v>
      </c>
      <c r="J841" s="7" t="s">
        <v>5</v>
      </c>
      <c r="K841" s="4" t="s">
        <v>10</v>
      </c>
      <c r="L841" s="4" t="s">
        <v>22</v>
      </c>
      <c r="M841" s="4" t="s">
        <v>3321</v>
      </c>
      <c r="N841" s="4" t="s">
        <v>2584</v>
      </c>
      <c r="O841" s="89"/>
      <c r="P841" s="25">
        <v>45551</v>
      </c>
      <c r="Q841" s="7" t="s">
        <v>1112</v>
      </c>
      <c r="R841" s="90" t="s">
        <v>3253</v>
      </c>
      <c r="S841" s="6" t="s">
        <v>1795</v>
      </c>
      <c r="T841" s="4" t="s">
        <v>81</v>
      </c>
      <c r="U841" s="4" t="s">
        <v>112</v>
      </c>
      <c r="V841" s="4">
        <v>99</v>
      </c>
      <c r="W841" s="85">
        <v>45607</v>
      </c>
      <c r="X841" s="4" t="s">
        <v>1216</v>
      </c>
      <c r="Y841" s="4">
        <v>525115908</v>
      </c>
      <c r="Z841" s="4" t="s">
        <v>2100</v>
      </c>
      <c r="AA841" s="4" t="s">
        <v>1202</v>
      </c>
      <c r="AB841" s="4" t="s">
        <v>4289</v>
      </c>
    </row>
    <row r="842" spans="1:28">
      <c r="A842" s="4">
        <v>841</v>
      </c>
      <c r="B842" s="5">
        <v>11349407</v>
      </c>
      <c r="C842" s="5">
        <v>203850806</v>
      </c>
      <c r="D842" s="115" t="s">
        <v>764</v>
      </c>
      <c r="E842" s="4" t="s">
        <v>765</v>
      </c>
      <c r="F842" s="7" t="s">
        <v>82</v>
      </c>
      <c r="G842" s="7" t="s">
        <v>89</v>
      </c>
      <c r="H842" s="7" t="s">
        <v>90</v>
      </c>
      <c r="I842" s="6" t="s">
        <v>1790</v>
      </c>
      <c r="J842" s="7" t="s">
        <v>5</v>
      </c>
      <c r="K842" s="4" t="s">
        <v>10</v>
      </c>
      <c r="L842" s="4" t="s">
        <v>22</v>
      </c>
      <c r="M842" s="4" t="s">
        <v>3321</v>
      </c>
      <c r="N842" s="4" t="s">
        <v>2584</v>
      </c>
      <c r="O842" s="89"/>
      <c r="P842" s="25">
        <v>45524</v>
      </c>
      <c r="Q842" s="7" t="s">
        <v>1112</v>
      </c>
      <c r="R842" s="90" t="s">
        <v>2586</v>
      </c>
      <c r="S842" s="6" t="s">
        <v>1795</v>
      </c>
      <c r="T842" s="4" t="s">
        <v>81</v>
      </c>
      <c r="U842" s="4" t="s">
        <v>349</v>
      </c>
      <c r="V842" s="4">
        <v>99</v>
      </c>
      <c r="W842" s="85">
        <v>45580</v>
      </c>
      <c r="X842" s="4" t="s">
        <v>1216</v>
      </c>
      <c r="Y842" s="4">
        <v>557958374</v>
      </c>
      <c r="Z842" s="4" t="s">
        <v>2101</v>
      </c>
      <c r="AA842" s="4" t="s">
        <v>95</v>
      </c>
      <c r="AB842" s="4" t="s">
        <v>4289</v>
      </c>
    </row>
    <row r="843" spans="1:28">
      <c r="A843" s="4">
        <v>842</v>
      </c>
      <c r="B843" s="4">
        <v>14856206</v>
      </c>
      <c r="C843" s="5">
        <v>205231290</v>
      </c>
      <c r="D843" s="115" t="s">
        <v>4257</v>
      </c>
      <c r="E843" s="4" t="s">
        <v>4383</v>
      </c>
      <c r="F843" s="7" t="s">
        <v>82</v>
      </c>
      <c r="G843" s="7" t="s">
        <v>75</v>
      </c>
      <c r="H843" s="7" t="s">
        <v>76</v>
      </c>
      <c r="I843" s="4" t="s">
        <v>1789</v>
      </c>
      <c r="J843" s="4" t="s">
        <v>5</v>
      </c>
      <c r="K843" s="4" t="s">
        <v>10</v>
      </c>
      <c r="L843" s="4" t="s">
        <v>23</v>
      </c>
      <c r="M843" s="4" t="s">
        <v>4314</v>
      </c>
      <c r="N843" s="4"/>
      <c r="O843" s="4"/>
      <c r="P843" s="25">
        <v>46238</v>
      </c>
      <c r="Q843" s="4" t="s">
        <v>1113</v>
      </c>
      <c r="R843" s="4"/>
      <c r="S843" s="6" t="s">
        <v>1796</v>
      </c>
      <c r="T843" s="4" t="s">
        <v>81</v>
      </c>
      <c r="U843" s="4"/>
      <c r="V843" s="4">
        <v>99</v>
      </c>
      <c r="W843" s="4"/>
      <c r="X843" s="4"/>
      <c r="Y843" s="4"/>
      <c r="Z843" s="4"/>
      <c r="AA843" s="4"/>
      <c r="AB843" s="4"/>
    </row>
    <row r="844" spans="1:28">
      <c r="A844" s="4">
        <v>843</v>
      </c>
      <c r="B844" s="5">
        <v>14468824</v>
      </c>
      <c r="C844" s="5">
        <v>203965411</v>
      </c>
      <c r="D844" s="115" t="s">
        <v>1311</v>
      </c>
      <c r="E844" s="4" t="s">
        <v>1312</v>
      </c>
      <c r="F844" s="7" t="s">
        <v>82</v>
      </c>
      <c r="G844" s="7" t="s">
        <v>89</v>
      </c>
      <c r="H844" s="7" t="s">
        <v>90</v>
      </c>
      <c r="I844" s="6" t="s">
        <v>1788</v>
      </c>
      <c r="J844" s="7" t="s">
        <v>5</v>
      </c>
      <c r="K844" s="4" t="s">
        <v>10</v>
      </c>
      <c r="L844" s="4" t="s">
        <v>24</v>
      </c>
      <c r="M844" s="4" t="s">
        <v>3321</v>
      </c>
      <c r="N844" s="4" t="s">
        <v>2584</v>
      </c>
      <c r="O844" s="89"/>
      <c r="P844" s="25">
        <v>45544</v>
      </c>
      <c r="Q844" s="7" t="s">
        <v>1112</v>
      </c>
      <c r="R844" s="90" t="s">
        <v>3262</v>
      </c>
      <c r="S844" s="6" t="s">
        <v>1795</v>
      </c>
      <c r="T844" s="4" t="s">
        <v>81</v>
      </c>
      <c r="U844" s="4" t="s">
        <v>349</v>
      </c>
      <c r="V844" s="4">
        <v>99</v>
      </c>
      <c r="W844" s="85">
        <v>45909</v>
      </c>
      <c r="X844" s="4" t="s">
        <v>3703</v>
      </c>
      <c r="Y844" s="4">
        <v>542984097</v>
      </c>
      <c r="Z844" s="4" t="s">
        <v>2102</v>
      </c>
      <c r="AA844" s="4" t="s">
        <v>85</v>
      </c>
      <c r="AB844" s="4" t="s">
        <v>4289</v>
      </c>
    </row>
    <row r="845" spans="1:28" ht="14.5" customHeight="1">
      <c r="A845" s="4">
        <v>844</v>
      </c>
      <c r="B845" s="5">
        <v>12288376</v>
      </c>
      <c r="C845" s="4">
        <v>205923172</v>
      </c>
      <c r="D845" s="115" t="s">
        <v>4258</v>
      </c>
      <c r="E845" s="4" t="s">
        <v>4260</v>
      </c>
      <c r="F845" s="7" t="s">
        <v>82</v>
      </c>
      <c r="G845" s="7" t="s">
        <v>94</v>
      </c>
      <c r="H845" s="7" t="s">
        <v>89</v>
      </c>
      <c r="I845" s="7" t="s">
        <v>1788</v>
      </c>
      <c r="J845" s="7" t="s">
        <v>5</v>
      </c>
      <c r="K845" s="4" t="s">
        <v>10</v>
      </c>
      <c r="L845" s="83" t="s">
        <v>23</v>
      </c>
      <c r="M845" s="102" t="s">
        <v>4314</v>
      </c>
      <c r="N845" s="4" t="s">
        <v>2584</v>
      </c>
      <c r="O845" s="89"/>
      <c r="P845" s="25">
        <v>46051</v>
      </c>
      <c r="Q845" s="7" t="s">
        <v>1112</v>
      </c>
      <c r="R845" s="4" t="s">
        <v>3264</v>
      </c>
      <c r="S845" s="6" t="s">
        <v>1795</v>
      </c>
      <c r="T845" s="4" t="s">
        <v>81</v>
      </c>
      <c r="U845" s="4"/>
      <c r="V845" s="4">
        <v>99</v>
      </c>
      <c r="W845" s="85">
        <v>46107</v>
      </c>
      <c r="X845" s="4"/>
      <c r="Y845" s="4"/>
      <c r="Z845" s="4"/>
      <c r="AA845" s="4"/>
      <c r="AB845" s="4" t="e">
        <v>#N/A</v>
      </c>
    </row>
    <row r="846" spans="1:28" ht="14.5" customHeight="1">
      <c r="A846" s="4">
        <v>845</v>
      </c>
      <c r="B846" s="106">
        <v>12990433</v>
      </c>
      <c r="C846" s="106">
        <v>203850804</v>
      </c>
      <c r="D846" s="5" t="s">
        <v>766</v>
      </c>
      <c r="E846" s="115" t="s">
        <v>767</v>
      </c>
      <c r="F846" s="7" t="s">
        <v>74</v>
      </c>
      <c r="G846" s="7" t="s">
        <v>75</v>
      </c>
      <c r="H846" s="7" t="s">
        <v>76</v>
      </c>
      <c r="I846" s="6" t="s">
        <v>1790</v>
      </c>
      <c r="J846" s="7" t="s">
        <v>5</v>
      </c>
      <c r="K846" s="4" t="s">
        <v>10</v>
      </c>
      <c r="L846" s="4" t="s">
        <v>22</v>
      </c>
      <c r="M846" s="4" t="s">
        <v>4361</v>
      </c>
      <c r="N846" s="4" t="s">
        <v>2584</v>
      </c>
      <c r="O846" s="25"/>
      <c r="P846" s="25">
        <v>45524</v>
      </c>
      <c r="Q846" s="7" t="s">
        <v>1112</v>
      </c>
      <c r="R846" s="6" t="s">
        <v>3256</v>
      </c>
      <c r="S846" s="6" t="s">
        <v>1795</v>
      </c>
      <c r="T846" s="6" t="s">
        <v>81</v>
      </c>
      <c r="U846" s="6" t="s">
        <v>107</v>
      </c>
      <c r="V846" s="4">
        <v>99</v>
      </c>
      <c r="W846" s="6">
        <v>45580</v>
      </c>
      <c r="X846" s="6" t="s">
        <v>1216</v>
      </c>
      <c r="Y846" s="4">
        <v>501738546</v>
      </c>
      <c r="Z846" s="6" t="s">
        <v>4343</v>
      </c>
      <c r="AA846" s="6" t="s">
        <v>95</v>
      </c>
      <c r="AB846" s="4">
        <v>0</v>
      </c>
    </row>
    <row r="847" spans="1:28">
      <c r="A847" s="4">
        <v>846</v>
      </c>
      <c r="B847" s="5">
        <v>12066447</v>
      </c>
      <c r="C847" s="5">
        <v>204072306</v>
      </c>
      <c r="D847" s="115" t="s">
        <v>1472</v>
      </c>
      <c r="E847" s="4" t="s">
        <v>1448</v>
      </c>
      <c r="F847" s="7" t="s">
        <v>74</v>
      </c>
      <c r="G847" s="7" t="s">
        <v>87</v>
      </c>
      <c r="H847" s="7" t="s">
        <v>75</v>
      </c>
      <c r="I847" s="6" t="s">
        <v>1790</v>
      </c>
      <c r="J847" s="7" t="s">
        <v>5</v>
      </c>
      <c r="K847" s="4" t="s">
        <v>10</v>
      </c>
      <c r="L847" s="4" t="s">
        <v>22</v>
      </c>
      <c r="M847" s="4" t="s">
        <v>4361</v>
      </c>
      <c r="N847" s="4" t="s">
        <v>2583</v>
      </c>
      <c r="O847" s="89"/>
      <c r="P847" s="25">
        <v>45558</v>
      </c>
      <c r="Q847" s="7" t="s">
        <v>1112</v>
      </c>
      <c r="R847" s="90" t="s">
        <v>3261</v>
      </c>
      <c r="S847" s="6" t="s">
        <v>1795</v>
      </c>
      <c r="T847" s="4" t="s">
        <v>81</v>
      </c>
      <c r="U847" s="4" t="s">
        <v>3263</v>
      </c>
      <c r="V847" s="4">
        <v>99</v>
      </c>
      <c r="W847" s="85">
        <v>45614</v>
      </c>
      <c r="X847" s="4" t="s">
        <v>1216</v>
      </c>
      <c r="Y847" s="4">
        <v>524966592</v>
      </c>
      <c r="Z847" s="4" t="s">
        <v>1461</v>
      </c>
      <c r="AA847" s="4" t="s">
        <v>95</v>
      </c>
      <c r="AB847" s="4" t="s">
        <v>4289</v>
      </c>
    </row>
    <row r="848" spans="1:28" ht="14.5" customHeight="1">
      <c r="A848" s="4">
        <v>847</v>
      </c>
      <c r="B848" s="106">
        <v>15173123</v>
      </c>
      <c r="C848" s="106">
        <v>203850884</v>
      </c>
      <c r="D848" s="5" t="s">
        <v>768</v>
      </c>
      <c r="E848" s="115" t="s">
        <v>769</v>
      </c>
      <c r="F848" s="7" t="s">
        <v>74</v>
      </c>
      <c r="G848" s="7" t="s">
        <v>87</v>
      </c>
      <c r="H848" s="7" t="s">
        <v>75</v>
      </c>
      <c r="I848" s="6" t="s">
        <v>1790</v>
      </c>
      <c r="J848" s="7" t="s">
        <v>5</v>
      </c>
      <c r="K848" s="4" t="s">
        <v>10</v>
      </c>
      <c r="L848" s="4" t="s">
        <v>22</v>
      </c>
      <c r="M848" s="4" t="s">
        <v>390</v>
      </c>
      <c r="N848" s="4" t="s">
        <v>2584</v>
      </c>
      <c r="O848" s="25"/>
      <c r="P848" s="25">
        <v>45524</v>
      </c>
      <c r="Q848" s="7" t="s">
        <v>1112</v>
      </c>
      <c r="R848" s="6" t="s">
        <v>3264</v>
      </c>
      <c r="S848" s="6" t="s">
        <v>1795</v>
      </c>
      <c r="T848" s="6" t="s">
        <v>81</v>
      </c>
      <c r="U848" s="6" t="s">
        <v>349</v>
      </c>
      <c r="V848" s="4">
        <v>99</v>
      </c>
      <c r="W848" s="6">
        <v>45580</v>
      </c>
      <c r="X848" s="6" t="s">
        <v>1216</v>
      </c>
      <c r="Y848" s="4">
        <v>784531021</v>
      </c>
      <c r="Z848" s="6" t="e">
        <v>#N/A</v>
      </c>
      <c r="AA848" s="6" t="s">
        <v>95</v>
      </c>
      <c r="AB848" s="4">
        <v>0</v>
      </c>
    </row>
    <row r="849" spans="1:28" ht="14.5" customHeight="1">
      <c r="A849" s="4">
        <v>848</v>
      </c>
      <c r="B849" s="5">
        <v>12605873</v>
      </c>
      <c r="C849" s="5">
        <v>203813081</v>
      </c>
      <c r="D849" s="115" t="s">
        <v>700</v>
      </c>
      <c r="E849" s="4" t="s">
        <v>701</v>
      </c>
      <c r="F849" s="7" t="s">
        <v>82</v>
      </c>
      <c r="G849" s="7" t="s">
        <v>76</v>
      </c>
      <c r="H849" s="7" t="s">
        <v>88</v>
      </c>
      <c r="I849" s="6" t="s">
        <v>1790</v>
      </c>
      <c r="J849" s="7" t="s">
        <v>5</v>
      </c>
      <c r="K849" s="4" t="s">
        <v>10</v>
      </c>
      <c r="L849" s="4" t="s">
        <v>20</v>
      </c>
      <c r="M849" s="4" t="s">
        <v>393</v>
      </c>
      <c r="N849" s="4" t="s">
        <v>2584</v>
      </c>
      <c r="O849" s="89"/>
      <c r="P849" s="25">
        <v>45517</v>
      </c>
      <c r="Q849" s="7" t="s">
        <v>1112</v>
      </c>
      <c r="R849" s="90" t="s">
        <v>3262</v>
      </c>
      <c r="S849" s="6" t="s">
        <v>1795</v>
      </c>
      <c r="T849" s="4" t="s">
        <v>1199</v>
      </c>
      <c r="U849" s="4" t="s">
        <v>103</v>
      </c>
      <c r="V849" s="4">
        <v>99</v>
      </c>
      <c r="W849" s="85">
        <v>46247</v>
      </c>
      <c r="X849" s="4" t="s">
        <v>3688</v>
      </c>
      <c r="Y849" s="4">
        <v>503055792</v>
      </c>
      <c r="Z849" s="4" t="s">
        <v>2103</v>
      </c>
      <c r="AA849" s="4" t="s">
        <v>1194</v>
      </c>
      <c r="AB849" s="4" t="s">
        <v>4289</v>
      </c>
    </row>
    <row r="850" spans="1:28">
      <c r="A850" s="4">
        <v>849</v>
      </c>
      <c r="B850" s="5">
        <v>13322518</v>
      </c>
      <c r="C850" s="5">
        <v>206015628</v>
      </c>
      <c r="D850" s="115" t="s">
        <v>2875</v>
      </c>
      <c r="E850" s="4" t="s">
        <v>2896</v>
      </c>
      <c r="F850" s="7" t="s">
        <v>74</v>
      </c>
      <c r="G850" s="7" t="s">
        <v>76</v>
      </c>
      <c r="H850" s="7" t="s">
        <v>88</v>
      </c>
      <c r="I850" s="6" t="s">
        <v>1788</v>
      </c>
      <c r="J850" s="7" t="s">
        <v>5</v>
      </c>
      <c r="K850" s="4" t="s">
        <v>10</v>
      </c>
      <c r="L850" s="4" t="s">
        <v>24</v>
      </c>
      <c r="M850" s="4" t="s">
        <v>3321</v>
      </c>
      <c r="N850" s="4" t="s">
        <v>2584</v>
      </c>
      <c r="O850" s="89"/>
      <c r="P850" s="25">
        <v>45922</v>
      </c>
      <c r="Q850" s="7" t="s">
        <v>1112</v>
      </c>
      <c r="R850" s="90" t="s">
        <v>3260</v>
      </c>
      <c r="S850" s="6" t="s">
        <v>1795</v>
      </c>
      <c r="T850" s="4" t="s">
        <v>81</v>
      </c>
      <c r="U850" s="4" t="s">
        <v>112</v>
      </c>
      <c r="V850" s="4">
        <v>99</v>
      </c>
      <c r="W850" s="85">
        <v>45983</v>
      </c>
      <c r="X850" s="4" t="s">
        <v>3703</v>
      </c>
      <c r="Y850" s="4"/>
      <c r="Z850" s="4"/>
      <c r="AA850" s="4" t="s">
        <v>95</v>
      </c>
      <c r="AB850" s="4" t="s">
        <v>4290</v>
      </c>
    </row>
    <row r="851" spans="1:28">
      <c r="A851" s="4">
        <v>850</v>
      </c>
      <c r="B851" s="106">
        <v>12580286</v>
      </c>
      <c r="C851" s="106">
        <v>204011579</v>
      </c>
      <c r="D851" s="5" t="s">
        <v>1401</v>
      </c>
      <c r="E851" s="115" t="s">
        <v>1402</v>
      </c>
      <c r="F851" s="7" t="s">
        <v>82</v>
      </c>
      <c r="G851" s="7" t="s">
        <v>87</v>
      </c>
      <c r="H851" s="7" t="s">
        <v>75</v>
      </c>
      <c r="I851" s="6" t="s">
        <v>1790</v>
      </c>
      <c r="J851" s="7" t="s">
        <v>5</v>
      </c>
      <c r="K851" s="4" t="s">
        <v>10</v>
      </c>
      <c r="L851" s="4" t="s">
        <v>22</v>
      </c>
      <c r="M851" s="4" t="s">
        <v>3615</v>
      </c>
      <c r="N851" s="4" t="s">
        <v>2584</v>
      </c>
      <c r="O851" s="25"/>
      <c r="P851" s="25">
        <v>45551</v>
      </c>
      <c r="Q851" s="7" t="s">
        <v>1112</v>
      </c>
      <c r="R851" s="6" t="s">
        <v>3254</v>
      </c>
      <c r="S851" s="6" t="s">
        <v>1795</v>
      </c>
      <c r="T851" s="6" t="s">
        <v>81</v>
      </c>
      <c r="U851" s="6" t="s">
        <v>107</v>
      </c>
      <c r="V851" s="4">
        <v>99</v>
      </c>
      <c r="W851" s="6">
        <v>45607</v>
      </c>
      <c r="X851" s="6" t="s">
        <v>1216</v>
      </c>
      <c r="Y851" s="4">
        <v>585242349</v>
      </c>
      <c r="Z851" s="6" t="s">
        <v>4344</v>
      </c>
      <c r="AA851" s="6" t="s">
        <v>95</v>
      </c>
      <c r="AB851" s="4">
        <v>0</v>
      </c>
    </row>
    <row r="852" spans="1:28">
      <c r="A852" s="4">
        <v>851</v>
      </c>
      <c r="B852" s="106">
        <v>11237367</v>
      </c>
      <c r="C852" s="5">
        <v>206607036</v>
      </c>
      <c r="D852" s="115" t="s">
        <v>4089</v>
      </c>
      <c r="E852" s="4" t="s">
        <v>4114</v>
      </c>
      <c r="F852" s="7" t="s">
        <v>82</v>
      </c>
      <c r="G852" s="7" t="s">
        <v>90</v>
      </c>
      <c r="H852" s="7" t="s">
        <v>87</v>
      </c>
      <c r="I852" s="7" t="s">
        <v>1789</v>
      </c>
      <c r="J852" s="7" t="s">
        <v>5</v>
      </c>
      <c r="K852" s="4" t="s">
        <v>10</v>
      </c>
      <c r="L852" s="4" t="s">
        <v>23</v>
      </c>
      <c r="M852" s="4" t="s">
        <v>390</v>
      </c>
      <c r="N852" s="4" t="s">
        <v>2584</v>
      </c>
      <c r="O852" s="89"/>
      <c r="P852" s="25">
        <v>46048</v>
      </c>
      <c r="Q852" s="7" t="s">
        <v>1112</v>
      </c>
      <c r="R852" s="90" t="s">
        <v>3254</v>
      </c>
      <c r="S852" s="7" t="s">
        <v>1795</v>
      </c>
      <c r="T852" s="4" t="s">
        <v>81</v>
      </c>
      <c r="U852" s="4"/>
      <c r="V852" s="4">
        <v>99</v>
      </c>
      <c r="W852" s="85">
        <v>46104</v>
      </c>
      <c r="X852" s="4"/>
      <c r="Y852" s="4"/>
      <c r="Z852" s="4"/>
      <c r="AA852" s="4"/>
      <c r="AB852" s="4" t="e">
        <v>#N/A</v>
      </c>
    </row>
    <row r="853" spans="1:28">
      <c r="A853" s="4">
        <v>852</v>
      </c>
      <c r="B853" s="5">
        <v>14942346</v>
      </c>
      <c r="C853" s="5">
        <v>205853575</v>
      </c>
      <c r="D853" s="115" t="s">
        <v>2702</v>
      </c>
      <c r="E853" s="4" t="s">
        <v>2703</v>
      </c>
      <c r="F853" s="7" t="s">
        <v>82</v>
      </c>
      <c r="G853" s="7" t="s">
        <v>89</v>
      </c>
      <c r="H853" s="7" t="s">
        <v>90</v>
      </c>
      <c r="I853" s="7" t="s">
        <v>1789</v>
      </c>
      <c r="J853" s="7" t="s">
        <v>5</v>
      </c>
      <c r="K853" s="4" t="s">
        <v>10</v>
      </c>
      <c r="L853" s="4" t="s">
        <v>23</v>
      </c>
      <c r="M853" s="4" t="s">
        <v>374</v>
      </c>
      <c r="N853" s="4"/>
      <c r="O853" s="89"/>
      <c r="P853" s="25">
        <v>45894</v>
      </c>
      <c r="Q853" s="7" t="s">
        <v>1112</v>
      </c>
      <c r="R853" s="90" t="s">
        <v>2586</v>
      </c>
      <c r="S853" s="6" t="s">
        <v>1795</v>
      </c>
      <c r="T853" s="4" t="s">
        <v>81</v>
      </c>
      <c r="U853" s="4" t="s">
        <v>107</v>
      </c>
      <c r="V853" s="4">
        <v>99</v>
      </c>
      <c r="W853" s="85">
        <v>45949</v>
      </c>
      <c r="X853" s="4" t="s">
        <v>3523</v>
      </c>
      <c r="Y853" s="4">
        <v>545378917</v>
      </c>
      <c r="Z853" s="4" t="s">
        <v>2776</v>
      </c>
      <c r="AA853" s="4" t="s">
        <v>85</v>
      </c>
      <c r="AB853" s="4" t="s">
        <v>4289</v>
      </c>
    </row>
    <row r="854" spans="1:28">
      <c r="A854" s="4">
        <v>853</v>
      </c>
      <c r="B854" s="5">
        <v>14815433</v>
      </c>
      <c r="C854" s="5">
        <v>203285820</v>
      </c>
      <c r="D854" s="115" t="s">
        <v>1493</v>
      </c>
      <c r="E854" s="4" t="s">
        <v>1494</v>
      </c>
      <c r="F854" s="7" t="s">
        <v>82</v>
      </c>
      <c r="G854" s="7" t="s">
        <v>90</v>
      </c>
      <c r="H854" s="7" t="s">
        <v>87</v>
      </c>
      <c r="I854" s="6" t="s">
        <v>1788</v>
      </c>
      <c r="J854" s="7" t="s">
        <v>5</v>
      </c>
      <c r="K854" s="4" t="s">
        <v>10</v>
      </c>
      <c r="L854" s="4" t="s">
        <v>24</v>
      </c>
      <c r="M854" s="4" t="s">
        <v>374</v>
      </c>
      <c r="N854" s="4" t="s">
        <v>2584</v>
      </c>
      <c r="O854" s="89"/>
      <c r="P854" s="25">
        <v>45561</v>
      </c>
      <c r="Q854" s="7" t="s">
        <v>1192</v>
      </c>
      <c r="R854" s="90" t="s">
        <v>3255</v>
      </c>
      <c r="S854" s="6" t="s">
        <v>1795</v>
      </c>
      <c r="T854" s="4" t="s">
        <v>81</v>
      </c>
      <c r="U854" s="4" t="s">
        <v>349</v>
      </c>
      <c r="V854" s="4">
        <v>99</v>
      </c>
      <c r="W854" s="85">
        <v>46291</v>
      </c>
      <c r="X854" s="4" t="s">
        <v>3688</v>
      </c>
      <c r="Y854" s="4">
        <v>527672414</v>
      </c>
      <c r="Z854" s="4" t="s">
        <v>2104</v>
      </c>
      <c r="AA854" s="4" t="s">
        <v>85</v>
      </c>
      <c r="AB854" s="4" t="s">
        <v>4289</v>
      </c>
    </row>
    <row r="855" spans="1:28">
      <c r="A855" s="4">
        <v>854</v>
      </c>
      <c r="B855" s="5">
        <v>11883374</v>
      </c>
      <c r="C855" s="5">
        <v>205853580</v>
      </c>
      <c r="D855" s="115" t="s">
        <v>2704</v>
      </c>
      <c r="E855" s="4" t="s">
        <v>2705</v>
      </c>
      <c r="F855" s="7" t="s">
        <v>82</v>
      </c>
      <c r="G855" s="7" t="s">
        <v>94</v>
      </c>
      <c r="H855" s="7" t="s">
        <v>89</v>
      </c>
      <c r="I855" s="7" t="s">
        <v>1788</v>
      </c>
      <c r="J855" s="7" t="s">
        <v>5</v>
      </c>
      <c r="K855" s="4" t="s">
        <v>10</v>
      </c>
      <c r="L855" s="4" t="s">
        <v>23</v>
      </c>
      <c r="M855" s="4" t="s">
        <v>4314</v>
      </c>
      <c r="N855" s="4"/>
      <c r="O855" s="89"/>
      <c r="P855" s="25">
        <v>45894</v>
      </c>
      <c r="Q855" s="7" t="s">
        <v>1112</v>
      </c>
      <c r="R855" s="90" t="s">
        <v>3258</v>
      </c>
      <c r="S855" s="6" t="s">
        <v>1795</v>
      </c>
      <c r="T855" s="4" t="s">
        <v>81</v>
      </c>
      <c r="U855" s="4" t="s">
        <v>103</v>
      </c>
      <c r="V855" s="4">
        <v>99</v>
      </c>
      <c r="W855" s="85">
        <v>45949</v>
      </c>
      <c r="X855" s="4" t="s">
        <v>3523</v>
      </c>
      <c r="Y855" s="4">
        <v>567922151</v>
      </c>
      <c r="Z855" s="4" t="s">
        <v>2777</v>
      </c>
      <c r="AA855" s="4" t="s">
        <v>85</v>
      </c>
      <c r="AB855" s="4" t="s">
        <v>4289</v>
      </c>
    </row>
    <row r="856" spans="1:28">
      <c r="A856" s="4">
        <v>855</v>
      </c>
      <c r="B856" s="5">
        <v>12096566</v>
      </c>
      <c r="C856" s="5">
        <v>206902845</v>
      </c>
      <c r="D856" s="115" t="s">
        <v>3624</v>
      </c>
      <c r="E856" s="4" t="s">
        <v>3645</v>
      </c>
      <c r="F856" s="7" t="s">
        <v>82</v>
      </c>
      <c r="G856" s="7" t="s">
        <v>89</v>
      </c>
      <c r="H856" s="7" t="s">
        <v>90</v>
      </c>
      <c r="I856" s="7" t="s">
        <v>1789</v>
      </c>
      <c r="J856" s="6" t="s">
        <v>5</v>
      </c>
      <c r="K856" s="6" t="s">
        <v>10</v>
      </c>
      <c r="L856" s="4" t="s">
        <v>22</v>
      </c>
      <c r="M856" s="4" t="s">
        <v>3321</v>
      </c>
      <c r="N856" s="4" t="s">
        <v>2584</v>
      </c>
      <c r="O856" s="89"/>
      <c r="P856" s="25">
        <v>46030</v>
      </c>
      <c r="Q856" s="7" t="s">
        <v>1112</v>
      </c>
      <c r="R856" s="90" t="s">
        <v>3254</v>
      </c>
      <c r="S856" s="6" t="s">
        <v>1795</v>
      </c>
      <c r="T856" s="4" t="s">
        <v>81</v>
      </c>
      <c r="U856" s="4"/>
      <c r="V856" s="4">
        <v>99</v>
      </c>
      <c r="W856" s="85">
        <v>46395</v>
      </c>
      <c r="X856" s="4" t="s">
        <v>3290</v>
      </c>
      <c r="Y856" s="4">
        <v>522364587</v>
      </c>
      <c r="Z856" s="4" t="s">
        <v>3667</v>
      </c>
      <c r="AA856" s="4" t="s">
        <v>3658</v>
      </c>
      <c r="AB856" s="4" t="e">
        <v>#N/A</v>
      </c>
    </row>
    <row r="857" spans="1:28">
      <c r="A857" s="4">
        <v>856</v>
      </c>
      <c r="B857" s="5">
        <v>13627980</v>
      </c>
      <c r="C857" s="5">
        <v>204967041</v>
      </c>
      <c r="D857" s="115" t="s">
        <v>2419</v>
      </c>
      <c r="E857" s="4" t="s">
        <v>2420</v>
      </c>
      <c r="F857" s="7" t="s">
        <v>74</v>
      </c>
      <c r="G857" s="7" t="s">
        <v>88</v>
      </c>
      <c r="H857" s="7" t="s">
        <v>94</v>
      </c>
      <c r="I857" s="6" t="s">
        <v>1790</v>
      </c>
      <c r="J857" s="7" t="s">
        <v>5</v>
      </c>
      <c r="K857" s="4" t="s">
        <v>10</v>
      </c>
      <c r="L857" s="4" t="s">
        <v>22</v>
      </c>
      <c r="M857" s="4" t="s">
        <v>3321</v>
      </c>
      <c r="N857" s="4" t="s">
        <v>2584</v>
      </c>
      <c r="O857" s="89"/>
      <c r="P857" s="25">
        <v>45719</v>
      </c>
      <c r="Q857" s="7" t="s">
        <v>1112</v>
      </c>
      <c r="R857" s="90" t="s">
        <v>3264</v>
      </c>
      <c r="S857" s="6" t="s">
        <v>1795</v>
      </c>
      <c r="T857" s="4" t="s">
        <v>81</v>
      </c>
      <c r="U857" s="4" t="s">
        <v>3263</v>
      </c>
      <c r="V857" s="4">
        <v>99</v>
      </c>
      <c r="W857" s="85">
        <v>45775</v>
      </c>
      <c r="X857" s="4" t="s">
        <v>1216</v>
      </c>
      <c r="Y857" s="4">
        <v>528875738</v>
      </c>
      <c r="Z857" s="4" t="s">
        <v>2441</v>
      </c>
      <c r="AA857" s="4" t="s">
        <v>85</v>
      </c>
      <c r="AB857" s="4" t="s">
        <v>4289</v>
      </c>
    </row>
    <row r="858" spans="1:28">
      <c r="A858" s="4">
        <v>857</v>
      </c>
      <c r="B858" s="5">
        <v>11049582</v>
      </c>
      <c r="C858" s="5">
        <v>203512666</v>
      </c>
      <c r="D858" s="115" t="s">
        <v>519</v>
      </c>
      <c r="E858" s="4" t="s">
        <v>520</v>
      </c>
      <c r="F858" s="7" t="s">
        <v>74</v>
      </c>
      <c r="G858" s="7" t="s">
        <v>75</v>
      </c>
      <c r="H858" s="7" t="s">
        <v>76</v>
      </c>
      <c r="I858" s="6" t="s">
        <v>1788</v>
      </c>
      <c r="J858" s="7" t="s">
        <v>5</v>
      </c>
      <c r="K858" s="4" t="s">
        <v>10</v>
      </c>
      <c r="L858" s="4" t="s">
        <v>24</v>
      </c>
      <c r="M858" s="4" t="s">
        <v>3321</v>
      </c>
      <c r="N858" s="4" t="s">
        <v>2583</v>
      </c>
      <c r="O858" s="89"/>
      <c r="P858" s="25">
        <v>45463</v>
      </c>
      <c r="Q858" s="7" t="s">
        <v>351</v>
      </c>
      <c r="R858" s="90" t="s">
        <v>3252</v>
      </c>
      <c r="S858" s="6" t="s">
        <v>1795</v>
      </c>
      <c r="T858" s="4" t="s">
        <v>81</v>
      </c>
      <c r="U858" s="4" t="s">
        <v>103</v>
      </c>
      <c r="V858" s="4">
        <v>99</v>
      </c>
      <c r="W858" s="85">
        <v>45828</v>
      </c>
      <c r="X858" s="4" t="s">
        <v>3688</v>
      </c>
      <c r="Y858" s="4">
        <v>558865747</v>
      </c>
      <c r="Z858" s="4" t="s">
        <v>2105</v>
      </c>
      <c r="AA858" s="4" t="s">
        <v>85</v>
      </c>
      <c r="AB858" s="4" t="s">
        <v>4289</v>
      </c>
    </row>
    <row r="859" spans="1:28" ht="14.5" customHeight="1">
      <c r="A859" s="4">
        <v>858</v>
      </c>
      <c r="B859" s="106">
        <v>12927186</v>
      </c>
      <c r="C859" s="106">
        <v>204009978</v>
      </c>
      <c r="D859" s="5" t="s">
        <v>1386</v>
      </c>
      <c r="E859" s="115" t="s">
        <v>1387</v>
      </c>
      <c r="F859" s="7" t="s">
        <v>82</v>
      </c>
      <c r="G859" s="7" t="s">
        <v>76</v>
      </c>
      <c r="H859" s="7" t="s">
        <v>88</v>
      </c>
      <c r="I859" s="6" t="s">
        <v>1790</v>
      </c>
      <c r="J859" s="7" t="s">
        <v>5</v>
      </c>
      <c r="K859" s="4" t="s">
        <v>10</v>
      </c>
      <c r="L859" s="4" t="s">
        <v>22</v>
      </c>
      <c r="M859" s="4" t="s">
        <v>2676</v>
      </c>
      <c r="N859" s="4" t="s">
        <v>2584</v>
      </c>
      <c r="O859" s="25"/>
      <c r="P859" s="25">
        <v>45551</v>
      </c>
      <c r="Q859" s="7" t="s">
        <v>1112</v>
      </c>
      <c r="R859" s="6" t="s">
        <v>3253</v>
      </c>
      <c r="S859" s="6" t="s">
        <v>1795</v>
      </c>
      <c r="T859" s="6" t="s">
        <v>81</v>
      </c>
      <c r="U859" s="6" t="s">
        <v>103</v>
      </c>
      <c r="V859" s="4">
        <v>99</v>
      </c>
      <c r="W859" s="6">
        <v>45607</v>
      </c>
      <c r="X859" s="6" t="s">
        <v>1216</v>
      </c>
      <c r="Y859" s="4">
        <v>564623693</v>
      </c>
      <c r="Z859" s="6" t="s">
        <v>4345</v>
      </c>
      <c r="AA859" s="6" t="s">
        <v>95</v>
      </c>
      <c r="AB859" s="4">
        <v>0</v>
      </c>
    </row>
    <row r="860" spans="1:28">
      <c r="A860" s="4">
        <v>859</v>
      </c>
      <c r="B860" s="5">
        <v>11438949</v>
      </c>
      <c r="C860" s="5">
        <v>203850879</v>
      </c>
      <c r="D860" s="115" t="s">
        <v>770</v>
      </c>
      <c r="E860" s="4" t="s">
        <v>771</v>
      </c>
      <c r="F860" s="7" t="s">
        <v>74</v>
      </c>
      <c r="G860" s="7" t="s">
        <v>76</v>
      </c>
      <c r="H860" s="7" t="s">
        <v>88</v>
      </c>
      <c r="I860" s="6" t="s">
        <v>1790</v>
      </c>
      <c r="J860" s="7" t="s">
        <v>5</v>
      </c>
      <c r="K860" s="4" t="s">
        <v>10</v>
      </c>
      <c r="L860" s="4" t="s">
        <v>22</v>
      </c>
      <c r="M860" s="4" t="s">
        <v>4361</v>
      </c>
      <c r="N860" s="4" t="s">
        <v>2583</v>
      </c>
      <c r="O860" s="89"/>
      <c r="P860" s="25">
        <v>45524</v>
      </c>
      <c r="Q860" s="7" t="s">
        <v>1112</v>
      </c>
      <c r="R860" s="90" t="s">
        <v>3256</v>
      </c>
      <c r="S860" s="6" t="s">
        <v>1795</v>
      </c>
      <c r="T860" s="4" t="s">
        <v>81</v>
      </c>
      <c r="U860" s="4" t="s">
        <v>3263</v>
      </c>
      <c r="V860" s="4">
        <v>99</v>
      </c>
      <c r="W860" s="85">
        <v>45580</v>
      </c>
      <c r="X860" s="4" t="s">
        <v>1216</v>
      </c>
      <c r="Y860" s="4">
        <v>501742198</v>
      </c>
      <c r="Z860" s="4" t="s">
        <v>2106</v>
      </c>
      <c r="AA860" s="4" t="s">
        <v>95</v>
      </c>
      <c r="AB860" s="4" t="s">
        <v>4289</v>
      </c>
    </row>
    <row r="861" spans="1:28" ht="14.5" customHeight="1">
      <c r="A861" s="4">
        <v>860</v>
      </c>
      <c r="B861" s="106">
        <v>60712</v>
      </c>
      <c r="C861" s="106">
        <v>203993431</v>
      </c>
      <c r="D861" s="5" t="s">
        <v>1339</v>
      </c>
      <c r="E861" s="115" t="s">
        <v>1340</v>
      </c>
      <c r="F861" s="7" t="s">
        <v>82</v>
      </c>
      <c r="G861" s="7" t="s">
        <v>88</v>
      </c>
      <c r="H861" s="7" t="s">
        <v>94</v>
      </c>
      <c r="I861" s="7" t="s">
        <v>1789</v>
      </c>
      <c r="J861" s="7" t="s">
        <v>5</v>
      </c>
      <c r="K861" s="4" t="s">
        <v>10</v>
      </c>
      <c r="L861" s="4" t="s">
        <v>22</v>
      </c>
      <c r="M861" s="4" t="s">
        <v>4361</v>
      </c>
      <c r="N861" s="4" t="s">
        <v>2584</v>
      </c>
      <c r="O861" s="25"/>
      <c r="P861" s="25">
        <v>45547</v>
      </c>
      <c r="Q861" s="7" t="s">
        <v>1112</v>
      </c>
      <c r="R861" s="6" t="s">
        <v>3252</v>
      </c>
      <c r="S861" s="6" t="s">
        <v>1795</v>
      </c>
      <c r="T861" s="6" t="s">
        <v>81</v>
      </c>
      <c r="U861" s="6" t="s">
        <v>112</v>
      </c>
      <c r="V861" s="4">
        <v>99</v>
      </c>
      <c r="W861" s="6">
        <v>45603</v>
      </c>
      <c r="X861" s="6" t="s">
        <v>1216</v>
      </c>
      <c r="Y861" s="4">
        <v>585243665</v>
      </c>
      <c r="Z861" s="6" t="s">
        <v>4346</v>
      </c>
      <c r="AA861" s="6" t="s">
        <v>95</v>
      </c>
      <c r="AB861" s="4">
        <v>0</v>
      </c>
    </row>
    <row r="862" spans="1:28" ht="14.5" customHeight="1">
      <c r="A862" s="4">
        <v>861</v>
      </c>
      <c r="B862" s="5">
        <v>11034951</v>
      </c>
      <c r="C862" s="5">
        <v>205854083</v>
      </c>
      <c r="D862" s="115" t="s">
        <v>2726</v>
      </c>
      <c r="E862" s="4" t="s">
        <v>2727</v>
      </c>
      <c r="F862" s="7" t="s">
        <v>74</v>
      </c>
      <c r="G862" s="7" t="s">
        <v>89</v>
      </c>
      <c r="H862" s="7" t="s">
        <v>90</v>
      </c>
      <c r="I862" s="7" t="s">
        <v>1789</v>
      </c>
      <c r="J862" s="7" t="s">
        <v>5</v>
      </c>
      <c r="K862" s="4" t="s">
        <v>10</v>
      </c>
      <c r="L862" s="4" t="s">
        <v>23</v>
      </c>
      <c r="M862" s="4" t="s">
        <v>390</v>
      </c>
      <c r="N862" s="4"/>
      <c r="O862" s="89"/>
      <c r="P862" s="25">
        <v>45894</v>
      </c>
      <c r="Q862" s="7" t="s">
        <v>1112</v>
      </c>
      <c r="R862" s="90" t="s">
        <v>3256</v>
      </c>
      <c r="S862" s="6" t="s">
        <v>1795</v>
      </c>
      <c r="T862" s="4" t="s">
        <v>92</v>
      </c>
      <c r="U862" s="4" t="s">
        <v>107</v>
      </c>
      <c r="V862" s="4">
        <v>99</v>
      </c>
      <c r="W862" s="85">
        <v>45949</v>
      </c>
      <c r="X862" s="4" t="s">
        <v>3527</v>
      </c>
      <c r="Y862" s="4">
        <v>553809158</v>
      </c>
      <c r="Z862" s="4" t="s">
        <v>2784</v>
      </c>
      <c r="AA862" s="4" t="s">
        <v>1204</v>
      </c>
      <c r="AB862" s="4" t="s">
        <v>4289</v>
      </c>
    </row>
    <row r="863" spans="1:28" ht="14.5" customHeight="1">
      <c r="A863" s="4">
        <v>862</v>
      </c>
      <c r="B863" s="5">
        <v>14053814</v>
      </c>
      <c r="C863" s="5">
        <v>206250876</v>
      </c>
      <c r="D863" s="115" t="s">
        <v>3112</v>
      </c>
      <c r="E863" s="4" t="s">
        <v>3064</v>
      </c>
      <c r="F863" s="7" t="s">
        <v>74</v>
      </c>
      <c r="G863" s="7" t="s">
        <v>89</v>
      </c>
      <c r="H863" s="7" t="s">
        <v>90</v>
      </c>
      <c r="I863" s="6" t="s">
        <v>1788</v>
      </c>
      <c r="J863" s="7" t="s">
        <v>5</v>
      </c>
      <c r="K863" s="4" t="s">
        <v>10</v>
      </c>
      <c r="L863" s="4" t="s">
        <v>24</v>
      </c>
      <c r="M863" s="4" t="s">
        <v>4314</v>
      </c>
      <c r="N863" s="4" t="s">
        <v>2584</v>
      </c>
      <c r="O863" s="89"/>
      <c r="P863" s="25">
        <v>45943</v>
      </c>
      <c r="Q863" s="7" t="s">
        <v>1112</v>
      </c>
      <c r="R863" s="90" t="s">
        <v>3254</v>
      </c>
      <c r="S863" s="6" t="s">
        <v>3012</v>
      </c>
      <c r="T863" s="4" t="s">
        <v>92</v>
      </c>
      <c r="U863" s="4" t="s">
        <v>112</v>
      </c>
      <c r="V863" s="4">
        <v>99</v>
      </c>
      <c r="W863" s="85" t="s">
        <v>3072</v>
      </c>
      <c r="X863" s="4" t="s">
        <v>3474</v>
      </c>
      <c r="Y863" s="4">
        <v>552919572</v>
      </c>
      <c r="Z863" s="4" t="s">
        <v>3079</v>
      </c>
      <c r="AA863" s="4" t="s">
        <v>85</v>
      </c>
      <c r="AB863" s="4" t="s">
        <v>4289</v>
      </c>
    </row>
    <row r="864" spans="1:28">
      <c r="A864" s="4">
        <v>863</v>
      </c>
      <c r="B864" s="5">
        <v>11718327</v>
      </c>
      <c r="C864" s="5">
        <v>202198840</v>
      </c>
      <c r="D864" s="115" t="s">
        <v>1683</v>
      </c>
      <c r="E864" s="4" t="s">
        <v>1684</v>
      </c>
      <c r="F864" s="7" t="s">
        <v>82</v>
      </c>
      <c r="G864" s="7" t="s">
        <v>90</v>
      </c>
      <c r="H864" s="7" t="s">
        <v>87</v>
      </c>
      <c r="I864" s="6" t="s">
        <v>1790</v>
      </c>
      <c r="J864" s="7" t="s">
        <v>5</v>
      </c>
      <c r="K864" s="4" t="s">
        <v>10</v>
      </c>
      <c r="L864" s="4" t="s">
        <v>27</v>
      </c>
      <c r="M864" s="4" t="s">
        <v>390</v>
      </c>
      <c r="N864" s="4" t="s">
        <v>2584</v>
      </c>
      <c r="O864" s="89"/>
      <c r="P864" s="25">
        <v>45586</v>
      </c>
      <c r="Q864" s="7" t="s">
        <v>1192</v>
      </c>
      <c r="R864" s="90" t="s">
        <v>2586</v>
      </c>
      <c r="S864" s="6" t="s">
        <v>1795</v>
      </c>
      <c r="T864" s="4" t="s">
        <v>92</v>
      </c>
      <c r="U864" s="4" t="s">
        <v>103</v>
      </c>
      <c r="V864" s="4">
        <v>99</v>
      </c>
      <c r="W864" s="85">
        <v>46316</v>
      </c>
      <c r="X864" s="4" t="s">
        <v>3694</v>
      </c>
      <c r="Y864" s="4">
        <v>588556650</v>
      </c>
      <c r="Z864" s="4">
        <v>0</v>
      </c>
      <c r="AA864" s="4" t="s">
        <v>85</v>
      </c>
      <c r="AB864" s="4" t="s">
        <v>4289</v>
      </c>
    </row>
    <row r="865" spans="1:28">
      <c r="A865" s="4">
        <v>864</v>
      </c>
      <c r="B865" s="5">
        <v>11467543</v>
      </c>
      <c r="C865" s="5">
        <v>203512669</v>
      </c>
      <c r="D865" s="115" t="s">
        <v>521</v>
      </c>
      <c r="E865" s="4" t="s">
        <v>522</v>
      </c>
      <c r="F865" s="7" t="s">
        <v>74</v>
      </c>
      <c r="G865" s="7" t="s">
        <v>90</v>
      </c>
      <c r="H865" s="7" t="s">
        <v>87</v>
      </c>
      <c r="I865" s="6" t="s">
        <v>1788</v>
      </c>
      <c r="J865" s="7" t="s">
        <v>5</v>
      </c>
      <c r="K865" s="4" t="s">
        <v>10</v>
      </c>
      <c r="L865" s="4" t="s">
        <v>24</v>
      </c>
      <c r="M865" s="4" t="s">
        <v>4314</v>
      </c>
      <c r="N865" s="4" t="s">
        <v>2584</v>
      </c>
      <c r="O865" s="89"/>
      <c r="P865" s="25">
        <v>45463</v>
      </c>
      <c r="Q865" s="7" t="s">
        <v>351</v>
      </c>
      <c r="R865" s="90" t="s">
        <v>3260</v>
      </c>
      <c r="S865" s="6" t="s">
        <v>1795</v>
      </c>
      <c r="T865" s="4" t="s">
        <v>81</v>
      </c>
      <c r="U865" s="4" t="s">
        <v>349</v>
      </c>
      <c r="V865" s="4">
        <v>99</v>
      </c>
      <c r="W865" s="85">
        <v>45828</v>
      </c>
      <c r="X865" s="4" t="s">
        <v>3694</v>
      </c>
      <c r="Y865" s="4">
        <v>586873505</v>
      </c>
      <c r="Z865" s="4" t="s">
        <v>2107</v>
      </c>
      <c r="AA865" s="4" t="s">
        <v>85</v>
      </c>
      <c r="AB865" s="4" t="s">
        <v>4289</v>
      </c>
    </row>
    <row r="866" spans="1:28" ht="14.5" customHeight="1">
      <c r="A866" s="4">
        <v>865</v>
      </c>
      <c r="B866" s="5">
        <v>11159291</v>
      </c>
      <c r="C866" s="5">
        <v>204319796</v>
      </c>
      <c r="D866" s="115" t="s">
        <v>1752</v>
      </c>
      <c r="E866" s="4" t="s">
        <v>1710</v>
      </c>
      <c r="F866" s="7" t="s">
        <v>74</v>
      </c>
      <c r="G866" s="7" t="s">
        <v>90</v>
      </c>
      <c r="H866" s="7" t="s">
        <v>87</v>
      </c>
      <c r="I866" s="6" t="s">
        <v>1790</v>
      </c>
      <c r="J866" s="7" t="s">
        <v>5</v>
      </c>
      <c r="K866" s="4" t="s">
        <v>10</v>
      </c>
      <c r="L866" s="4" t="s">
        <v>27</v>
      </c>
      <c r="M866" s="4" t="s">
        <v>4314</v>
      </c>
      <c r="N866" s="4" t="s">
        <v>2584</v>
      </c>
      <c r="O866" s="89"/>
      <c r="P866" s="25">
        <v>45589</v>
      </c>
      <c r="Q866" s="7" t="s">
        <v>351</v>
      </c>
      <c r="R866" s="90" t="s">
        <v>3260</v>
      </c>
      <c r="S866" s="6" t="s">
        <v>1795</v>
      </c>
      <c r="T866" s="4" t="s">
        <v>92</v>
      </c>
      <c r="U866" s="4" t="s">
        <v>103</v>
      </c>
      <c r="V866" s="4">
        <v>99</v>
      </c>
      <c r="W866" s="85">
        <v>46319</v>
      </c>
      <c r="X866" s="4" t="s">
        <v>3694</v>
      </c>
      <c r="Y866" s="4">
        <v>569428010</v>
      </c>
      <c r="Z866" s="4" t="s">
        <v>2108</v>
      </c>
      <c r="AA866" s="4" t="s">
        <v>1203</v>
      </c>
      <c r="AB866" s="4" t="s">
        <v>4289</v>
      </c>
    </row>
    <row r="867" spans="1:28">
      <c r="A867" s="4">
        <v>866</v>
      </c>
      <c r="B867" s="106">
        <v>13428374</v>
      </c>
      <c r="C867" s="106">
        <v>204882473</v>
      </c>
      <c r="D867" s="5" t="s">
        <v>2495</v>
      </c>
      <c r="E867" s="115" t="s">
        <v>2496</v>
      </c>
      <c r="F867" s="7" t="s">
        <v>74</v>
      </c>
      <c r="G867" s="7" t="s">
        <v>87</v>
      </c>
      <c r="H867" s="7" t="s">
        <v>75</v>
      </c>
      <c r="I867" s="6" t="s">
        <v>1790</v>
      </c>
      <c r="J867" s="7" t="s">
        <v>5</v>
      </c>
      <c r="K867" s="4" t="s">
        <v>10</v>
      </c>
      <c r="L867" s="4" t="s">
        <v>22</v>
      </c>
      <c r="M867" s="4" t="s">
        <v>2676</v>
      </c>
      <c r="N867" s="4" t="s">
        <v>2584</v>
      </c>
      <c r="O867" s="25"/>
      <c r="P867" s="25">
        <v>45789</v>
      </c>
      <c r="Q867" s="7" t="s">
        <v>1112</v>
      </c>
      <c r="R867" s="6" t="s">
        <v>3264</v>
      </c>
      <c r="S867" s="6" t="s">
        <v>1795</v>
      </c>
      <c r="T867" s="6" t="s">
        <v>81</v>
      </c>
      <c r="U867" s="6" t="s">
        <v>107</v>
      </c>
      <c r="V867" s="4">
        <v>99</v>
      </c>
      <c r="W867" s="6">
        <v>45831</v>
      </c>
      <c r="X867" s="6" t="s">
        <v>1216</v>
      </c>
      <c r="Y867" s="4">
        <v>550817172</v>
      </c>
      <c r="Z867" s="6" t="s">
        <v>4347</v>
      </c>
      <c r="AA867" s="6" t="s">
        <v>1203</v>
      </c>
      <c r="AB867" s="4">
        <v>0</v>
      </c>
    </row>
    <row r="868" spans="1:28">
      <c r="A868" s="4">
        <v>867</v>
      </c>
      <c r="B868" s="5">
        <v>13395613</v>
      </c>
      <c r="C868" s="5">
        <v>106268190</v>
      </c>
      <c r="D868" s="115" t="s">
        <v>434</v>
      </c>
      <c r="E868" s="4" t="s">
        <v>435</v>
      </c>
      <c r="F868" s="7" t="s">
        <v>74</v>
      </c>
      <c r="G868" s="7" t="s">
        <v>94</v>
      </c>
      <c r="H868" s="7" t="s">
        <v>89</v>
      </c>
      <c r="I868" s="6" t="s">
        <v>119</v>
      </c>
      <c r="J868" s="7" t="s">
        <v>5</v>
      </c>
      <c r="K868" s="4" t="s">
        <v>10</v>
      </c>
      <c r="L868" s="4" t="s">
        <v>21</v>
      </c>
      <c r="M868" s="4" t="s">
        <v>390</v>
      </c>
      <c r="N868" s="4" t="s">
        <v>2583</v>
      </c>
      <c r="O868" s="89"/>
      <c r="P868" s="25">
        <v>44757</v>
      </c>
      <c r="Q868" s="7" t="s">
        <v>351</v>
      </c>
      <c r="R868" s="90" t="s">
        <v>3253</v>
      </c>
      <c r="S868" s="6" t="s">
        <v>1795</v>
      </c>
      <c r="T868" s="4" t="s">
        <v>81</v>
      </c>
      <c r="U868" s="4" t="s">
        <v>112</v>
      </c>
      <c r="V868" s="4">
        <v>1</v>
      </c>
      <c r="W868" s="85"/>
      <c r="X868" s="4" t="s">
        <v>3474</v>
      </c>
      <c r="Y868" s="4">
        <v>0</v>
      </c>
      <c r="Z868" s="4" t="e">
        <v>#N/A</v>
      </c>
      <c r="AA868" s="4" t="s">
        <v>127</v>
      </c>
      <c r="AB868" s="4" t="s">
        <v>4290</v>
      </c>
    </row>
    <row r="869" spans="1:28">
      <c r="A869" s="4">
        <v>868</v>
      </c>
      <c r="B869" s="5">
        <v>13685896</v>
      </c>
      <c r="C869" s="5">
        <v>203908351</v>
      </c>
      <c r="D869" s="115" t="s">
        <v>1133</v>
      </c>
      <c r="E869" s="4" t="s">
        <v>1134</v>
      </c>
      <c r="F869" s="7" t="s">
        <v>82</v>
      </c>
      <c r="G869" s="7" t="s">
        <v>76</v>
      </c>
      <c r="H869" s="7" t="s">
        <v>88</v>
      </c>
      <c r="I869" s="6" t="s">
        <v>1788</v>
      </c>
      <c r="J869" s="7" t="s">
        <v>5</v>
      </c>
      <c r="K869" s="4" t="s">
        <v>10</v>
      </c>
      <c r="L869" s="4" t="s">
        <v>24</v>
      </c>
      <c r="M869" s="4" t="s">
        <v>2741</v>
      </c>
      <c r="N869" s="4" t="s">
        <v>2584</v>
      </c>
      <c r="O869" s="89"/>
      <c r="P869" s="25">
        <v>45537</v>
      </c>
      <c r="Q869" s="7" t="s">
        <v>1112</v>
      </c>
      <c r="R869" s="90" t="s">
        <v>3258</v>
      </c>
      <c r="S869" s="6" t="s">
        <v>1795</v>
      </c>
      <c r="T869" s="4" t="s">
        <v>81</v>
      </c>
      <c r="U869" s="4" t="s">
        <v>3263</v>
      </c>
      <c r="V869" s="4">
        <v>99</v>
      </c>
      <c r="W869" s="85">
        <v>45902</v>
      </c>
      <c r="X869" s="4" t="s">
        <v>3703</v>
      </c>
      <c r="Y869" s="4">
        <v>525990054</v>
      </c>
      <c r="Z869" s="4" t="s">
        <v>2109</v>
      </c>
      <c r="AA869" s="4" t="s">
        <v>1206</v>
      </c>
      <c r="AB869" s="4" t="s">
        <v>4290</v>
      </c>
    </row>
    <row r="870" spans="1:28">
      <c r="A870" s="4">
        <v>869</v>
      </c>
      <c r="B870" s="106">
        <v>14284773</v>
      </c>
      <c r="C870" s="106">
        <v>205236898</v>
      </c>
      <c r="D870" s="5" t="s">
        <v>2501</v>
      </c>
      <c r="E870" s="115" t="s">
        <v>2502</v>
      </c>
      <c r="F870" s="7" t="s">
        <v>74</v>
      </c>
      <c r="G870" s="7" t="s">
        <v>76</v>
      </c>
      <c r="H870" s="7" t="s">
        <v>88</v>
      </c>
      <c r="I870" s="6" t="s">
        <v>1790</v>
      </c>
      <c r="J870" s="7" t="s">
        <v>5</v>
      </c>
      <c r="K870" s="4" t="s">
        <v>10</v>
      </c>
      <c r="L870" s="4" t="s">
        <v>22</v>
      </c>
      <c r="M870" s="4" t="s">
        <v>3615</v>
      </c>
      <c r="N870" s="4" t="s">
        <v>2584</v>
      </c>
      <c r="O870" s="25"/>
      <c r="P870" s="25">
        <v>45789</v>
      </c>
      <c r="Q870" s="7" t="s">
        <v>1112</v>
      </c>
      <c r="R870" s="6" t="s">
        <v>3252</v>
      </c>
      <c r="S870" s="6" t="s">
        <v>1795</v>
      </c>
      <c r="T870" s="6" t="s">
        <v>81</v>
      </c>
      <c r="U870" s="6" t="s">
        <v>349</v>
      </c>
      <c r="V870" s="4">
        <v>99</v>
      </c>
      <c r="W870" s="6">
        <v>45831</v>
      </c>
      <c r="X870" s="6" t="s">
        <v>1216</v>
      </c>
      <c r="Y870" s="4">
        <v>521519771</v>
      </c>
      <c r="Z870" s="6" t="s">
        <v>4348</v>
      </c>
      <c r="AA870" s="6" t="s">
        <v>85</v>
      </c>
      <c r="AB870" s="4">
        <v>0</v>
      </c>
    </row>
    <row r="871" spans="1:28">
      <c r="A871" s="4">
        <v>870</v>
      </c>
      <c r="B871" s="5">
        <v>15362501</v>
      </c>
      <c r="C871" s="5">
        <v>203850878</v>
      </c>
      <c r="D871" s="115" t="s">
        <v>772</v>
      </c>
      <c r="E871" s="4" t="s">
        <v>773</v>
      </c>
      <c r="F871" s="7" t="s">
        <v>82</v>
      </c>
      <c r="G871" s="7" t="s">
        <v>75</v>
      </c>
      <c r="H871" s="7" t="s">
        <v>76</v>
      </c>
      <c r="I871" s="6" t="s">
        <v>1790</v>
      </c>
      <c r="J871" s="7" t="s">
        <v>5</v>
      </c>
      <c r="K871" s="4" t="s">
        <v>10</v>
      </c>
      <c r="L871" s="4" t="s">
        <v>22</v>
      </c>
      <c r="M871" s="4" t="s">
        <v>3321</v>
      </c>
      <c r="N871" s="4" t="s">
        <v>2583</v>
      </c>
      <c r="O871" s="89"/>
      <c r="P871" s="25">
        <v>45524</v>
      </c>
      <c r="Q871" s="7" t="s">
        <v>1112</v>
      </c>
      <c r="R871" s="90" t="s">
        <v>3264</v>
      </c>
      <c r="S871" s="6" t="s">
        <v>1795</v>
      </c>
      <c r="T871" s="4" t="s">
        <v>81</v>
      </c>
      <c r="U871" s="4" t="s">
        <v>103</v>
      </c>
      <c r="V871" s="4">
        <v>99</v>
      </c>
      <c r="W871" s="85">
        <v>45580</v>
      </c>
      <c r="X871" s="4" t="s">
        <v>1216</v>
      </c>
      <c r="Y871" s="4">
        <v>552367424</v>
      </c>
      <c r="Z871" s="4" t="s">
        <v>2110</v>
      </c>
      <c r="AA871" s="4" t="s">
        <v>95</v>
      </c>
      <c r="AB871" s="4" t="s">
        <v>4289</v>
      </c>
    </row>
    <row r="872" spans="1:28">
      <c r="A872" s="4">
        <v>871</v>
      </c>
      <c r="B872" s="5">
        <v>13807699</v>
      </c>
      <c r="C872" s="5">
        <v>203850881</v>
      </c>
      <c r="D872" s="115" t="s">
        <v>774</v>
      </c>
      <c r="E872" s="4" t="s">
        <v>775</v>
      </c>
      <c r="F872" s="7" t="s">
        <v>82</v>
      </c>
      <c r="G872" s="7" t="s">
        <v>76</v>
      </c>
      <c r="H872" s="7" t="s">
        <v>88</v>
      </c>
      <c r="I872" s="7" t="s">
        <v>1789</v>
      </c>
      <c r="J872" s="7" t="s">
        <v>5</v>
      </c>
      <c r="K872" s="4" t="s">
        <v>10</v>
      </c>
      <c r="L872" s="4" t="s">
        <v>22</v>
      </c>
      <c r="M872" s="4" t="s">
        <v>3321</v>
      </c>
      <c r="N872" s="4" t="s">
        <v>2584</v>
      </c>
      <c r="O872" s="89"/>
      <c r="P872" s="25">
        <v>45524</v>
      </c>
      <c r="Q872" s="7" t="s">
        <v>1112</v>
      </c>
      <c r="R872" s="90" t="s">
        <v>3258</v>
      </c>
      <c r="S872" s="6" t="s">
        <v>1795</v>
      </c>
      <c r="T872" s="4" t="s">
        <v>81</v>
      </c>
      <c r="U872" s="4" t="s">
        <v>3259</v>
      </c>
      <c r="V872" s="4">
        <v>99</v>
      </c>
      <c r="W872" s="85">
        <v>45580</v>
      </c>
      <c r="X872" s="4" t="s">
        <v>1216</v>
      </c>
      <c r="Y872" s="4">
        <v>55253748</v>
      </c>
      <c r="Z872" s="4" t="e">
        <v>#N/A</v>
      </c>
      <c r="AA872" s="4" t="s">
        <v>95</v>
      </c>
      <c r="AB872" s="4" t="s">
        <v>4290</v>
      </c>
    </row>
    <row r="873" spans="1:28">
      <c r="A873" s="4">
        <v>872</v>
      </c>
      <c r="B873" s="5">
        <v>14011673</v>
      </c>
      <c r="C873" s="5">
        <v>203331877</v>
      </c>
      <c r="D873" s="115" t="s">
        <v>1135</v>
      </c>
      <c r="E873" s="4" t="s">
        <v>1136</v>
      </c>
      <c r="F873" s="7" t="s">
        <v>82</v>
      </c>
      <c r="G873" s="7" t="s">
        <v>94</v>
      </c>
      <c r="H873" s="7" t="s">
        <v>89</v>
      </c>
      <c r="I873" s="6" t="s">
        <v>1788</v>
      </c>
      <c r="J873" s="7" t="s">
        <v>5</v>
      </c>
      <c r="K873" s="4" t="s">
        <v>10</v>
      </c>
      <c r="L873" s="4" t="s">
        <v>24</v>
      </c>
      <c r="M873" s="4" t="s">
        <v>374</v>
      </c>
      <c r="N873" s="4" t="s">
        <v>2583</v>
      </c>
      <c r="O873" s="89"/>
      <c r="P873" s="25">
        <v>45537</v>
      </c>
      <c r="Q873" s="7" t="s">
        <v>1113</v>
      </c>
      <c r="R873" s="90" t="s">
        <v>3261</v>
      </c>
      <c r="S873" s="6" t="s">
        <v>1795</v>
      </c>
      <c r="T873" s="4" t="s">
        <v>81</v>
      </c>
      <c r="U873" s="4" t="s">
        <v>112</v>
      </c>
      <c r="V873" s="4">
        <v>99</v>
      </c>
      <c r="W873" s="85">
        <v>46267</v>
      </c>
      <c r="X873" s="4" t="s">
        <v>3739</v>
      </c>
      <c r="Y873" s="4">
        <v>529141168</v>
      </c>
      <c r="Z873" s="4" t="s">
        <v>2111</v>
      </c>
      <c r="AA873" s="4" t="s">
        <v>1203</v>
      </c>
      <c r="AB873" s="4" t="s">
        <v>4289</v>
      </c>
    </row>
    <row r="874" spans="1:28">
      <c r="A874" s="4">
        <v>873</v>
      </c>
      <c r="B874" s="106">
        <v>13986449</v>
      </c>
      <c r="C874" s="5">
        <v>205257125</v>
      </c>
      <c r="D874" s="115" t="s">
        <v>4083</v>
      </c>
      <c r="E874" s="4" t="s">
        <v>4108</v>
      </c>
      <c r="F874" s="7" t="s">
        <v>82</v>
      </c>
      <c r="G874" s="7" t="s">
        <v>94</v>
      </c>
      <c r="H874" s="7" t="s">
        <v>89</v>
      </c>
      <c r="I874" s="7" t="s">
        <v>1789</v>
      </c>
      <c r="J874" s="7" t="s">
        <v>5</v>
      </c>
      <c r="K874" s="4" t="s">
        <v>10</v>
      </c>
      <c r="L874" s="4" t="s">
        <v>23</v>
      </c>
      <c r="M874" s="4" t="s">
        <v>374</v>
      </c>
      <c r="N874" s="4" t="s">
        <v>2584</v>
      </c>
      <c r="O874" s="89"/>
      <c r="P874" s="25">
        <v>46048</v>
      </c>
      <c r="Q874" s="7" t="s">
        <v>1112</v>
      </c>
      <c r="R874" s="90" t="s">
        <v>3254</v>
      </c>
      <c r="S874" s="7" t="s">
        <v>1795</v>
      </c>
      <c r="T874" s="4" t="s">
        <v>81</v>
      </c>
      <c r="U874" s="4"/>
      <c r="V874" s="4">
        <v>99</v>
      </c>
      <c r="W874" s="85">
        <v>46104</v>
      </c>
      <c r="X874" s="4"/>
      <c r="Y874" s="4"/>
      <c r="Z874" s="4"/>
      <c r="AA874" s="4"/>
      <c r="AB874" s="4" t="e">
        <v>#N/A</v>
      </c>
    </row>
    <row r="875" spans="1:28">
      <c r="A875" s="4">
        <v>874</v>
      </c>
      <c r="B875" s="5">
        <v>12170398</v>
      </c>
      <c r="C875" s="5">
        <v>204228019</v>
      </c>
      <c r="D875" s="115" t="s">
        <v>2282</v>
      </c>
      <c r="E875" s="4" t="s">
        <v>2283</v>
      </c>
      <c r="F875" s="7" t="s">
        <v>74</v>
      </c>
      <c r="G875" s="7" t="s">
        <v>90</v>
      </c>
      <c r="H875" s="7" t="s">
        <v>87</v>
      </c>
      <c r="I875" s="6" t="s">
        <v>1790</v>
      </c>
      <c r="J875" s="7" t="s">
        <v>5</v>
      </c>
      <c r="K875" s="4" t="s">
        <v>10</v>
      </c>
      <c r="L875" s="4" t="s">
        <v>22</v>
      </c>
      <c r="M875" s="4" t="s">
        <v>3321</v>
      </c>
      <c r="N875" s="4" t="s">
        <v>2584</v>
      </c>
      <c r="O875" s="89"/>
      <c r="P875" s="25">
        <v>45684</v>
      </c>
      <c r="Q875" s="7" t="s">
        <v>1112</v>
      </c>
      <c r="R875" s="90" t="s">
        <v>3256</v>
      </c>
      <c r="S875" s="6" t="s">
        <v>1795</v>
      </c>
      <c r="T875" s="4" t="s">
        <v>81</v>
      </c>
      <c r="U875" s="4" t="s">
        <v>103</v>
      </c>
      <c r="V875" s="4">
        <v>99</v>
      </c>
      <c r="W875" s="85">
        <v>45740</v>
      </c>
      <c r="X875" s="4" t="s">
        <v>1216</v>
      </c>
      <c r="Y875" s="4"/>
      <c r="Z875" s="4"/>
      <c r="AA875" s="4" t="s">
        <v>95</v>
      </c>
      <c r="AB875" s="4" t="s">
        <v>4289</v>
      </c>
    </row>
    <row r="876" spans="1:28" ht="14.5" customHeight="1">
      <c r="A876" s="4">
        <v>875</v>
      </c>
      <c r="B876" s="5">
        <v>11586793</v>
      </c>
      <c r="C876" s="5">
        <v>204117681</v>
      </c>
      <c r="D876" s="115" t="s">
        <v>1495</v>
      </c>
      <c r="E876" s="4" t="s">
        <v>1537</v>
      </c>
      <c r="F876" s="7" t="s">
        <v>82</v>
      </c>
      <c r="G876" s="7" t="s">
        <v>88</v>
      </c>
      <c r="H876" s="7" t="s">
        <v>94</v>
      </c>
      <c r="I876" s="6" t="s">
        <v>1790</v>
      </c>
      <c r="J876" s="7" t="s">
        <v>5</v>
      </c>
      <c r="K876" s="4" t="s">
        <v>10</v>
      </c>
      <c r="L876" s="4" t="s">
        <v>27</v>
      </c>
      <c r="M876" s="4" t="s">
        <v>390</v>
      </c>
      <c r="N876" s="4" t="s">
        <v>2584</v>
      </c>
      <c r="O876" s="89"/>
      <c r="P876" s="25">
        <v>45561</v>
      </c>
      <c r="Q876" s="7" t="s">
        <v>1112</v>
      </c>
      <c r="R876" s="90" t="s">
        <v>2586</v>
      </c>
      <c r="S876" s="6" t="s">
        <v>1795</v>
      </c>
      <c r="T876" s="4" t="s">
        <v>92</v>
      </c>
      <c r="U876" s="4" t="s">
        <v>107</v>
      </c>
      <c r="V876" s="4">
        <v>99</v>
      </c>
      <c r="W876" s="85">
        <v>46291</v>
      </c>
      <c r="X876" s="4" t="s">
        <v>3688</v>
      </c>
      <c r="Y876" s="4">
        <v>551703119</v>
      </c>
      <c r="Z876" s="4" t="s">
        <v>2112</v>
      </c>
      <c r="AA876" s="4" t="s">
        <v>1196</v>
      </c>
      <c r="AB876" s="4" t="s">
        <v>4289</v>
      </c>
    </row>
    <row r="877" spans="1:28" ht="14.5" customHeight="1">
      <c r="A877" s="4">
        <v>876</v>
      </c>
      <c r="B877" s="106">
        <v>14450832</v>
      </c>
      <c r="C877" s="106">
        <v>203850880</v>
      </c>
      <c r="D877" s="5" t="s">
        <v>776</v>
      </c>
      <c r="E877" s="115" t="s">
        <v>777</v>
      </c>
      <c r="F877" s="7" t="s">
        <v>74</v>
      </c>
      <c r="G877" s="7" t="s">
        <v>89</v>
      </c>
      <c r="H877" s="7" t="s">
        <v>90</v>
      </c>
      <c r="I877" s="6" t="s">
        <v>1790</v>
      </c>
      <c r="J877" s="7" t="s">
        <v>5</v>
      </c>
      <c r="K877" s="4" t="s">
        <v>10</v>
      </c>
      <c r="L877" s="4" t="s">
        <v>22</v>
      </c>
      <c r="M877" s="4" t="s">
        <v>3615</v>
      </c>
      <c r="N877" s="4" t="s">
        <v>2584</v>
      </c>
      <c r="O877" s="25"/>
      <c r="P877" s="25">
        <v>45524</v>
      </c>
      <c r="Q877" s="7" t="s">
        <v>1112</v>
      </c>
      <c r="R877" s="6" t="s">
        <v>3256</v>
      </c>
      <c r="S877" s="6" t="s">
        <v>1795</v>
      </c>
      <c r="T877" s="6" t="s">
        <v>81</v>
      </c>
      <c r="U877" s="6" t="s">
        <v>103</v>
      </c>
      <c r="V877" s="4">
        <v>99</v>
      </c>
      <c r="W877" s="6">
        <v>45580</v>
      </c>
      <c r="X877" s="6" t="s">
        <v>1216</v>
      </c>
      <c r="Y877" s="4">
        <v>552677538</v>
      </c>
      <c r="Z877" s="6" t="s">
        <v>2113</v>
      </c>
      <c r="AA877" s="6" t="s">
        <v>95</v>
      </c>
      <c r="AB877" s="4">
        <v>0</v>
      </c>
    </row>
    <row r="878" spans="1:28">
      <c r="A878" s="4">
        <v>877</v>
      </c>
      <c r="B878" s="106">
        <v>15302186</v>
      </c>
      <c r="C878" s="106">
        <v>204072308</v>
      </c>
      <c r="D878" s="5" t="s">
        <v>1471</v>
      </c>
      <c r="E878" s="115" t="s">
        <v>1447</v>
      </c>
      <c r="F878" s="7" t="s">
        <v>82</v>
      </c>
      <c r="G878" s="7" t="s">
        <v>76</v>
      </c>
      <c r="H878" s="7" t="s">
        <v>88</v>
      </c>
      <c r="I878" s="6" t="s">
        <v>1790</v>
      </c>
      <c r="J878" s="7" t="s">
        <v>5</v>
      </c>
      <c r="K878" s="4" t="s">
        <v>10</v>
      </c>
      <c r="L878" s="4" t="s">
        <v>22</v>
      </c>
      <c r="M878" s="4" t="s">
        <v>4361</v>
      </c>
      <c r="N878" s="4" t="s">
        <v>2584</v>
      </c>
      <c r="O878" s="25"/>
      <c r="P878" s="25">
        <v>45558</v>
      </c>
      <c r="Q878" s="7" t="s">
        <v>1112</v>
      </c>
      <c r="R878" s="6" t="s">
        <v>3260</v>
      </c>
      <c r="S878" s="6" t="s">
        <v>1795</v>
      </c>
      <c r="T878" s="6" t="s">
        <v>81</v>
      </c>
      <c r="U878" s="6" t="s">
        <v>103</v>
      </c>
      <c r="V878" s="4">
        <v>99</v>
      </c>
      <c r="W878" s="6">
        <v>45614</v>
      </c>
      <c r="X878" s="6" t="s">
        <v>1216</v>
      </c>
      <c r="Y878" s="4">
        <v>502752814</v>
      </c>
      <c r="Z878" s="6" t="s">
        <v>4349</v>
      </c>
      <c r="AA878" s="6" t="s">
        <v>95</v>
      </c>
      <c r="AB878" s="4">
        <v>0</v>
      </c>
    </row>
    <row r="879" spans="1:28" ht="14.5" customHeight="1">
      <c r="A879" s="4">
        <v>878</v>
      </c>
      <c r="B879" s="5">
        <v>15382853</v>
      </c>
      <c r="C879" s="5">
        <v>204095806</v>
      </c>
      <c r="D879" s="115" t="s">
        <v>1497</v>
      </c>
      <c r="E879" s="4" t="s">
        <v>1498</v>
      </c>
      <c r="F879" s="7" t="s">
        <v>82</v>
      </c>
      <c r="G879" s="7" t="s">
        <v>76</v>
      </c>
      <c r="H879" s="7" t="s">
        <v>88</v>
      </c>
      <c r="I879" s="6" t="s">
        <v>1790</v>
      </c>
      <c r="J879" s="7" t="s">
        <v>5</v>
      </c>
      <c r="K879" s="4" t="s">
        <v>10</v>
      </c>
      <c r="L879" s="4" t="s">
        <v>27</v>
      </c>
      <c r="M879" s="4" t="s">
        <v>3321</v>
      </c>
      <c r="N879" s="4" t="s">
        <v>2584</v>
      </c>
      <c r="O879" s="89"/>
      <c r="P879" s="25">
        <v>45561</v>
      </c>
      <c r="Q879" s="7" t="s">
        <v>1112</v>
      </c>
      <c r="R879" s="90" t="s">
        <v>3255</v>
      </c>
      <c r="S879" s="6" t="s">
        <v>1795</v>
      </c>
      <c r="T879" s="4" t="s">
        <v>81</v>
      </c>
      <c r="U879" s="4" t="s">
        <v>103</v>
      </c>
      <c r="V879" s="4">
        <v>99</v>
      </c>
      <c r="W879" s="85">
        <v>46291</v>
      </c>
      <c r="X879" s="4" t="s">
        <v>3703</v>
      </c>
      <c r="Y879" s="4">
        <v>524578674</v>
      </c>
      <c r="Z879" s="4" t="s">
        <v>2114</v>
      </c>
      <c r="AA879" s="4" t="s">
        <v>2275</v>
      </c>
      <c r="AB879" s="4" t="s">
        <v>4290</v>
      </c>
    </row>
    <row r="880" spans="1:28" ht="14.5" customHeight="1">
      <c r="A880" s="4">
        <v>879</v>
      </c>
      <c r="B880" s="5">
        <v>197036</v>
      </c>
      <c r="C880" s="5">
        <v>206137340</v>
      </c>
      <c r="D880" s="115" t="s">
        <v>2972</v>
      </c>
      <c r="E880" s="4" t="s">
        <v>2973</v>
      </c>
      <c r="F880" s="7" t="s">
        <v>82</v>
      </c>
      <c r="G880" s="7" t="s">
        <v>89</v>
      </c>
      <c r="H880" s="7" t="s">
        <v>90</v>
      </c>
      <c r="I880" s="6" t="s">
        <v>1788</v>
      </c>
      <c r="J880" s="7" t="s">
        <v>5</v>
      </c>
      <c r="K880" s="4" t="s">
        <v>10</v>
      </c>
      <c r="L880" s="4" t="s">
        <v>24</v>
      </c>
      <c r="M880" s="4" t="s">
        <v>390</v>
      </c>
      <c r="N880" s="4"/>
      <c r="O880" s="89"/>
      <c r="P880" s="25">
        <v>45929</v>
      </c>
      <c r="Q880" s="7" t="s">
        <v>1112</v>
      </c>
      <c r="R880" s="4" t="s">
        <v>3258</v>
      </c>
      <c r="S880" s="6" t="s">
        <v>1795</v>
      </c>
      <c r="T880" s="4" t="s">
        <v>81</v>
      </c>
      <c r="U880" s="4" t="s">
        <v>107</v>
      </c>
      <c r="V880" s="4">
        <v>99</v>
      </c>
      <c r="W880" s="85"/>
      <c r="X880" s="4"/>
      <c r="Y880" s="4"/>
      <c r="Z880" s="4"/>
      <c r="AA880" s="4" t="s">
        <v>1204</v>
      </c>
      <c r="AB880" s="4" t="s">
        <v>4289</v>
      </c>
    </row>
    <row r="881" spans="1:28">
      <c r="A881" s="4">
        <v>880</v>
      </c>
      <c r="B881" s="5">
        <v>14993711</v>
      </c>
      <c r="C881" s="5">
        <v>204010440</v>
      </c>
      <c r="D881" s="115" t="s">
        <v>1349</v>
      </c>
      <c r="E881" s="4" t="s">
        <v>2732</v>
      </c>
      <c r="F881" s="7" t="s">
        <v>82</v>
      </c>
      <c r="G881" s="7" t="s">
        <v>76</v>
      </c>
      <c r="H881" s="7" t="s">
        <v>88</v>
      </c>
      <c r="I881" s="7" t="s">
        <v>1789</v>
      </c>
      <c r="J881" s="7" t="s">
        <v>5</v>
      </c>
      <c r="K881" s="4" t="s">
        <v>10</v>
      </c>
      <c r="L881" s="4" t="s">
        <v>22</v>
      </c>
      <c r="M881" s="4" t="s">
        <v>3321</v>
      </c>
      <c r="N881" s="4"/>
      <c r="O881" s="89"/>
      <c r="P881" s="25">
        <v>45894</v>
      </c>
      <c r="Q881" s="7" t="s">
        <v>1112</v>
      </c>
      <c r="R881" s="90" t="s">
        <v>2586</v>
      </c>
      <c r="S881" s="6" t="s">
        <v>1795</v>
      </c>
      <c r="T881" s="4" t="s">
        <v>81</v>
      </c>
      <c r="U881" s="4" t="s">
        <v>349</v>
      </c>
      <c r="V881" s="4">
        <v>99</v>
      </c>
      <c r="W881" s="85">
        <v>45949</v>
      </c>
      <c r="X881" s="4" t="s">
        <v>2758</v>
      </c>
      <c r="Y881" s="4">
        <v>553926737</v>
      </c>
      <c r="Z881" s="4" t="s">
        <v>2787</v>
      </c>
      <c r="AA881" s="4" t="s">
        <v>95</v>
      </c>
      <c r="AB881" s="4" t="s">
        <v>4289</v>
      </c>
    </row>
    <row r="882" spans="1:28">
      <c r="A882" s="4">
        <v>881</v>
      </c>
      <c r="B882" s="4">
        <v>14427369</v>
      </c>
      <c r="C882" s="5">
        <v>206930331</v>
      </c>
      <c r="D882" s="115" t="s">
        <v>3938</v>
      </c>
      <c r="E882" s="4" t="s">
        <v>4394</v>
      </c>
      <c r="F882" s="7" t="s">
        <v>82</v>
      </c>
      <c r="G882" s="7" t="s">
        <v>94</v>
      </c>
      <c r="H882" s="7" t="s">
        <v>89</v>
      </c>
      <c r="I882" s="4" t="s">
        <v>1789</v>
      </c>
      <c r="J882" s="4" t="s">
        <v>5</v>
      </c>
      <c r="K882" s="4" t="s">
        <v>10</v>
      </c>
      <c r="L882" s="4" t="s">
        <v>23</v>
      </c>
      <c r="M882" s="4" t="s">
        <v>4314</v>
      </c>
      <c r="N882" s="4"/>
      <c r="O882" s="4"/>
      <c r="P882" s="25">
        <v>46238</v>
      </c>
      <c r="Q882" s="4" t="s">
        <v>1112</v>
      </c>
      <c r="R882" s="4"/>
      <c r="S882" s="6" t="s">
        <v>1796</v>
      </c>
      <c r="T882" s="4" t="s">
        <v>92</v>
      </c>
      <c r="U882" s="4"/>
      <c r="V882" s="4">
        <v>99</v>
      </c>
      <c r="W882" s="4"/>
      <c r="X882" s="4"/>
      <c r="Y882" s="4"/>
      <c r="Z882" s="4"/>
      <c r="AA882" s="4"/>
      <c r="AB882" s="4"/>
    </row>
    <row r="883" spans="1:28">
      <c r="A883" s="4">
        <v>882</v>
      </c>
      <c r="B883" s="5">
        <v>14270749</v>
      </c>
      <c r="C883" s="5">
        <v>206846698</v>
      </c>
      <c r="D883" s="115" t="s">
        <v>3330</v>
      </c>
      <c r="E883" s="5" t="s">
        <v>3331</v>
      </c>
      <c r="F883" s="7" t="s">
        <v>82</v>
      </c>
      <c r="G883" s="7" t="s">
        <v>75</v>
      </c>
      <c r="H883" s="7" t="s">
        <v>76</v>
      </c>
      <c r="I883" s="7" t="s">
        <v>1789</v>
      </c>
      <c r="J883" s="7" t="s">
        <v>5</v>
      </c>
      <c r="K883" s="4" t="s">
        <v>10</v>
      </c>
      <c r="L883" s="5" t="s">
        <v>22</v>
      </c>
      <c r="M883" s="5" t="s">
        <v>2741</v>
      </c>
      <c r="N883" s="5" t="s">
        <v>3289</v>
      </c>
      <c r="O883" s="89"/>
      <c r="P883" s="25">
        <v>46013</v>
      </c>
      <c r="Q883" s="7" t="s">
        <v>1112</v>
      </c>
      <c r="R883" s="4" t="s">
        <v>3255</v>
      </c>
      <c r="S883" s="5" t="s">
        <v>1795</v>
      </c>
      <c r="T883" s="5" t="s">
        <v>81</v>
      </c>
      <c r="U883" s="5"/>
      <c r="V883" s="5">
        <v>99</v>
      </c>
      <c r="W883" s="91">
        <v>45648</v>
      </c>
      <c r="X883" s="5" t="s">
        <v>3290</v>
      </c>
      <c r="Y883" s="5" t="s">
        <v>3342</v>
      </c>
      <c r="Z883" s="5" t="s">
        <v>3343</v>
      </c>
      <c r="AA883" s="4" t="s">
        <v>95</v>
      </c>
      <c r="AB883" s="4" t="s">
        <v>4289</v>
      </c>
    </row>
    <row r="884" spans="1:28">
      <c r="A884" s="4">
        <v>883</v>
      </c>
      <c r="B884" s="5">
        <v>13553718</v>
      </c>
      <c r="C884" s="5">
        <v>202436104</v>
      </c>
      <c r="D884" s="115" t="s">
        <v>1226</v>
      </c>
      <c r="E884" s="4" t="s">
        <v>1227</v>
      </c>
      <c r="F884" s="7" t="s">
        <v>74</v>
      </c>
      <c r="G884" s="7" t="s">
        <v>89</v>
      </c>
      <c r="H884" s="7" t="s">
        <v>90</v>
      </c>
      <c r="I884" s="6" t="s">
        <v>1790</v>
      </c>
      <c r="J884" s="7" t="s">
        <v>5</v>
      </c>
      <c r="K884" s="4" t="s">
        <v>10</v>
      </c>
      <c r="L884" s="4" t="s">
        <v>27</v>
      </c>
      <c r="M884" s="4" t="s">
        <v>390</v>
      </c>
      <c r="N884" s="4" t="s">
        <v>2584</v>
      </c>
      <c r="O884" s="89"/>
      <c r="P884" s="25">
        <v>45586</v>
      </c>
      <c r="Q884" s="7" t="s">
        <v>1113</v>
      </c>
      <c r="R884" s="90" t="s">
        <v>3257</v>
      </c>
      <c r="S884" s="6" t="s">
        <v>1795</v>
      </c>
      <c r="T884" s="4" t="s">
        <v>81</v>
      </c>
      <c r="U884" s="4" t="s">
        <v>103</v>
      </c>
      <c r="V884" s="4">
        <v>99</v>
      </c>
      <c r="W884" s="85">
        <v>46316</v>
      </c>
      <c r="X884" s="4" t="s">
        <v>3694</v>
      </c>
      <c r="Y884" s="4">
        <v>566288434</v>
      </c>
      <c r="Z884" s="4">
        <v>0</v>
      </c>
      <c r="AA884" s="4" t="s">
        <v>85</v>
      </c>
      <c r="AB884" s="4" t="s">
        <v>4289</v>
      </c>
    </row>
    <row r="885" spans="1:28">
      <c r="A885" s="4">
        <v>884</v>
      </c>
      <c r="B885" s="5">
        <v>11439942</v>
      </c>
      <c r="C885" s="5">
        <v>203965179</v>
      </c>
      <c r="D885" s="115" t="s">
        <v>1235</v>
      </c>
      <c r="E885" s="4" t="s">
        <v>1236</v>
      </c>
      <c r="F885" s="7" t="s">
        <v>82</v>
      </c>
      <c r="G885" s="7" t="s">
        <v>76</v>
      </c>
      <c r="H885" s="7" t="s">
        <v>88</v>
      </c>
      <c r="I885" s="6" t="s">
        <v>1788</v>
      </c>
      <c r="J885" s="7" t="s">
        <v>5</v>
      </c>
      <c r="K885" s="4" t="s">
        <v>10</v>
      </c>
      <c r="L885" s="4" t="s">
        <v>23</v>
      </c>
      <c r="M885" s="4" t="s">
        <v>3321</v>
      </c>
      <c r="N885" s="4" t="s">
        <v>2584</v>
      </c>
      <c r="O885" s="89"/>
      <c r="P885" s="25">
        <v>45544</v>
      </c>
      <c r="Q885" s="7" t="s">
        <v>1112</v>
      </c>
      <c r="R885" s="90" t="s">
        <v>3252</v>
      </c>
      <c r="S885" s="6" t="s">
        <v>1795</v>
      </c>
      <c r="T885" s="4" t="s">
        <v>81</v>
      </c>
      <c r="U885" s="4" t="s">
        <v>3263</v>
      </c>
      <c r="V885" s="4">
        <v>99</v>
      </c>
      <c r="W885" s="85">
        <v>46274</v>
      </c>
      <c r="X885" s="4" t="s">
        <v>3739</v>
      </c>
      <c r="Y885" s="4">
        <v>525398863</v>
      </c>
      <c r="Z885" s="4" t="s">
        <v>2115</v>
      </c>
      <c r="AA885" s="4" t="s">
        <v>85</v>
      </c>
      <c r="AB885" s="4" t="s">
        <v>4289</v>
      </c>
    </row>
    <row r="886" spans="1:28">
      <c r="A886" s="4">
        <v>885</v>
      </c>
      <c r="B886" s="4">
        <f>_xlfn.XLOOKUP(C886,'[1]employeeList-AUH1 (28)'!$A:$A,'[1]employeeList-AUH1 (28)'!$D:$D)</f>
        <v>12390524</v>
      </c>
      <c r="C886" s="5">
        <v>206136718</v>
      </c>
      <c r="D886" s="115" t="str">
        <f>VLOOKUP(C886,'[1]employeeList-AUH1 (28)'!$A$1:$J$1523,2,0)</f>
        <v>tckinuth</v>
      </c>
      <c r="E886" s="4" t="s">
        <v>2953</v>
      </c>
      <c r="F886" s="7" t="s">
        <v>82</v>
      </c>
      <c r="G886" s="7" t="s">
        <v>90</v>
      </c>
      <c r="H886" s="7" t="s">
        <v>87</v>
      </c>
      <c r="I886" s="4" t="s">
        <v>1789</v>
      </c>
      <c r="J886" s="4" t="s">
        <v>5</v>
      </c>
      <c r="K886" s="4" t="s">
        <v>10</v>
      </c>
      <c r="L886" s="4" t="s">
        <v>23</v>
      </c>
      <c r="M886" s="4" t="s">
        <v>4314</v>
      </c>
      <c r="N886" s="4"/>
      <c r="O886" s="4"/>
      <c r="P886" s="25">
        <v>46239</v>
      </c>
      <c r="Q886" s="4" t="s">
        <v>351</v>
      </c>
      <c r="R886" s="4"/>
      <c r="S886" s="6" t="s">
        <v>1796</v>
      </c>
      <c r="T886" s="4" t="s">
        <v>92</v>
      </c>
      <c r="U886" s="4"/>
      <c r="V886" s="4">
        <v>99</v>
      </c>
      <c r="W886" s="4"/>
      <c r="X886" s="4"/>
      <c r="Y886" s="4"/>
      <c r="Z886" s="4"/>
      <c r="AA886" s="4"/>
      <c r="AB886" s="4"/>
    </row>
    <row r="887" spans="1:28">
      <c r="A887" s="4">
        <v>886</v>
      </c>
      <c r="B887" s="4">
        <v>14323339</v>
      </c>
      <c r="C887" s="4">
        <v>206200811</v>
      </c>
      <c r="D887" s="115" t="s">
        <v>3004</v>
      </c>
      <c r="E887" s="4" t="s">
        <v>3005</v>
      </c>
      <c r="F887" s="7" t="s">
        <v>82</v>
      </c>
      <c r="G887" s="7" t="s">
        <v>88</v>
      </c>
      <c r="H887" s="7" t="s">
        <v>94</v>
      </c>
      <c r="I887" s="4" t="s">
        <v>1789</v>
      </c>
      <c r="J887" s="4" t="s">
        <v>5</v>
      </c>
      <c r="K887" s="4" t="s">
        <v>10</v>
      </c>
      <c r="L887" s="4" t="s">
        <v>24</v>
      </c>
      <c r="M887" s="4" t="s">
        <v>2741</v>
      </c>
      <c r="N887" s="4"/>
      <c r="O887" s="4"/>
      <c r="P887" s="25">
        <v>46226</v>
      </c>
      <c r="Q887" s="4" t="s">
        <v>1112</v>
      </c>
      <c r="R887" s="4" t="s">
        <v>3252</v>
      </c>
      <c r="S887" s="6" t="s">
        <v>1796</v>
      </c>
      <c r="T887" s="4" t="s">
        <v>81</v>
      </c>
      <c r="U887" s="4"/>
      <c r="V887" s="4">
        <v>99</v>
      </c>
      <c r="W887" s="4"/>
      <c r="X887" s="4" t="s">
        <v>3014</v>
      </c>
      <c r="Y887" s="4">
        <v>507322643</v>
      </c>
      <c r="Z887" s="4" t="s">
        <v>4373</v>
      </c>
      <c r="AA887" s="4" t="s">
        <v>85</v>
      </c>
      <c r="AB887" s="4"/>
    </row>
    <row r="888" spans="1:28">
      <c r="A888" s="4">
        <v>887</v>
      </c>
      <c r="B888" s="5">
        <v>13518685</v>
      </c>
      <c r="C888" s="5">
        <v>204890369</v>
      </c>
      <c r="D888" s="115" t="s">
        <v>2345</v>
      </c>
      <c r="E888" s="4" t="s">
        <v>2346</v>
      </c>
      <c r="F888" s="7" t="s">
        <v>82</v>
      </c>
      <c r="G888" s="7" t="s">
        <v>94</v>
      </c>
      <c r="H888" s="7" t="s">
        <v>89</v>
      </c>
      <c r="I888" s="6" t="s">
        <v>1790</v>
      </c>
      <c r="J888" s="7" t="s">
        <v>5</v>
      </c>
      <c r="K888" s="4" t="s">
        <v>10</v>
      </c>
      <c r="L888" s="4" t="s">
        <v>22</v>
      </c>
      <c r="M888" s="4" t="s">
        <v>3321</v>
      </c>
      <c r="N888" s="4" t="s">
        <v>2584</v>
      </c>
      <c r="O888" s="89"/>
      <c r="P888" s="25">
        <v>45691</v>
      </c>
      <c r="Q888" s="7" t="s">
        <v>1112</v>
      </c>
      <c r="R888" s="90" t="s">
        <v>3256</v>
      </c>
      <c r="S888" s="6" t="s">
        <v>1795</v>
      </c>
      <c r="T888" s="4" t="s">
        <v>81</v>
      </c>
      <c r="U888" s="4" t="s">
        <v>3263</v>
      </c>
      <c r="V888" s="4">
        <v>99</v>
      </c>
      <c r="W888" s="85">
        <v>45747</v>
      </c>
      <c r="X888" s="4" t="s">
        <v>1216</v>
      </c>
      <c r="Y888" s="4">
        <v>501737469</v>
      </c>
      <c r="Z888" s="4" t="s">
        <v>2407</v>
      </c>
      <c r="AA888" s="4" t="s">
        <v>85</v>
      </c>
      <c r="AB888" s="4" t="s">
        <v>4289</v>
      </c>
    </row>
    <row r="889" spans="1:28">
      <c r="A889" s="4">
        <v>888</v>
      </c>
      <c r="B889" s="5">
        <v>13837488</v>
      </c>
      <c r="C889" s="5">
        <v>203522217</v>
      </c>
      <c r="D889" s="115" t="s">
        <v>422</v>
      </c>
      <c r="E889" s="4" t="s">
        <v>423</v>
      </c>
      <c r="F889" s="7" t="s">
        <v>82</v>
      </c>
      <c r="G889" s="7" t="s">
        <v>89</v>
      </c>
      <c r="H889" s="7" t="s">
        <v>90</v>
      </c>
      <c r="I889" s="6" t="s">
        <v>1790</v>
      </c>
      <c r="J889" s="7" t="s">
        <v>5</v>
      </c>
      <c r="K889" s="4" t="s">
        <v>10</v>
      </c>
      <c r="L889" s="4" t="s">
        <v>20</v>
      </c>
      <c r="M889" s="4" t="s">
        <v>390</v>
      </c>
      <c r="N889" s="4" t="s">
        <v>2584</v>
      </c>
      <c r="O889" s="89"/>
      <c r="P889" s="25">
        <v>45463</v>
      </c>
      <c r="Q889" s="7" t="s">
        <v>351</v>
      </c>
      <c r="R889" s="90" t="s">
        <v>3258</v>
      </c>
      <c r="S889" s="6" t="s">
        <v>1795</v>
      </c>
      <c r="T889" s="4" t="s">
        <v>81</v>
      </c>
      <c r="U889" s="4" t="s">
        <v>112</v>
      </c>
      <c r="V889" s="4">
        <v>99</v>
      </c>
      <c r="W889" s="85">
        <v>46193</v>
      </c>
      <c r="X889" s="4" t="s">
        <v>3698</v>
      </c>
      <c r="Y889" s="4">
        <v>529513282</v>
      </c>
      <c r="Z889" s="4" t="s">
        <v>2116</v>
      </c>
      <c r="AA889" s="4" t="s">
        <v>85</v>
      </c>
      <c r="AB889" s="4" t="s">
        <v>4289</v>
      </c>
    </row>
    <row r="890" spans="1:28">
      <c r="A890" s="4">
        <v>889</v>
      </c>
      <c r="B890" s="5">
        <v>11557136</v>
      </c>
      <c r="C890" s="5">
        <v>104033275</v>
      </c>
      <c r="D890" s="115" t="s">
        <v>441</v>
      </c>
      <c r="E890" s="4" t="s">
        <v>442</v>
      </c>
      <c r="F890" s="7" t="s">
        <v>74</v>
      </c>
      <c r="G890" s="7" t="s">
        <v>94</v>
      </c>
      <c r="H890" s="7" t="s">
        <v>89</v>
      </c>
      <c r="I890" s="6" t="s">
        <v>119</v>
      </c>
      <c r="J890" s="7" t="s">
        <v>5</v>
      </c>
      <c r="K890" s="4" t="s">
        <v>10</v>
      </c>
      <c r="L890" s="4" t="s">
        <v>21</v>
      </c>
      <c r="M890" s="4" t="s">
        <v>3321</v>
      </c>
      <c r="N890" s="4" t="s">
        <v>2583</v>
      </c>
      <c r="O890" s="89"/>
      <c r="P890" s="25">
        <v>44067</v>
      </c>
      <c r="Q890" s="7" t="s">
        <v>351</v>
      </c>
      <c r="R890" s="90" t="s">
        <v>3258</v>
      </c>
      <c r="S890" s="6" t="s">
        <v>1795</v>
      </c>
      <c r="T890" s="4" t="s">
        <v>81</v>
      </c>
      <c r="U890" s="4" t="s">
        <v>107</v>
      </c>
      <c r="V890" s="4">
        <v>1</v>
      </c>
      <c r="W890" s="85"/>
      <c r="X890" s="4" t="s">
        <v>3739</v>
      </c>
      <c r="Y890" s="4">
        <v>0</v>
      </c>
      <c r="Z890" s="4" t="e">
        <v>#N/A</v>
      </c>
      <c r="AA890" s="4" t="s">
        <v>2269</v>
      </c>
      <c r="AB890" s="4" t="s">
        <v>4289</v>
      </c>
    </row>
    <row r="891" spans="1:28">
      <c r="A891" s="4">
        <v>890</v>
      </c>
      <c r="B891" s="5">
        <v>12848899</v>
      </c>
      <c r="C891" s="5">
        <v>204864410</v>
      </c>
      <c r="D891" s="115" t="s">
        <v>2284</v>
      </c>
      <c r="E891" s="4" t="s">
        <v>2285</v>
      </c>
      <c r="F891" s="7" t="s">
        <v>74</v>
      </c>
      <c r="G891" s="7" t="s">
        <v>94</v>
      </c>
      <c r="H891" s="7" t="s">
        <v>89</v>
      </c>
      <c r="I891" s="6" t="s">
        <v>1790</v>
      </c>
      <c r="J891" s="7" t="s">
        <v>5</v>
      </c>
      <c r="K891" s="4" t="s">
        <v>10</v>
      </c>
      <c r="L891" s="4" t="s">
        <v>22</v>
      </c>
      <c r="M891" s="4" t="s">
        <v>3321</v>
      </c>
      <c r="N891" s="4" t="s">
        <v>2584</v>
      </c>
      <c r="O891" s="89"/>
      <c r="P891" s="25">
        <v>45685</v>
      </c>
      <c r="Q891" s="7" t="s">
        <v>1112</v>
      </c>
      <c r="R891" s="90" t="s">
        <v>3261</v>
      </c>
      <c r="S891" s="6" t="s">
        <v>1795</v>
      </c>
      <c r="T891" s="4" t="s">
        <v>81</v>
      </c>
      <c r="U891" s="4" t="s">
        <v>107</v>
      </c>
      <c r="V891" s="4">
        <v>99</v>
      </c>
      <c r="W891" s="85">
        <v>45741</v>
      </c>
      <c r="X891" s="4" t="s">
        <v>1216</v>
      </c>
      <c r="Y891" s="4"/>
      <c r="Z891" s="4"/>
      <c r="AA891" s="4" t="s">
        <v>95</v>
      </c>
      <c r="AB891" s="4" t="s">
        <v>4289</v>
      </c>
    </row>
    <row r="892" spans="1:28" ht="14.5" customHeight="1">
      <c r="A892" s="4">
        <v>891</v>
      </c>
      <c r="B892" s="106">
        <v>20842</v>
      </c>
      <c r="C892" s="106">
        <v>203908896</v>
      </c>
      <c r="D892" s="5" t="s">
        <v>1140</v>
      </c>
      <c r="E892" s="115" t="s">
        <v>2489</v>
      </c>
      <c r="F892" s="7" t="s">
        <v>82</v>
      </c>
      <c r="G892" s="7" t="s">
        <v>76</v>
      </c>
      <c r="H892" s="7" t="s">
        <v>88</v>
      </c>
      <c r="I892" s="6" t="s">
        <v>1790</v>
      </c>
      <c r="J892" s="7" t="s">
        <v>5</v>
      </c>
      <c r="K892" s="4" t="s">
        <v>10</v>
      </c>
      <c r="L892" s="4" t="s">
        <v>22</v>
      </c>
      <c r="M892" s="4" t="s">
        <v>3615</v>
      </c>
      <c r="N892" s="4" t="s">
        <v>2584</v>
      </c>
      <c r="O892" s="25"/>
      <c r="P892" s="25">
        <v>45789</v>
      </c>
      <c r="Q892" s="7" t="s">
        <v>1112</v>
      </c>
      <c r="R892" s="6" t="s">
        <v>3256</v>
      </c>
      <c r="S892" s="6" t="s">
        <v>1795</v>
      </c>
      <c r="T892" s="6" t="s">
        <v>81</v>
      </c>
      <c r="U892" s="6" t="s">
        <v>349</v>
      </c>
      <c r="V892" s="4">
        <v>99</v>
      </c>
      <c r="W892" s="6">
        <v>45831</v>
      </c>
      <c r="X892" s="6" t="s">
        <v>1216</v>
      </c>
      <c r="Y892" s="4">
        <v>502283980</v>
      </c>
      <c r="Z892" s="6" t="s">
        <v>4350</v>
      </c>
      <c r="AA892" s="6" t="s">
        <v>95</v>
      </c>
      <c r="AB892" s="4">
        <v>0</v>
      </c>
    </row>
    <row r="893" spans="1:28">
      <c r="A893" s="4">
        <v>892</v>
      </c>
      <c r="B893" s="5">
        <v>11441179</v>
      </c>
      <c r="C893" s="5">
        <v>103900839</v>
      </c>
      <c r="D893" s="115" t="s">
        <v>447</v>
      </c>
      <c r="E893" s="4" t="s">
        <v>448</v>
      </c>
      <c r="F893" s="7" t="s">
        <v>82</v>
      </c>
      <c r="G893" s="7" t="s">
        <v>90</v>
      </c>
      <c r="H893" s="7" t="s">
        <v>87</v>
      </c>
      <c r="I893" s="6" t="s">
        <v>119</v>
      </c>
      <c r="J893" s="7" t="s">
        <v>5</v>
      </c>
      <c r="K893" s="4" t="s">
        <v>10</v>
      </c>
      <c r="L893" s="4" t="s">
        <v>21</v>
      </c>
      <c r="M893" s="4" t="s">
        <v>2741</v>
      </c>
      <c r="N893" s="4" t="s">
        <v>2583</v>
      </c>
      <c r="O893" s="89"/>
      <c r="P893" s="25">
        <v>44831</v>
      </c>
      <c r="Q893" s="7" t="s">
        <v>1112</v>
      </c>
      <c r="R893" s="90" t="s">
        <v>3258</v>
      </c>
      <c r="S893" s="6" t="s">
        <v>1795</v>
      </c>
      <c r="T893" s="4" t="s">
        <v>81</v>
      </c>
      <c r="U893" s="4" t="s">
        <v>3263</v>
      </c>
      <c r="V893" s="4">
        <v>1</v>
      </c>
      <c r="W893" s="85"/>
      <c r="X893" s="4" t="s">
        <v>3739</v>
      </c>
      <c r="Y893" s="4">
        <v>0</v>
      </c>
      <c r="Z893" s="4" t="e">
        <v>#N/A</v>
      </c>
      <c r="AA893" s="4" t="s">
        <v>1196</v>
      </c>
      <c r="AB893" s="4" t="s">
        <v>4289</v>
      </c>
    </row>
    <row r="894" spans="1:28">
      <c r="A894" s="4">
        <v>893</v>
      </c>
      <c r="B894" s="5">
        <v>14547207</v>
      </c>
      <c r="C894" s="5">
        <v>204882814</v>
      </c>
      <c r="D894" s="115" t="s">
        <v>2347</v>
      </c>
      <c r="E894" s="4" t="s">
        <v>2348</v>
      </c>
      <c r="F894" s="7" t="s">
        <v>82</v>
      </c>
      <c r="G894" s="7" t="s">
        <v>90</v>
      </c>
      <c r="H894" s="7" t="s">
        <v>87</v>
      </c>
      <c r="I894" s="6" t="s">
        <v>1790</v>
      </c>
      <c r="J894" s="7" t="s">
        <v>5</v>
      </c>
      <c r="K894" s="4" t="s">
        <v>10</v>
      </c>
      <c r="L894" s="4" t="s">
        <v>22</v>
      </c>
      <c r="M894" s="4" t="s">
        <v>390</v>
      </c>
      <c r="N894" s="4" t="s">
        <v>2584</v>
      </c>
      <c r="O894" s="89"/>
      <c r="P894" s="25">
        <v>45691</v>
      </c>
      <c r="Q894" s="7" t="s">
        <v>1112</v>
      </c>
      <c r="R894" s="90" t="s">
        <v>3254</v>
      </c>
      <c r="S894" s="6" t="s">
        <v>1795</v>
      </c>
      <c r="T894" s="4" t="s">
        <v>81</v>
      </c>
      <c r="U894" s="4" t="s">
        <v>112</v>
      </c>
      <c r="V894" s="4">
        <v>99</v>
      </c>
      <c r="W894" s="85">
        <v>45747</v>
      </c>
      <c r="X894" s="4" t="s">
        <v>1216</v>
      </c>
      <c r="Y894" s="4">
        <v>530254034</v>
      </c>
      <c r="Z894" s="4" t="s">
        <v>2408</v>
      </c>
      <c r="AA894" s="4" t="s">
        <v>85</v>
      </c>
      <c r="AB894" s="4" t="s">
        <v>4289</v>
      </c>
    </row>
    <row r="895" spans="1:28">
      <c r="A895" s="4">
        <v>894</v>
      </c>
      <c r="B895" s="5">
        <v>12809775</v>
      </c>
      <c r="C895" s="5">
        <v>203737012</v>
      </c>
      <c r="D895" s="115" t="s">
        <v>281</v>
      </c>
      <c r="E895" s="4" t="s">
        <v>282</v>
      </c>
      <c r="F895" s="7" t="s">
        <v>74</v>
      </c>
      <c r="G895" s="7" t="s">
        <v>90</v>
      </c>
      <c r="H895" s="7" t="s">
        <v>87</v>
      </c>
      <c r="I895" s="6" t="s">
        <v>1788</v>
      </c>
      <c r="J895" s="7" t="s">
        <v>5</v>
      </c>
      <c r="K895" s="4" t="s">
        <v>10</v>
      </c>
      <c r="L895" s="4" t="s">
        <v>24</v>
      </c>
      <c r="M895" s="4" t="s">
        <v>3321</v>
      </c>
      <c r="N895" s="4" t="s">
        <v>2584</v>
      </c>
      <c r="O895" s="89"/>
      <c r="P895" s="25">
        <v>45502</v>
      </c>
      <c r="Q895" s="7" t="s">
        <v>1112</v>
      </c>
      <c r="R895" s="90" t="s">
        <v>2586</v>
      </c>
      <c r="S895" s="6" t="s">
        <v>1795</v>
      </c>
      <c r="T895" s="4" t="s">
        <v>81</v>
      </c>
      <c r="U895" s="4" t="s">
        <v>107</v>
      </c>
      <c r="V895" s="4">
        <v>99</v>
      </c>
      <c r="W895" s="85">
        <v>46232</v>
      </c>
      <c r="X895" s="4" t="s">
        <v>3694</v>
      </c>
      <c r="Y895" s="4">
        <v>555090946</v>
      </c>
      <c r="Z895" s="4" t="s">
        <v>2117</v>
      </c>
      <c r="AA895" s="4" t="s">
        <v>85</v>
      </c>
      <c r="AB895" s="4" t="s">
        <v>4289</v>
      </c>
    </row>
    <row r="896" spans="1:28">
      <c r="A896" s="4">
        <v>895</v>
      </c>
      <c r="B896" s="5">
        <v>15051</v>
      </c>
      <c r="C896" s="5">
        <v>106301305</v>
      </c>
      <c r="D896" s="115" t="s">
        <v>443</v>
      </c>
      <c r="E896" s="4" t="s">
        <v>444</v>
      </c>
      <c r="F896" s="7" t="s">
        <v>82</v>
      </c>
      <c r="G896" s="7" t="s">
        <v>76</v>
      </c>
      <c r="H896" s="7" t="s">
        <v>88</v>
      </c>
      <c r="I896" s="6" t="s">
        <v>119</v>
      </c>
      <c r="J896" s="7" t="s">
        <v>5</v>
      </c>
      <c r="K896" s="4" t="s">
        <v>10</v>
      </c>
      <c r="L896" s="4" t="s">
        <v>21</v>
      </c>
      <c r="M896" s="4" t="s">
        <v>3321</v>
      </c>
      <c r="N896" s="4" t="s">
        <v>2583</v>
      </c>
      <c r="O896" s="89"/>
      <c r="P896" s="25">
        <v>44839</v>
      </c>
      <c r="Q896" s="7" t="s">
        <v>1112</v>
      </c>
      <c r="R896" s="90" t="s">
        <v>2586</v>
      </c>
      <c r="S896" s="6" t="s">
        <v>1795</v>
      </c>
      <c r="T896" s="4" t="s">
        <v>92</v>
      </c>
      <c r="U896" s="4" t="s">
        <v>132</v>
      </c>
      <c r="V896" s="4">
        <v>1</v>
      </c>
      <c r="W896" s="85"/>
      <c r="X896" s="4" t="s">
        <v>3688</v>
      </c>
      <c r="Y896" s="4">
        <v>0</v>
      </c>
      <c r="Z896" s="4" t="e">
        <v>#N/A</v>
      </c>
      <c r="AA896" s="4" t="s">
        <v>2269</v>
      </c>
      <c r="AB896" s="4" t="s">
        <v>4289</v>
      </c>
    </row>
    <row r="897" spans="1:28">
      <c r="A897" s="4">
        <v>896</v>
      </c>
      <c r="B897" s="5">
        <v>14774842</v>
      </c>
      <c r="C897" s="5">
        <v>203993521</v>
      </c>
      <c r="D897" s="115" t="s">
        <v>1343</v>
      </c>
      <c r="E897" s="4" t="s">
        <v>1344</v>
      </c>
      <c r="F897" s="7" t="s">
        <v>82</v>
      </c>
      <c r="G897" s="7" t="s">
        <v>88</v>
      </c>
      <c r="H897" s="7" t="s">
        <v>94</v>
      </c>
      <c r="I897" s="6" t="s">
        <v>1790</v>
      </c>
      <c r="J897" s="7" t="s">
        <v>5</v>
      </c>
      <c r="K897" s="4" t="s">
        <v>10</v>
      </c>
      <c r="L897" s="4" t="s">
        <v>22</v>
      </c>
      <c r="M897" s="4" t="s">
        <v>390</v>
      </c>
      <c r="N897" s="4" t="s">
        <v>2584</v>
      </c>
      <c r="O897" s="89"/>
      <c r="P897" s="25">
        <v>45547</v>
      </c>
      <c r="Q897" s="7" t="s">
        <v>1112</v>
      </c>
      <c r="R897" s="90" t="s">
        <v>2586</v>
      </c>
      <c r="S897" s="6" t="s">
        <v>1795</v>
      </c>
      <c r="T897" s="4" t="s">
        <v>81</v>
      </c>
      <c r="U897" s="4" t="s">
        <v>349</v>
      </c>
      <c r="V897" s="4">
        <v>99</v>
      </c>
      <c r="W897" s="85">
        <v>45603</v>
      </c>
      <c r="X897" s="4" t="s">
        <v>1216</v>
      </c>
      <c r="Y897" s="4">
        <v>553401793</v>
      </c>
      <c r="Z897" s="4" t="s">
        <v>2118</v>
      </c>
      <c r="AA897" s="4" t="s">
        <v>95</v>
      </c>
      <c r="AB897" s="4" t="s">
        <v>4290</v>
      </c>
    </row>
    <row r="898" spans="1:28">
      <c r="A898" s="4">
        <v>897</v>
      </c>
      <c r="B898" s="5">
        <v>14131632</v>
      </c>
      <c r="C898" s="5">
        <v>206239216</v>
      </c>
      <c r="D898" s="115" t="s">
        <v>3113</v>
      </c>
      <c r="E898" s="4" t="s">
        <v>3057</v>
      </c>
      <c r="F898" s="7" t="s">
        <v>74</v>
      </c>
      <c r="G898" s="7" t="s">
        <v>75</v>
      </c>
      <c r="H898" s="7" t="s">
        <v>76</v>
      </c>
      <c r="I898" s="6" t="s">
        <v>1788</v>
      </c>
      <c r="J898" s="7" t="s">
        <v>5</v>
      </c>
      <c r="K898" s="4" t="s">
        <v>10</v>
      </c>
      <c r="L898" s="4" t="s">
        <v>24</v>
      </c>
      <c r="M898" s="4" t="s">
        <v>2741</v>
      </c>
      <c r="N898" s="4" t="s">
        <v>2584</v>
      </c>
      <c r="O898" s="89"/>
      <c r="P898" s="25">
        <v>45943</v>
      </c>
      <c r="Q898" s="7" t="s">
        <v>1192</v>
      </c>
      <c r="R898" s="90" t="s">
        <v>3256</v>
      </c>
      <c r="S898" s="6" t="s">
        <v>3012</v>
      </c>
      <c r="T898" s="4" t="s">
        <v>92</v>
      </c>
      <c r="U898" s="4" t="s">
        <v>349</v>
      </c>
      <c r="V898" s="4">
        <v>99</v>
      </c>
      <c r="W898" s="85" t="s">
        <v>3072</v>
      </c>
      <c r="X898" s="4" t="s">
        <v>3690</v>
      </c>
      <c r="Y898" s="4">
        <v>582963719</v>
      </c>
      <c r="Z898" s="4" t="s">
        <v>3084</v>
      </c>
      <c r="AA898" s="4" t="s">
        <v>2273</v>
      </c>
      <c r="AB898" s="4" t="s">
        <v>4289</v>
      </c>
    </row>
    <row r="899" spans="1:28">
      <c r="A899" s="4">
        <v>898</v>
      </c>
      <c r="B899" s="5">
        <v>11995631</v>
      </c>
      <c r="C899" s="5">
        <v>206074988</v>
      </c>
      <c r="D899" s="115" t="s">
        <v>2879</v>
      </c>
      <c r="E899" s="4" t="s">
        <v>2900</v>
      </c>
      <c r="F899" s="7" t="s">
        <v>82</v>
      </c>
      <c r="G899" s="7" t="s">
        <v>88</v>
      </c>
      <c r="H899" s="7" t="s">
        <v>94</v>
      </c>
      <c r="I899" s="6" t="s">
        <v>1788</v>
      </c>
      <c r="J899" s="7" t="s">
        <v>5</v>
      </c>
      <c r="K899" s="4" t="s">
        <v>10</v>
      </c>
      <c r="L899" s="4" t="s">
        <v>24</v>
      </c>
      <c r="M899" s="4" t="s">
        <v>374</v>
      </c>
      <c r="N899" s="4" t="s">
        <v>2584</v>
      </c>
      <c r="O899" s="89"/>
      <c r="P899" s="25">
        <v>45922</v>
      </c>
      <c r="Q899" s="7" t="s">
        <v>1112</v>
      </c>
      <c r="R899" s="90" t="s">
        <v>3258</v>
      </c>
      <c r="S899" s="6" t="s">
        <v>1795</v>
      </c>
      <c r="T899" s="4" t="s">
        <v>81</v>
      </c>
      <c r="U899" s="4" t="s">
        <v>112</v>
      </c>
      <c r="V899" s="4">
        <v>99</v>
      </c>
      <c r="W899" s="85">
        <v>45983</v>
      </c>
      <c r="X899" s="4" t="s">
        <v>1197</v>
      </c>
      <c r="Y899" s="4"/>
      <c r="Z899" s="4"/>
      <c r="AA899" s="4" t="s">
        <v>85</v>
      </c>
      <c r="AB899" s="4" t="s">
        <v>4289</v>
      </c>
    </row>
    <row r="900" spans="1:28" ht="14.5" customHeight="1">
      <c r="A900" s="4">
        <v>899</v>
      </c>
      <c r="B900" s="5">
        <v>324658</v>
      </c>
      <c r="C900" s="5">
        <v>205275634</v>
      </c>
      <c r="D900" s="116" t="s">
        <v>4069</v>
      </c>
      <c r="E900" s="4" t="s">
        <v>4095</v>
      </c>
      <c r="F900" s="7" t="s">
        <v>74</v>
      </c>
      <c r="G900" s="7" t="s">
        <v>76</v>
      </c>
      <c r="H900" s="7" t="s">
        <v>88</v>
      </c>
      <c r="I900" s="7" t="s">
        <v>1789</v>
      </c>
      <c r="J900" s="7" t="s">
        <v>5</v>
      </c>
      <c r="K900" s="4" t="s">
        <v>10</v>
      </c>
      <c r="L900" s="4" t="s">
        <v>23</v>
      </c>
      <c r="M900" s="4" t="s">
        <v>4361</v>
      </c>
      <c r="N900" s="4" t="s">
        <v>2584</v>
      </c>
      <c r="O900" s="89"/>
      <c r="P900" s="25">
        <v>46048</v>
      </c>
      <c r="Q900" s="7" t="s">
        <v>1112</v>
      </c>
      <c r="R900" s="4" t="s">
        <v>3260</v>
      </c>
      <c r="S900" s="7" t="s">
        <v>1795</v>
      </c>
      <c r="T900" s="4" t="s">
        <v>81</v>
      </c>
      <c r="U900" s="4"/>
      <c r="V900" s="4">
        <v>99</v>
      </c>
      <c r="W900" s="85">
        <v>46104</v>
      </c>
      <c r="X900" s="4"/>
      <c r="Y900" s="4"/>
      <c r="Z900" s="4"/>
      <c r="AA900" s="4"/>
      <c r="AB900" s="4" t="e">
        <v>#N/A</v>
      </c>
    </row>
    <row r="901" spans="1:28">
      <c r="A901" s="4">
        <v>900</v>
      </c>
      <c r="B901" s="5">
        <v>187992</v>
      </c>
      <c r="C901" s="5">
        <v>203342033</v>
      </c>
      <c r="D901" s="115" t="s">
        <v>401</v>
      </c>
      <c r="E901" s="4" t="s">
        <v>402</v>
      </c>
      <c r="F901" s="7" t="s">
        <v>74</v>
      </c>
      <c r="G901" s="7" t="s">
        <v>94</v>
      </c>
      <c r="H901" s="7" t="s">
        <v>89</v>
      </c>
      <c r="I901" s="6" t="s">
        <v>1790</v>
      </c>
      <c r="J901" s="7" t="s">
        <v>5</v>
      </c>
      <c r="K901" s="4" t="s">
        <v>10</v>
      </c>
      <c r="L901" s="4" t="s">
        <v>20</v>
      </c>
      <c r="M901" s="4" t="s">
        <v>3321</v>
      </c>
      <c r="N901" s="4" t="s">
        <v>2584</v>
      </c>
      <c r="O901" s="89"/>
      <c r="P901" s="25">
        <v>45432</v>
      </c>
      <c r="Q901" s="7" t="s">
        <v>351</v>
      </c>
      <c r="R901" s="90" t="s">
        <v>3262</v>
      </c>
      <c r="S901" s="6" t="s">
        <v>1795</v>
      </c>
      <c r="T901" s="4" t="s">
        <v>81</v>
      </c>
      <c r="U901" s="4" t="s">
        <v>103</v>
      </c>
      <c r="V901" s="4">
        <v>99</v>
      </c>
      <c r="W901" s="85">
        <v>46162</v>
      </c>
      <c r="X901" s="4" t="s">
        <v>3690</v>
      </c>
      <c r="Y901" s="4">
        <v>522298256</v>
      </c>
      <c r="Z901" s="4" t="s">
        <v>2119</v>
      </c>
      <c r="AA901" s="4" t="s">
        <v>1196</v>
      </c>
      <c r="AB901" s="4" t="s">
        <v>4289</v>
      </c>
    </row>
    <row r="902" spans="1:28" ht="14.5" customHeight="1">
      <c r="A902" s="4">
        <v>901</v>
      </c>
      <c r="B902" s="5">
        <v>11816382</v>
      </c>
      <c r="C902" s="5">
        <v>206897646</v>
      </c>
      <c r="D902" s="115" t="s">
        <v>3627</v>
      </c>
      <c r="E902" s="4" t="s">
        <v>3648</v>
      </c>
      <c r="F902" s="7" t="s">
        <v>82</v>
      </c>
      <c r="G902" s="7" t="s">
        <v>88</v>
      </c>
      <c r="H902" s="7" t="s">
        <v>94</v>
      </c>
      <c r="I902" s="7" t="s">
        <v>1788</v>
      </c>
      <c r="J902" s="6" t="s">
        <v>5</v>
      </c>
      <c r="K902" s="6" t="s">
        <v>10</v>
      </c>
      <c r="L902" s="4" t="s">
        <v>24</v>
      </c>
      <c r="M902" s="4" t="s">
        <v>4314</v>
      </c>
      <c r="N902" s="4" t="s">
        <v>2584</v>
      </c>
      <c r="O902" s="89"/>
      <c r="P902" s="25">
        <v>46030</v>
      </c>
      <c r="Q902" s="7" t="s">
        <v>1112</v>
      </c>
      <c r="R902" s="4" t="s">
        <v>3260</v>
      </c>
      <c r="S902" s="6" t="s">
        <v>1795</v>
      </c>
      <c r="T902" s="4" t="s">
        <v>81</v>
      </c>
      <c r="U902" s="4"/>
      <c r="V902" s="4">
        <v>99</v>
      </c>
      <c r="W902" s="85">
        <v>46395</v>
      </c>
      <c r="X902" s="4" t="s">
        <v>3703</v>
      </c>
      <c r="Y902" s="4">
        <v>547860497</v>
      </c>
      <c r="Z902" s="4" t="s">
        <v>3670</v>
      </c>
      <c r="AA902" s="4"/>
      <c r="AB902" s="4" t="e">
        <v>#N/A</v>
      </c>
    </row>
    <row r="903" spans="1:28" ht="14.5" customHeight="1">
      <c r="A903" s="4">
        <v>902</v>
      </c>
      <c r="B903" s="5">
        <v>13540732</v>
      </c>
      <c r="C903" s="5">
        <v>203468750</v>
      </c>
      <c r="D903" s="115" t="s">
        <v>505</v>
      </c>
      <c r="E903" s="4" t="s">
        <v>506</v>
      </c>
      <c r="F903" s="7" t="s">
        <v>74</v>
      </c>
      <c r="G903" s="7" t="s">
        <v>87</v>
      </c>
      <c r="H903" s="7" t="s">
        <v>75</v>
      </c>
      <c r="I903" s="6" t="s">
        <v>1788</v>
      </c>
      <c r="J903" s="7" t="s">
        <v>5</v>
      </c>
      <c r="K903" s="4" t="s">
        <v>10</v>
      </c>
      <c r="L903" s="4" t="s">
        <v>24</v>
      </c>
      <c r="M903" s="4" t="s">
        <v>3321</v>
      </c>
      <c r="N903" s="4" t="s">
        <v>2583</v>
      </c>
      <c r="O903" s="89"/>
      <c r="P903" s="25">
        <v>45456</v>
      </c>
      <c r="Q903" s="7" t="s">
        <v>351</v>
      </c>
      <c r="R903" s="90" t="s">
        <v>3252</v>
      </c>
      <c r="S903" s="6" t="s">
        <v>1795</v>
      </c>
      <c r="T903" s="4" t="s">
        <v>81</v>
      </c>
      <c r="U903" s="4" t="s">
        <v>107</v>
      </c>
      <c r="V903" s="4">
        <v>99</v>
      </c>
      <c r="W903" s="85">
        <v>45821</v>
      </c>
      <c r="X903" s="4" t="s">
        <v>3739</v>
      </c>
      <c r="Y903" s="4">
        <v>555319750</v>
      </c>
      <c r="Z903" s="4" t="s">
        <v>2120</v>
      </c>
      <c r="AA903" s="4" t="s">
        <v>1196</v>
      </c>
      <c r="AB903" s="4" t="s">
        <v>4289</v>
      </c>
    </row>
    <row r="904" spans="1:28">
      <c r="A904" s="4">
        <v>903</v>
      </c>
      <c r="B904" s="96">
        <v>12562702</v>
      </c>
      <c r="C904" s="96">
        <v>204138118</v>
      </c>
      <c r="D904" s="117" t="s">
        <v>1555</v>
      </c>
      <c r="E904" s="97" t="s">
        <v>1556</v>
      </c>
      <c r="F904" s="7" t="s">
        <v>74</v>
      </c>
      <c r="G904" s="7" t="s">
        <v>87</v>
      </c>
      <c r="H904" s="7" t="s">
        <v>75</v>
      </c>
      <c r="I904" s="6" t="s">
        <v>1790</v>
      </c>
      <c r="J904" s="99" t="s">
        <v>5</v>
      </c>
      <c r="K904" s="97" t="s">
        <v>10</v>
      </c>
      <c r="L904" s="97" t="s">
        <v>27</v>
      </c>
      <c r="M904" s="97" t="s">
        <v>3321</v>
      </c>
      <c r="N904" s="97" t="s">
        <v>2584</v>
      </c>
      <c r="O904" s="89"/>
      <c r="P904" s="25">
        <v>45565</v>
      </c>
      <c r="Q904" s="7" t="s">
        <v>351</v>
      </c>
      <c r="R904" s="105" t="s">
        <v>3260</v>
      </c>
      <c r="S904" s="98" t="s">
        <v>1795</v>
      </c>
      <c r="T904" s="97" t="s">
        <v>92</v>
      </c>
      <c r="U904" s="97" t="s">
        <v>103</v>
      </c>
      <c r="V904" s="97">
        <v>99</v>
      </c>
      <c r="W904" s="107">
        <v>46295</v>
      </c>
      <c r="X904" s="97" t="s">
        <v>3703</v>
      </c>
      <c r="Y904" s="97">
        <v>553503697</v>
      </c>
      <c r="Z904" s="97" t="s">
        <v>1572</v>
      </c>
      <c r="AA904" s="97" t="s">
        <v>85</v>
      </c>
      <c r="AB904" s="97" t="s">
        <v>4289</v>
      </c>
    </row>
    <row r="905" spans="1:28">
      <c r="A905" s="4">
        <v>904</v>
      </c>
      <c r="B905" s="106">
        <v>14658573</v>
      </c>
      <c r="C905" s="5">
        <v>205861620</v>
      </c>
      <c r="D905" s="115" t="s">
        <v>4085</v>
      </c>
      <c r="E905" s="4" t="s">
        <v>4110</v>
      </c>
      <c r="F905" s="7" t="s">
        <v>74</v>
      </c>
      <c r="G905" s="7" t="s">
        <v>75</v>
      </c>
      <c r="H905" s="7" t="s">
        <v>76</v>
      </c>
      <c r="I905" s="7" t="s">
        <v>1789</v>
      </c>
      <c r="J905" s="7" t="s">
        <v>5</v>
      </c>
      <c r="K905" s="4" t="s">
        <v>10</v>
      </c>
      <c r="L905" s="4" t="s">
        <v>23</v>
      </c>
      <c r="M905" s="4" t="s">
        <v>390</v>
      </c>
      <c r="N905" s="4" t="s">
        <v>2584</v>
      </c>
      <c r="O905" s="89"/>
      <c r="P905" s="25">
        <v>46048</v>
      </c>
      <c r="Q905" s="7" t="s">
        <v>1112</v>
      </c>
      <c r="R905" s="7" t="s">
        <v>3257</v>
      </c>
      <c r="S905" s="7" t="s">
        <v>1795</v>
      </c>
      <c r="T905" s="4" t="s">
        <v>81</v>
      </c>
      <c r="U905" s="4"/>
      <c r="V905" s="97">
        <v>99</v>
      </c>
      <c r="W905" s="85">
        <v>46104</v>
      </c>
      <c r="X905" s="4"/>
      <c r="Y905" s="4"/>
      <c r="Z905" s="4"/>
      <c r="AA905" s="4"/>
      <c r="AB905" s="4" t="e">
        <v>#N/A</v>
      </c>
    </row>
    <row r="906" spans="1:28">
      <c r="A906" s="4">
        <v>905</v>
      </c>
      <c r="B906" s="5">
        <v>13142012</v>
      </c>
      <c r="C906" s="5">
        <v>203468753</v>
      </c>
      <c r="D906" s="115" t="s">
        <v>507</v>
      </c>
      <c r="E906" s="4" t="s">
        <v>508</v>
      </c>
      <c r="F906" s="7" t="s">
        <v>74</v>
      </c>
      <c r="G906" s="7" t="s">
        <v>76</v>
      </c>
      <c r="H906" s="7" t="s">
        <v>88</v>
      </c>
      <c r="I906" s="6" t="s">
        <v>1788</v>
      </c>
      <c r="J906" s="7" t="s">
        <v>5</v>
      </c>
      <c r="K906" s="4" t="s">
        <v>10</v>
      </c>
      <c r="L906" s="4" t="s">
        <v>24</v>
      </c>
      <c r="M906" s="4" t="s">
        <v>4314</v>
      </c>
      <c r="N906" s="4" t="s">
        <v>2584</v>
      </c>
      <c r="O906" s="89"/>
      <c r="P906" s="25">
        <v>45456</v>
      </c>
      <c r="Q906" s="7" t="s">
        <v>351</v>
      </c>
      <c r="R906" s="90" t="s">
        <v>3257</v>
      </c>
      <c r="S906" s="6" t="s">
        <v>1795</v>
      </c>
      <c r="T906" s="4" t="s">
        <v>92</v>
      </c>
      <c r="U906" s="4" t="s">
        <v>349</v>
      </c>
      <c r="V906" s="97">
        <v>99</v>
      </c>
      <c r="W906" s="85">
        <v>45821</v>
      </c>
      <c r="X906" s="4" t="s">
        <v>3703</v>
      </c>
      <c r="Y906" s="4">
        <v>544835601</v>
      </c>
      <c r="Z906" s="4" t="s">
        <v>2121</v>
      </c>
      <c r="AA906" s="4" t="s">
        <v>85</v>
      </c>
      <c r="AB906" s="4" t="s">
        <v>4289</v>
      </c>
    </row>
    <row r="907" spans="1:28">
      <c r="A907" s="4">
        <v>906</v>
      </c>
      <c r="B907" s="5">
        <v>13544155</v>
      </c>
      <c r="C907" s="5">
        <v>203851105</v>
      </c>
      <c r="D907" s="115" t="s">
        <v>800</v>
      </c>
      <c r="E907" s="4" t="s">
        <v>801</v>
      </c>
      <c r="F907" s="7" t="s">
        <v>82</v>
      </c>
      <c r="G907" s="7" t="s">
        <v>76</v>
      </c>
      <c r="H907" s="7" t="s">
        <v>88</v>
      </c>
      <c r="I907" s="6" t="s">
        <v>1788</v>
      </c>
      <c r="J907" s="7" t="s">
        <v>5</v>
      </c>
      <c r="K907" s="4" t="s">
        <v>10</v>
      </c>
      <c r="L907" s="4" t="s">
        <v>24</v>
      </c>
      <c r="M907" s="4" t="s">
        <v>374</v>
      </c>
      <c r="N907" s="4" t="s">
        <v>2584</v>
      </c>
      <c r="O907" s="89"/>
      <c r="P907" s="25">
        <v>45524</v>
      </c>
      <c r="Q907" s="7" t="s">
        <v>351</v>
      </c>
      <c r="R907" s="90" t="s">
        <v>3262</v>
      </c>
      <c r="S907" s="6" t="s">
        <v>1795</v>
      </c>
      <c r="T907" s="4" t="s">
        <v>92</v>
      </c>
      <c r="U907" s="4" t="s">
        <v>112</v>
      </c>
      <c r="V907" s="97">
        <v>99</v>
      </c>
      <c r="W907" s="85">
        <v>45889</v>
      </c>
      <c r="X907" s="4" t="s">
        <v>3698</v>
      </c>
      <c r="Y907" s="4">
        <v>567982863</v>
      </c>
      <c r="Z907" s="4" t="s">
        <v>2122</v>
      </c>
      <c r="AA907" s="4" t="s">
        <v>1198</v>
      </c>
      <c r="AB907" s="4" t="s">
        <v>4289</v>
      </c>
    </row>
    <row r="908" spans="1:28">
      <c r="A908" s="4">
        <v>907</v>
      </c>
      <c r="B908" s="5">
        <v>13261866</v>
      </c>
      <c r="C908" s="5">
        <v>204072311</v>
      </c>
      <c r="D908" s="115" t="s">
        <v>1468</v>
      </c>
      <c r="E908" s="4" t="s">
        <v>1445</v>
      </c>
      <c r="F908" s="7" t="s">
        <v>82</v>
      </c>
      <c r="G908" s="7" t="s">
        <v>89</v>
      </c>
      <c r="H908" s="7" t="s">
        <v>90</v>
      </c>
      <c r="I908" s="6" t="s">
        <v>1790</v>
      </c>
      <c r="J908" s="7" t="s">
        <v>5</v>
      </c>
      <c r="K908" s="4" t="s">
        <v>10</v>
      </c>
      <c r="L908" s="4" t="s">
        <v>22</v>
      </c>
      <c r="M908" s="4" t="s">
        <v>374</v>
      </c>
      <c r="N908" s="4" t="s">
        <v>2584</v>
      </c>
      <c r="O908" s="89"/>
      <c r="P908" s="25">
        <v>45558</v>
      </c>
      <c r="Q908" s="7" t="s">
        <v>1112</v>
      </c>
      <c r="R908" s="90" t="s">
        <v>3252</v>
      </c>
      <c r="S908" s="6" t="s">
        <v>1795</v>
      </c>
      <c r="T908" s="4" t="s">
        <v>81</v>
      </c>
      <c r="U908" s="4" t="s">
        <v>107</v>
      </c>
      <c r="V908" s="97">
        <v>99</v>
      </c>
      <c r="W908" s="85">
        <v>45614</v>
      </c>
      <c r="X908" s="4" t="s">
        <v>1216</v>
      </c>
      <c r="Y908" s="4">
        <v>504834367</v>
      </c>
      <c r="Z908" s="4" t="s">
        <v>1459</v>
      </c>
      <c r="AA908" s="4" t="s">
        <v>95</v>
      </c>
      <c r="AB908" s="4" t="s">
        <v>4289</v>
      </c>
    </row>
    <row r="909" spans="1:28">
      <c r="A909" s="4">
        <v>908</v>
      </c>
      <c r="B909" s="5">
        <v>224198</v>
      </c>
      <c r="C909" s="5">
        <v>205853578</v>
      </c>
      <c r="D909" s="115" t="s">
        <v>2706</v>
      </c>
      <c r="E909" s="4" t="s">
        <v>2707</v>
      </c>
      <c r="F909" s="7" t="s">
        <v>82</v>
      </c>
      <c r="G909" s="7" t="s">
        <v>87</v>
      </c>
      <c r="H909" s="7" t="s">
        <v>75</v>
      </c>
      <c r="I909" s="7" t="s">
        <v>1789</v>
      </c>
      <c r="J909" s="7" t="s">
        <v>5</v>
      </c>
      <c r="K909" s="4" t="s">
        <v>10</v>
      </c>
      <c r="L909" s="4" t="s">
        <v>23</v>
      </c>
      <c r="M909" s="4" t="s">
        <v>4314</v>
      </c>
      <c r="N909" s="4"/>
      <c r="O909" s="89"/>
      <c r="P909" s="25">
        <v>45894</v>
      </c>
      <c r="Q909" s="7" t="s">
        <v>1112</v>
      </c>
      <c r="R909" s="90" t="s">
        <v>3258</v>
      </c>
      <c r="S909" s="6" t="s">
        <v>1795</v>
      </c>
      <c r="T909" s="4" t="s">
        <v>92</v>
      </c>
      <c r="U909" s="4" t="s">
        <v>349</v>
      </c>
      <c r="V909" s="97">
        <v>99</v>
      </c>
      <c r="W909" s="85">
        <v>45949</v>
      </c>
      <c r="X909" s="4" t="s">
        <v>3527</v>
      </c>
      <c r="Y909" s="4">
        <v>254707362656</v>
      </c>
      <c r="Z909" s="4" t="s">
        <v>2778</v>
      </c>
      <c r="AA909" s="4" t="s">
        <v>1204</v>
      </c>
      <c r="AB909" s="4" t="s">
        <v>4289</v>
      </c>
    </row>
    <row r="910" spans="1:28">
      <c r="A910" s="4">
        <v>909</v>
      </c>
      <c r="B910" s="5">
        <v>13095598</v>
      </c>
      <c r="C910" s="5">
        <v>204117684</v>
      </c>
      <c r="D910" s="115" t="s">
        <v>1499</v>
      </c>
      <c r="E910" s="4" t="s">
        <v>1500</v>
      </c>
      <c r="F910" s="7" t="s">
        <v>74</v>
      </c>
      <c r="G910" s="7" t="s">
        <v>90</v>
      </c>
      <c r="H910" s="7" t="s">
        <v>87</v>
      </c>
      <c r="I910" s="6" t="s">
        <v>1790</v>
      </c>
      <c r="J910" s="7" t="s">
        <v>5</v>
      </c>
      <c r="K910" s="4" t="s">
        <v>10</v>
      </c>
      <c r="L910" s="4" t="s">
        <v>27</v>
      </c>
      <c r="M910" s="4" t="s">
        <v>390</v>
      </c>
      <c r="N910" s="4" t="s">
        <v>2584</v>
      </c>
      <c r="O910" s="89"/>
      <c r="P910" s="25">
        <v>45561</v>
      </c>
      <c r="Q910" s="7" t="s">
        <v>1112</v>
      </c>
      <c r="R910" s="90" t="s">
        <v>3254</v>
      </c>
      <c r="S910" s="6" t="s">
        <v>1795</v>
      </c>
      <c r="T910" s="4" t="s">
        <v>92</v>
      </c>
      <c r="U910" s="4" t="s">
        <v>112</v>
      </c>
      <c r="V910" s="97">
        <v>99</v>
      </c>
      <c r="W910" s="85">
        <v>46291</v>
      </c>
      <c r="X910" s="4" t="s">
        <v>3690</v>
      </c>
      <c r="Y910" s="4">
        <v>589272264</v>
      </c>
      <c r="Z910" s="4" t="s">
        <v>2123</v>
      </c>
      <c r="AA910" s="4" t="s">
        <v>1198</v>
      </c>
      <c r="AB910" s="4" t="s">
        <v>4289</v>
      </c>
    </row>
    <row r="911" spans="1:28">
      <c r="A911" s="4">
        <v>910</v>
      </c>
      <c r="B911" s="5">
        <v>11458203</v>
      </c>
      <c r="C911" s="5">
        <v>203881696</v>
      </c>
      <c r="D911" s="115" t="s">
        <v>1074</v>
      </c>
      <c r="E911" s="4" t="s">
        <v>1075</v>
      </c>
      <c r="F911" s="7" t="s">
        <v>82</v>
      </c>
      <c r="G911" s="7" t="s">
        <v>89</v>
      </c>
      <c r="H911" s="7" t="s">
        <v>90</v>
      </c>
      <c r="I911" s="6" t="s">
        <v>1788</v>
      </c>
      <c r="J911" s="7" t="s">
        <v>5</v>
      </c>
      <c r="K911" s="4" t="s">
        <v>10</v>
      </c>
      <c r="L911" s="4" t="s">
        <v>24</v>
      </c>
      <c r="M911" s="4" t="s">
        <v>3321</v>
      </c>
      <c r="N911" s="4" t="s">
        <v>2584</v>
      </c>
      <c r="O911" s="89"/>
      <c r="P911" s="25">
        <v>45530</v>
      </c>
      <c r="Q911" s="7" t="s">
        <v>351</v>
      </c>
      <c r="R911" s="90" t="s">
        <v>3264</v>
      </c>
      <c r="S911" s="6" t="s">
        <v>1795</v>
      </c>
      <c r="T911" s="4" t="s">
        <v>92</v>
      </c>
      <c r="U911" s="4" t="s">
        <v>107</v>
      </c>
      <c r="V911" s="97">
        <v>99</v>
      </c>
      <c r="W911" s="85">
        <v>45895</v>
      </c>
      <c r="X911" s="4" t="s">
        <v>3694</v>
      </c>
      <c r="Y911" s="4">
        <v>525942158</v>
      </c>
      <c r="Z911" s="4" t="s">
        <v>2412</v>
      </c>
      <c r="AA911" s="4" t="s">
        <v>85</v>
      </c>
      <c r="AB911" s="4" t="s">
        <v>4289</v>
      </c>
    </row>
    <row r="912" spans="1:28">
      <c r="A912" s="4">
        <v>911</v>
      </c>
      <c r="B912" s="5">
        <v>14434989</v>
      </c>
      <c r="C912" s="5">
        <v>206200000</v>
      </c>
      <c r="D912" s="115" t="s">
        <v>3006</v>
      </c>
      <c r="E912" s="4" t="s">
        <v>3007</v>
      </c>
      <c r="F912" s="7" t="s">
        <v>74</v>
      </c>
      <c r="G912" s="7" t="s">
        <v>87</v>
      </c>
      <c r="H912" s="7" t="s">
        <v>75</v>
      </c>
      <c r="I912" s="7" t="s">
        <v>1788</v>
      </c>
      <c r="J912" s="7" t="s">
        <v>5</v>
      </c>
      <c r="K912" s="4" t="s">
        <v>10</v>
      </c>
      <c r="L912" s="4" t="s">
        <v>24</v>
      </c>
      <c r="M912" s="4" t="s">
        <v>2741</v>
      </c>
      <c r="N912" s="4" t="s">
        <v>2584</v>
      </c>
      <c r="O912" s="89"/>
      <c r="P912" s="25">
        <v>45936</v>
      </c>
      <c r="Q912" s="7" t="s">
        <v>1112</v>
      </c>
      <c r="R912" s="4" t="s">
        <v>3261</v>
      </c>
      <c r="S912" s="6" t="s">
        <v>3012</v>
      </c>
      <c r="T912" s="4" t="s">
        <v>81</v>
      </c>
      <c r="U912" s="4" t="s">
        <v>349</v>
      </c>
      <c r="V912" s="97">
        <v>99</v>
      </c>
      <c r="W912" s="85">
        <v>45996</v>
      </c>
      <c r="X912" s="4" t="s">
        <v>3703</v>
      </c>
      <c r="Y912" s="4">
        <v>588763557</v>
      </c>
      <c r="Z912" s="4" t="s">
        <v>3044</v>
      </c>
      <c r="AA912" s="4" t="s">
        <v>2273</v>
      </c>
      <c r="AB912" s="4" t="s">
        <v>4289</v>
      </c>
    </row>
    <row r="913" spans="1:28">
      <c r="A913" s="4">
        <v>912</v>
      </c>
      <c r="B913" s="5">
        <v>11990708</v>
      </c>
      <c r="C913" s="5">
        <v>204138115</v>
      </c>
      <c r="D913" s="115" t="s">
        <v>1588</v>
      </c>
      <c r="E913" s="4" t="s">
        <v>1554</v>
      </c>
      <c r="F913" s="7" t="s">
        <v>74</v>
      </c>
      <c r="G913" s="7" t="s">
        <v>94</v>
      </c>
      <c r="H913" s="7" t="s">
        <v>89</v>
      </c>
      <c r="I913" s="6" t="s">
        <v>1790</v>
      </c>
      <c r="J913" s="7" t="s">
        <v>5</v>
      </c>
      <c r="K913" s="4" t="s">
        <v>10</v>
      </c>
      <c r="L913" s="4" t="s">
        <v>27</v>
      </c>
      <c r="M913" s="4" t="s">
        <v>4361</v>
      </c>
      <c r="N913" s="4" t="s">
        <v>2584</v>
      </c>
      <c r="O913" s="89"/>
      <c r="P913" s="25">
        <v>45565</v>
      </c>
      <c r="Q913" s="7" t="s">
        <v>1112</v>
      </c>
      <c r="R913" s="90" t="s">
        <v>3255</v>
      </c>
      <c r="S913" s="6" t="s">
        <v>1795</v>
      </c>
      <c r="T913" s="4" t="s">
        <v>92</v>
      </c>
      <c r="U913" s="4" t="s">
        <v>103</v>
      </c>
      <c r="V913" s="97">
        <v>99</v>
      </c>
      <c r="W913" s="85">
        <v>46295</v>
      </c>
      <c r="X913" s="4" t="s">
        <v>3690</v>
      </c>
      <c r="Y913" s="4">
        <v>581381139</v>
      </c>
      <c r="Z913" s="4" t="s">
        <v>1571</v>
      </c>
      <c r="AA913" s="4" t="s">
        <v>1198</v>
      </c>
      <c r="AB913" s="4" t="s">
        <v>4289</v>
      </c>
    </row>
    <row r="914" spans="1:28">
      <c r="A914" s="4">
        <v>913</v>
      </c>
      <c r="B914" s="5">
        <v>11231168</v>
      </c>
      <c r="C914" s="5">
        <v>204967052</v>
      </c>
      <c r="D914" s="115" t="s">
        <v>2458</v>
      </c>
      <c r="E914" s="4" t="s">
        <v>2459</v>
      </c>
      <c r="F914" s="7" t="s">
        <v>82</v>
      </c>
      <c r="G914" s="7" t="s">
        <v>90</v>
      </c>
      <c r="H914" s="7" t="s">
        <v>87</v>
      </c>
      <c r="I914" s="6" t="s">
        <v>1790</v>
      </c>
      <c r="J914" s="7" t="s">
        <v>5</v>
      </c>
      <c r="K914" s="4" t="s">
        <v>10</v>
      </c>
      <c r="L914" s="4" t="s">
        <v>22</v>
      </c>
      <c r="M914" s="4" t="s">
        <v>3321</v>
      </c>
      <c r="N914" s="4" t="s">
        <v>2584</v>
      </c>
      <c r="O914" s="89"/>
      <c r="P914" s="25">
        <v>45719</v>
      </c>
      <c r="Q914" s="7" t="s">
        <v>1112</v>
      </c>
      <c r="R914" s="90" t="s">
        <v>3262</v>
      </c>
      <c r="S914" s="6" t="s">
        <v>1795</v>
      </c>
      <c r="T914" s="4" t="s">
        <v>81</v>
      </c>
      <c r="U914" s="4" t="s">
        <v>349</v>
      </c>
      <c r="V914" s="97">
        <v>99</v>
      </c>
      <c r="W914" s="85">
        <v>45775</v>
      </c>
      <c r="X914" s="4" t="s">
        <v>1216</v>
      </c>
      <c r="Y914" s="4">
        <v>502831922</v>
      </c>
      <c r="Z914" s="4" t="s">
        <v>2476</v>
      </c>
      <c r="AA914" s="4" t="s">
        <v>85</v>
      </c>
      <c r="AB914" s="4" t="s">
        <v>4290</v>
      </c>
    </row>
    <row r="915" spans="1:28">
      <c r="A915" s="4">
        <v>914</v>
      </c>
      <c r="B915" s="5">
        <v>11959963</v>
      </c>
      <c r="C915" s="5">
        <v>103020246</v>
      </c>
      <c r="D915" s="115" t="s">
        <v>454</v>
      </c>
      <c r="E915" s="4" t="s">
        <v>455</v>
      </c>
      <c r="F915" s="7" t="s">
        <v>74</v>
      </c>
      <c r="G915" s="7" t="s">
        <v>94</v>
      </c>
      <c r="H915" s="7" t="s">
        <v>89</v>
      </c>
      <c r="I915" s="6" t="s">
        <v>119</v>
      </c>
      <c r="J915" s="7" t="s">
        <v>5</v>
      </c>
      <c r="K915" s="4" t="s">
        <v>10</v>
      </c>
      <c r="L915" s="4" t="s">
        <v>21</v>
      </c>
      <c r="M915" s="4" t="s">
        <v>374</v>
      </c>
      <c r="N915" s="4" t="s">
        <v>2583</v>
      </c>
      <c r="O915" s="89"/>
      <c r="P915" s="25">
        <v>43058</v>
      </c>
      <c r="Q915" s="7" t="s">
        <v>351</v>
      </c>
      <c r="R915" s="90" t="s">
        <v>3260</v>
      </c>
      <c r="S915" s="6" t="s">
        <v>1795</v>
      </c>
      <c r="T915" s="4" t="s">
        <v>81</v>
      </c>
      <c r="U915" s="4" t="s">
        <v>103</v>
      </c>
      <c r="V915" s="97">
        <v>1</v>
      </c>
      <c r="W915" s="85"/>
      <c r="X915" s="4" t="s">
        <v>3739</v>
      </c>
      <c r="Y915" s="4">
        <v>0</v>
      </c>
      <c r="Z915" s="4" t="e">
        <v>#N/A</v>
      </c>
      <c r="AA915" s="4" t="s">
        <v>2269</v>
      </c>
      <c r="AB915" s="4" t="s">
        <v>4289</v>
      </c>
    </row>
    <row r="916" spans="1:28">
      <c r="A916" s="4">
        <v>915</v>
      </c>
      <c r="B916" s="5">
        <v>13672209</v>
      </c>
      <c r="C916" s="5">
        <v>110492547</v>
      </c>
      <c r="D916" s="115" t="s">
        <v>445</v>
      </c>
      <c r="E916" s="4" t="s">
        <v>446</v>
      </c>
      <c r="F916" s="7" t="s">
        <v>74</v>
      </c>
      <c r="G916" s="7" t="s">
        <v>89</v>
      </c>
      <c r="H916" s="7" t="s">
        <v>90</v>
      </c>
      <c r="I916" s="6" t="s">
        <v>119</v>
      </c>
      <c r="J916" s="7" t="s">
        <v>5</v>
      </c>
      <c r="K916" s="4" t="s">
        <v>10</v>
      </c>
      <c r="L916" s="4" t="s">
        <v>21</v>
      </c>
      <c r="M916" s="4" t="s">
        <v>3321</v>
      </c>
      <c r="N916" s="4" t="s">
        <v>2584</v>
      </c>
      <c r="O916" s="89"/>
      <c r="P916" s="25">
        <v>44757</v>
      </c>
      <c r="Q916" s="7" t="s">
        <v>1112</v>
      </c>
      <c r="R916" s="90" t="s">
        <v>3255</v>
      </c>
      <c r="S916" s="6" t="s">
        <v>1795</v>
      </c>
      <c r="T916" s="4" t="s">
        <v>81</v>
      </c>
      <c r="U916" s="4" t="s">
        <v>103</v>
      </c>
      <c r="V916" s="97">
        <v>1</v>
      </c>
      <c r="W916" s="85"/>
      <c r="X916" s="4" t="s">
        <v>3690</v>
      </c>
      <c r="Y916" s="4">
        <v>0</v>
      </c>
      <c r="Z916" s="4" t="e">
        <v>#N/A</v>
      </c>
      <c r="AA916" s="4" t="s">
        <v>85</v>
      </c>
      <c r="AB916" s="4" t="s">
        <v>4289</v>
      </c>
    </row>
    <row r="917" spans="1:28">
      <c r="A917" s="4">
        <v>916</v>
      </c>
      <c r="B917" s="5">
        <v>12481976</v>
      </c>
      <c r="C917" s="5">
        <v>203512951</v>
      </c>
      <c r="D917" s="115" t="s">
        <v>523</v>
      </c>
      <c r="E917" s="4" t="s">
        <v>524</v>
      </c>
      <c r="F917" s="7" t="s">
        <v>74</v>
      </c>
      <c r="G917" s="7" t="s">
        <v>88</v>
      </c>
      <c r="H917" s="7" t="s">
        <v>94</v>
      </c>
      <c r="I917" s="6" t="s">
        <v>1788</v>
      </c>
      <c r="J917" s="7" t="s">
        <v>5</v>
      </c>
      <c r="K917" s="4" t="s">
        <v>10</v>
      </c>
      <c r="L917" s="4" t="s">
        <v>24</v>
      </c>
      <c r="M917" s="4" t="s">
        <v>4361</v>
      </c>
      <c r="N917" s="4" t="s">
        <v>2584</v>
      </c>
      <c r="O917" s="89"/>
      <c r="P917" s="25">
        <v>45463</v>
      </c>
      <c r="Q917" s="7" t="s">
        <v>1112</v>
      </c>
      <c r="R917" s="90" t="s">
        <v>3257</v>
      </c>
      <c r="S917" s="6" t="s">
        <v>1795</v>
      </c>
      <c r="T917" s="4" t="s">
        <v>81</v>
      </c>
      <c r="U917" s="4" t="s">
        <v>349</v>
      </c>
      <c r="V917" s="97">
        <v>99</v>
      </c>
      <c r="W917" s="85">
        <v>45828</v>
      </c>
      <c r="X917" s="4" t="s">
        <v>3474</v>
      </c>
      <c r="Y917" s="4">
        <v>551085141</v>
      </c>
      <c r="Z917" s="4" t="s">
        <v>2124</v>
      </c>
      <c r="AA917" s="4" t="s">
        <v>1207</v>
      </c>
      <c r="AB917" s="4" t="s">
        <v>4289</v>
      </c>
    </row>
    <row r="918" spans="1:28">
      <c r="A918" s="4">
        <v>917</v>
      </c>
      <c r="B918" s="5">
        <v>12902744</v>
      </c>
      <c r="C918" s="5">
        <v>113167122</v>
      </c>
      <c r="D918" s="115" t="s">
        <v>1685</v>
      </c>
      <c r="E918" s="4" t="s">
        <v>1686</v>
      </c>
      <c r="F918" s="7" t="s">
        <v>82</v>
      </c>
      <c r="G918" s="7" t="s">
        <v>90</v>
      </c>
      <c r="H918" s="7" t="s">
        <v>87</v>
      </c>
      <c r="I918" s="6" t="s">
        <v>1790</v>
      </c>
      <c r="J918" s="7" t="s">
        <v>5</v>
      </c>
      <c r="K918" s="4" t="s">
        <v>10</v>
      </c>
      <c r="L918" s="4" t="s">
        <v>27</v>
      </c>
      <c r="M918" s="4" t="s">
        <v>4314</v>
      </c>
      <c r="N918" s="4" t="s">
        <v>2584</v>
      </c>
      <c r="O918" s="89"/>
      <c r="P918" s="25">
        <v>45586</v>
      </c>
      <c r="Q918" s="7" t="s">
        <v>1192</v>
      </c>
      <c r="R918" s="90" t="s">
        <v>3252</v>
      </c>
      <c r="S918" s="6" t="s">
        <v>1795</v>
      </c>
      <c r="T918" s="4" t="s">
        <v>92</v>
      </c>
      <c r="U918" s="4" t="s">
        <v>107</v>
      </c>
      <c r="V918" s="97">
        <v>99</v>
      </c>
      <c r="W918" s="85">
        <v>46316</v>
      </c>
      <c r="X918" s="4" t="s">
        <v>3688</v>
      </c>
      <c r="Y918" s="4">
        <v>581575695</v>
      </c>
      <c r="Z918" s="4">
        <v>0</v>
      </c>
      <c r="AA918" s="4" t="s">
        <v>85</v>
      </c>
      <c r="AB918" s="4" t="s">
        <v>4289</v>
      </c>
    </row>
    <row r="919" spans="1:28">
      <c r="A919" s="4">
        <v>918</v>
      </c>
      <c r="B919" s="5">
        <v>12132637</v>
      </c>
      <c r="C919" s="5">
        <v>203908895</v>
      </c>
      <c r="D919" s="115" t="s">
        <v>1138</v>
      </c>
      <c r="E919" s="4" t="s">
        <v>1139</v>
      </c>
      <c r="F919" s="7" t="s">
        <v>82</v>
      </c>
      <c r="G919" s="7" t="s">
        <v>87</v>
      </c>
      <c r="H919" s="7" t="s">
        <v>75</v>
      </c>
      <c r="I919" s="7" t="s">
        <v>1789</v>
      </c>
      <c r="J919" s="7" t="s">
        <v>5</v>
      </c>
      <c r="K919" s="4" t="s">
        <v>10</v>
      </c>
      <c r="L919" s="4" t="s">
        <v>22</v>
      </c>
      <c r="M919" s="4" t="s">
        <v>374</v>
      </c>
      <c r="N919" s="4" t="s">
        <v>2584</v>
      </c>
      <c r="O919" s="89"/>
      <c r="P919" s="25">
        <v>45537</v>
      </c>
      <c r="Q919" s="7" t="s">
        <v>1112</v>
      </c>
      <c r="R919" s="90" t="s">
        <v>3254</v>
      </c>
      <c r="S919" s="6" t="s">
        <v>1795</v>
      </c>
      <c r="T919" s="4" t="s">
        <v>81</v>
      </c>
      <c r="U919" s="4" t="s">
        <v>349</v>
      </c>
      <c r="V919" s="97">
        <v>99</v>
      </c>
      <c r="W919" s="85">
        <v>45593</v>
      </c>
      <c r="X919" s="4" t="s">
        <v>1216</v>
      </c>
      <c r="Y919" s="4">
        <v>554612796</v>
      </c>
      <c r="Z919" s="4" t="s">
        <v>2125</v>
      </c>
      <c r="AA919" s="4" t="s">
        <v>95</v>
      </c>
      <c r="AB919" s="4" t="s">
        <v>4289</v>
      </c>
    </row>
    <row r="920" spans="1:28">
      <c r="A920" s="4">
        <v>919</v>
      </c>
      <c r="B920" s="5">
        <v>163973</v>
      </c>
      <c r="C920" s="5">
        <v>206250609</v>
      </c>
      <c r="D920" s="115" t="s">
        <v>3114</v>
      </c>
      <c r="E920" s="4" t="s">
        <v>3058</v>
      </c>
      <c r="F920" s="7" t="s">
        <v>74</v>
      </c>
      <c r="G920" s="7" t="s">
        <v>88</v>
      </c>
      <c r="H920" s="7" t="s">
        <v>94</v>
      </c>
      <c r="I920" s="6" t="s">
        <v>1788</v>
      </c>
      <c r="J920" s="7" t="s">
        <v>5</v>
      </c>
      <c r="K920" s="4" t="s">
        <v>10</v>
      </c>
      <c r="L920" s="4" t="s">
        <v>24</v>
      </c>
      <c r="M920" s="4" t="s">
        <v>2741</v>
      </c>
      <c r="N920" s="4" t="s">
        <v>2584</v>
      </c>
      <c r="O920" s="89"/>
      <c r="P920" s="25">
        <v>45943</v>
      </c>
      <c r="Q920" s="7" t="s">
        <v>1192</v>
      </c>
      <c r="R920" s="4" t="s">
        <v>3258</v>
      </c>
      <c r="S920" s="6" t="s">
        <v>3012</v>
      </c>
      <c r="T920" s="4" t="s">
        <v>92</v>
      </c>
      <c r="U920" s="4" t="s">
        <v>107</v>
      </c>
      <c r="V920" s="97">
        <v>99</v>
      </c>
      <c r="W920" s="85" t="s">
        <v>3072</v>
      </c>
      <c r="X920" s="4" t="s">
        <v>3739</v>
      </c>
      <c r="Y920" s="4">
        <v>556992376</v>
      </c>
      <c r="Z920" s="4" t="s">
        <v>3085</v>
      </c>
      <c r="AA920" s="4" t="s">
        <v>3016</v>
      </c>
      <c r="AB920" s="4" t="s">
        <v>4289</v>
      </c>
    </row>
    <row r="921" spans="1:28">
      <c r="A921" s="4">
        <v>920</v>
      </c>
      <c r="B921" s="5">
        <v>11636674</v>
      </c>
      <c r="C921" s="5">
        <v>203851001</v>
      </c>
      <c r="D921" s="115" t="s">
        <v>1251</v>
      </c>
      <c r="E921" s="4" t="s">
        <v>1252</v>
      </c>
      <c r="F921" s="7" t="s">
        <v>74</v>
      </c>
      <c r="G921" s="7" t="s">
        <v>88</v>
      </c>
      <c r="H921" s="7" t="s">
        <v>94</v>
      </c>
      <c r="I921" s="6" t="s">
        <v>1788</v>
      </c>
      <c r="J921" s="7" t="s">
        <v>5</v>
      </c>
      <c r="K921" s="4" t="s">
        <v>10</v>
      </c>
      <c r="L921" s="4" t="s">
        <v>24</v>
      </c>
      <c r="M921" s="4" t="s">
        <v>4361</v>
      </c>
      <c r="N921" s="4" t="s">
        <v>2584</v>
      </c>
      <c r="O921" s="89"/>
      <c r="P921" s="25">
        <v>45544</v>
      </c>
      <c r="Q921" s="7" t="s">
        <v>1112</v>
      </c>
      <c r="R921" s="90" t="s">
        <v>3258</v>
      </c>
      <c r="S921" s="6" t="s">
        <v>1795</v>
      </c>
      <c r="T921" s="4" t="s">
        <v>92</v>
      </c>
      <c r="U921" s="4" t="s">
        <v>103</v>
      </c>
      <c r="V921" s="97">
        <v>99</v>
      </c>
      <c r="W921" s="85">
        <v>45909</v>
      </c>
      <c r="X921" s="4" t="s">
        <v>3703</v>
      </c>
      <c r="Y921" s="4">
        <v>586116059</v>
      </c>
      <c r="Z921" s="4" t="s">
        <v>2126</v>
      </c>
      <c r="AA921" s="4" t="s">
        <v>85</v>
      </c>
      <c r="AB921" s="4" t="s">
        <v>4289</v>
      </c>
    </row>
    <row r="922" spans="1:28">
      <c r="A922" s="4">
        <v>921</v>
      </c>
      <c r="B922" s="5">
        <v>11156098</v>
      </c>
      <c r="C922" s="5">
        <v>206604501</v>
      </c>
      <c r="D922" s="115" t="s">
        <v>4073</v>
      </c>
      <c r="E922" s="4" t="s">
        <v>4099</v>
      </c>
      <c r="F922" s="7" t="s">
        <v>82</v>
      </c>
      <c r="G922" s="7" t="s">
        <v>89</v>
      </c>
      <c r="H922" s="7" t="s">
        <v>90</v>
      </c>
      <c r="I922" s="7" t="s">
        <v>1789</v>
      </c>
      <c r="J922" s="7" t="s">
        <v>5</v>
      </c>
      <c r="K922" s="4" t="s">
        <v>10</v>
      </c>
      <c r="L922" s="4" t="s">
        <v>23</v>
      </c>
      <c r="M922" s="7" t="s">
        <v>2741</v>
      </c>
      <c r="N922" s="4" t="s">
        <v>2584</v>
      </c>
      <c r="O922" s="89"/>
      <c r="P922" s="25">
        <v>46048</v>
      </c>
      <c r="Q922" s="7" t="s">
        <v>1112</v>
      </c>
      <c r="R922" s="4" t="s">
        <v>3255</v>
      </c>
      <c r="S922" s="7" t="s">
        <v>1795</v>
      </c>
      <c r="T922" s="4" t="s">
        <v>81</v>
      </c>
      <c r="U922" s="4"/>
      <c r="V922" s="97">
        <v>99</v>
      </c>
      <c r="W922" s="85">
        <v>46104</v>
      </c>
      <c r="X922" s="4"/>
      <c r="Y922" s="4"/>
      <c r="Z922" s="4"/>
      <c r="AA922" s="4"/>
      <c r="AB922" s="4" t="e">
        <v>#N/A</v>
      </c>
    </row>
    <row r="923" spans="1:28" ht="14.5" customHeight="1">
      <c r="A923" s="4">
        <v>922</v>
      </c>
      <c r="B923" s="5">
        <v>247881</v>
      </c>
      <c r="C923" s="5">
        <v>205853581</v>
      </c>
      <c r="D923" s="115" t="s">
        <v>2708</v>
      </c>
      <c r="E923" s="4" t="s">
        <v>2709</v>
      </c>
      <c r="F923" s="7" t="s">
        <v>82</v>
      </c>
      <c r="G923" s="7" t="s">
        <v>87</v>
      </c>
      <c r="H923" s="7" t="s">
        <v>75</v>
      </c>
      <c r="I923" s="7" t="s">
        <v>1788</v>
      </c>
      <c r="J923" s="7" t="s">
        <v>5</v>
      </c>
      <c r="K923" s="4" t="s">
        <v>10</v>
      </c>
      <c r="L923" s="4" t="s">
        <v>23</v>
      </c>
      <c r="M923" s="4" t="s">
        <v>4314</v>
      </c>
      <c r="N923" s="4"/>
      <c r="O923" s="89"/>
      <c r="P923" s="25">
        <v>45894</v>
      </c>
      <c r="Q923" s="7" t="s">
        <v>1112</v>
      </c>
      <c r="R923" s="90" t="s">
        <v>3255</v>
      </c>
      <c r="S923" s="6" t="s">
        <v>1795</v>
      </c>
      <c r="T923" s="4" t="s">
        <v>92</v>
      </c>
      <c r="U923" s="4" t="s">
        <v>349</v>
      </c>
      <c r="V923" s="97">
        <v>99</v>
      </c>
      <c r="W923" s="85">
        <v>45949</v>
      </c>
      <c r="X923" s="4" t="s">
        <v>3527</v>
      </c>
      <c r="Y923" s="4">
        <v>524209750</v>
      </c>
      <c r="Z923" s="4" t="s">
        <v>2779</v>
      </c>
      <c r="AA923" s="4" t="s">
        <v>1204</v>
      </c>
      <c r="AB923" s="4" t="s">
        <v>4289</v>
      </c>
    </row>
    <row r="924" spans="1:28">
      <c r="A924" s="4">
        <v>923</v>
      </c>
      <c r="B924" s="5">
        <v>11727081</v>
      </c>
      <c r="C924" s="5">
        <v>206889907</v>
      </c>
      <c r="D924" s="115" t="s">
        <v>3592</v>
      </c>
      <c r="E924" s="4" t="s">
        <v>3538</v>
      </c>
      <c r="F924" s="7" t="s">
        <v>82</v>
      </c>
      <c r="G924" s="7" t="s">
        <v>88</v>
      </c>
      <c r="H924" s="7" t="s">
        <v>94</v>
      </c>
      <c r="I924" s="7" t="s">
        <v>1789</v>
      </c>
      <c r="J924" s="7" t="s">
        <v>5</v>
      </c>
      <c r="K924" s="4" t="s">
        <v>10</v>
      </c>
      <c r="L924" s="4" t="s">
        <v>23</v>
      </c>
      <c r="M924" s="4" t="s">
        <v>390</v>
      </c>
      <c r="N924" s="4" t="s">
        <v>2584</v>
      </c>
      <c r="O924" s="89"/>
      <c r="P924" s="25">
        <v>46027</v>
      </c>
      <c r="Q924" s="7" t="s">
        <v>1112</v>
      </c>
      <c r="R924" s="4" t="s">
        <v>3264</v>
      </c>
      <c r="S924" s="4" t="s">
        <v>1795</v>
      </c>
      <c r="T924" s="4" t="s">
        <v>92</v>
      </c>
      <c r="U924" s="4"/>
      <c r="V924" s="97">
        <v>99</v>
      </c>
      <c r="W924" s="85">
        <v>46024</v>
      </c>
      <c r="X924" s="95" t="s">
        <v>3553</v>
      </c>
      <c r="Y924" s="4" t="s">
        <v>3563</v>
      </c>
      <c r="Z924" s="4" t="s">
        <v>3580</v>
      </c>
      <c r="AA924" s="4" t="s">
        <v>1204</v>
      </c>
      <c r="AB924" s="4" t="e">
        <v>#N/A</v>
      </c>
    </row>
    <row r="925" spans="1:28">
      <c r="A925" s="4">
        <v>924</v>
      </c>
      <c r="B925" s="5">
        <v>14793943</v>
      </c>
      <c r="C925" s="5">
        <v>204138496</v>
      </c>
      <c r="D925" s="115" t="s">
        <v>1580</v>
      </c>
      <c r="E925" s="4" t="s">
        <v>1546</v>
      </c>
      <c r="F925" s="7" t="s">
        <v>82</v>
      </c>
      <c r="G925" s="7" t="s">
        <v>76</v>
      </c>
      <c r="H925" s="7" t="s">
        <v>88</v>
      </c>
      <c r="I925" s="6" t="s">
        <v>1788</v>
      </c>
      <c r="J925" s="7" t="s">
        <v>5</v>
      </c>
      <c r="K925" s="4" t="s">
        <v>10</v>
      </c>
      <c r="L925" s="4" t="s">
        <v>24</v>
      </c>
      <c r="M925" s="4" t="s">
        <v>390</v>
      </c>
      <c r="N925" s="4" t="s">
        <v>2584</v>
      </c>
      <c r="O925" s="89"/>
      <c r="P925" s="25">
        <v>45565</v>
      </c>
      <c r="Q925" s="7" t="s">
        <v>1112</v>
      </c>
      <c r="R925" s="90" t="s">
        <v>3262</v>
      </c>
      <c r="S925" s="6" t="s">
        <v>1795</v>
      </c>
      <c r="T925" s="4" t="s">
        <v>92</v>
      </c>
      <c r="U925" s="4" t="s">
        <v>107</v>
      </c>
      <c r="V925" s="97">
        <v>99</v>
      </c>
      <c r="W925" s="85">
        <v>46295</v>
      </c>
      <c r="X925" s="4" t="s">
        <v>3694</v>
      </c>
      <c r="Y925" s="4">
        <v>502600956</v>
      </c>
      <c r="Z925" s="4" t="s">
        <v>1563</v>
      </c>
      <c r="AA925" s="4" t="s">
        <v>1203</v>
      </c>
      <c r="AB925" s="4" t="s">
        <v>4289</v>
      </c>
    </row>
    <row r="926" spans="1:28">
      <c r="A926" s="4">
        <v>925</v>
      </c>
      <c r="B926" s="106">
        <v>13724130</v>
      </c>
      <c r="C926" s="5">
        <v>205133783</v>
      </c>
      <c r="D926" s="115" t="s">
        <v>4094</v>
      </c>
      <c r="E926" s="4" t="s">
        <v>4119</v>
      </c>
      <c r="F926" s="7" t="s">
        <v>74</v>
      </c>
      <c r="G926" s="7" t="s">
        <v>89</v>
      </c>
      <c r="H926" s="7" t="s">
        <v>90</v>
      </c>
      <c r="I926" s="7" t="s">
        <v>1789</v>
      </c>
      <c r="J926" s="7" t="s">
        <v>5</v>
      </c>
      <c r="K926" s="4" t="s">
        <v>10</v>
      </c>
      <c r="L926" s="4" t="s">
        <v>23</v>
      </c>
      <c r="M926" s="7" t="s">
        <v>2741</v>
      </c>
      <c r="N926" s="4" t="s">
        <v>2584</v>
      </c>
      <c r="O926" s="89"/>
      <c r="P926" s="25">
        <v>46048</v>
      </c>
      <c r="Q926" s="7" t="s">
        <v>1112</v>
      </c>
      <c r="R926" s="90" t="s">
        <v>3254</v>
      </c>
      <c r="S926" s="7" t="s">
        <v>1795</v>
      </c>
      <c r="T926" s="4" t="s">
        <v>81</v>
      </c>
      <c r="U926" s="4"/>
      <c r="V926" s="97">
        <v>99</v>
      </c>
      <c r="W926" s="85">
        <v>46104</v>
      </c>
      <c r="X926" s="4"/>
      <c r="Y926" s="4"/>
      <c r="Z926" s="4"/>
      <c r="AA926" s="4"/>
      <c r="AB926" s="4" t="e">
        <v>#N/A</v>
      </c>
    </row>
    <row r="927" spans="1:28" ht="14.5" customHeight="1">
      <c r="A927" s="4">
        <v>926</v>
      </c>
      <c r="B927" s="5">
        <v>14170379</v>
      </c>
      <c r="C927" s="5">
        <v>203879776</v>
      </c>
      <c r="D927" s="115" t="s">
        <v>1455</v>
      </c>
      <c r="E927" s="4" t="s">
        <v>1454</v>
      </c>
      <c r="F927" s="7" t="s">
        <v>74</v>
      </c>
      <c r="G927" s="7" t="s">
        <v>88</v>
      </c>
      <c r="H927" s="7" t="s">
        <v>94</v>
      </c>
      <c r="I927" s="6" t="s">
        <v>1790</v>
      </c>
      <c r="J927" s="7" t="s">
        <v>5</v>
      </c>
      <c r="K927" s="4" t="s">
        <v>10</v>
      </c>
      <c r="L927" s="4" t="s">
        <v>20</v>
      </c>
      <c r="M927" s="4" t="s">
        <v>3321</v>
      </c>
      <c r="N927" s="4" t="s">
        <v>2583</v>
      </c>
      <c r="O927" s="89"/>
      <c r="P927" s="25">
        <v>45558</v>
      </c>
      <c r="Q927" s="7" t="s">
        <v>1192</v>
      </c>
      <c r="R927" s="90" t="s">
        <v>3260</v>
      </c>
      <c r="S927" s="6" t="s">
        <v>1795</v>
      </c>
      <c r="T927" s="4" t="s">
        <v>81</v>
      </c>
      <c r="U927" s="4" t="s">
        <v>107</v>
      </c>
      <c r="V927" s="97">
        <v>99</v>
      </c>
      <c r="W927" s="85">
        <v>46288</v>
      </c>
      <c r="X927" s="4" t="s">
        <v>1215</v>
      </c>
      <c r="Y927" s="4">
        <v>581778336</v>
      </c>
      <c r="Z927" s="4" t="s">
        <v>1462</v>
      </c>
      <c r="AA927" s="4" t="s">
        <v>1194</v>
      </c>
      <c r="AB927" s="4" t="s">
        <v>4290</v>
      </c>
    </row>
    <row r="928" spans="1:28" ht="14.5" customHeight="1">
      <c r="A928" s="4">
        <v>927</v>
      </c>
      <c r="B928" s="106">
        <v>13167811</v>
      </c>
      <c r="C928" s="5">
        <v>204975662</v>
      </c>
      <c r="D928" s="116" t="s">
        <v>4078</v>
      </c>
      <c r="E928" s="4" t="s">
        <v>4104</v>
      </c>
      <c r="F928" s="7" t="s">
        <v>74</v>
      </c>
      <c r="G928" s="7" t="s">
        <v>76</v>
      </c>
      <c r="H928" s="7" t="s">
        <v>88</v>
      </c>
      <c r="I928" s="7" t="s">
        <v>1789</v>
      </c>
      <c r="J928" s="7" t="s">
        <v>5</v>
      </c>
      <c r="K928" s="4" t="s">
        <v>10</v>
      </c>
      <c r="L928" s="4" t="s">
        <v>23</v>
      </c>
      <c r="M928" s="4" t="s">
        <v>4313</v>
      </c>
      <c r="N928" s="4" t="s">
        <v>2584</v>
      </c>
      <c r="O928" s="89"/>
      <c r="P928" s="25">
        <v>46048</v>
      </c>
      <c r="Q928" s="7" t="s">
        <v>1112</v>
      </c>
      <c r="R928" s="4" t="s">
        <v>3258</v>
      </c>
      <c r="S928" s="7" t="s">
        <v>1795</v>
      </c>
      <c r="T928" s="4" t="s">
        <v>81</v>
      </c>
      <c r="U928" s="4"/>
      <c r="V928" s="97">
        <v>99</v>
      </c>
      <c r="W928" s="85">
        <v>46104</v>
      </c>
      <c r="X928" s="4"/>
      <c r="Y928" s="4"/>
      <c r="Z928" s="4"/>
      <c r="AA928" s="4"/>
      <c r="AB928" s="4" t="e">
        <v>#N/A</v>
      </c>
    </row>
    <row r="929" spans="1:28">
      <c r="A929" s="4">
        <v>928</v>
      </c>
      <c r="B929" s="5" t="s">
        <v>3115</v>
      </c>
      <c r="C929" s="5">
        <v>206192541</v>
      </c>
      <c r="D929" s="115" t="s">
        <v>3032</v>
      </c>
      <c r="E929" s="4" t="s">
        <v>3033</v>
      </c>
      <c r="F929" s="7" t="s">
        <v>82</v>
      </c>
      <c r="G929" s="7" t="s">
        <v>76</v>
      </c>
      <c r="H929" s="7" t="s">
        <v>88</v>
      </c>
      <c r="I929" s="7" t="s">
        <v>1789</v>
      </c>
      <c r="J929" s="7" t="s">
        <v>5</v>
      </c>
      <c r="K929" s="4" t="s">
        <v>10</v>
      </c>
      <c r="L929" s="4" t="s">
        <v>23</v>
      </c>
      <c r="M929" s="4" t="s">
        <v>390</v>
      </c>
      <c r="N929" s="4" t="s">
        <v>2584</v>
      </c>
      <c r="O929" s="89"/>
      <c r="P929" s="25">
        <v>45936</v>
      </c>
      <c r="Q929" s="7" t="s">
        <v>1112</v>
      </c>
      <c r="R929" s="4" t="s">
        <v>3252</v>
      </c>
      <c r="S929" s="6" t="s">
        <v>1795</v>
      </c>
      <c r="T929" s="4" t="s">
        <v>92</v>
      </c>
      <c r="U929" s="4" t="s">
        <v>349</v>
      </c>
      <c r="V929" s="97">
        <v>99</v>
      </c>
      <c r="W929" s="85">
        <v>45996</v>
      </c>
      <c r="X929" s="4" t="s">
        <v>3013</v>
      </c>
      <c r="Y929" s="4" t="s">
        <v>3050</v>
      </c>
      <c r="Z929" s="4" t="s">
        <v>3051</v>
      </c>
      <c r="AA929" s="4" t="s">
        <v>1204</v>
      </c>
      <c r="AB929" s="4" t="s">
        <v>4289</v>
      </c>
    </row>
    <row r="930" spans="1:28">
      <c r="A930" s="4">
        <v>929</v>
      </c>
      <c r="B930" s="5">
        <v>12899370</v>
      </c>
      <c r="C930" s="5">
        <v>206886636</v>
      </c>
      <c r="D930" s="115" t="s">
        <v>3603</v>
      </c>
      <c r="E930" s="4" t="s">
        <v>3540</v>
      </c>
      <c r="F930" s="7" t="s">
        <v>82</v>
      </c>
      <c r="G930" s="7" t="s">
        <v>94</v>
      </c>
      <c r="H930" s="7" t="s">
        <v>89</v>
      </c>
      <c r="I930" s="7" t="s">
        <v>1789</v>
      </c>
      <c r="J930" s="7" t="s">
        <v>5</v>
      </c>
      <c r="K930" s="4" t="s">
        <v>10</v>
      </c>
      <c r="L930" s="4" t="s">
        <v>23</v>
      </c>
      <c r="M930" s="4" t="s">
        <v>4314</v>
      </c>
      <c r="N930" s="4" t="s">
        <v>2584</v>
      </c>
      <c r="O930" s="89"/>
      <c r="P930" s="25">
        <v>46027</v>
      </c>
      <c r="Q930" s="7" t="s">
        <v>1112</v>
      </c>
      <c r="R930" s="4" t="s">
        <v>3255</v>
      </c>
      <c r="S930" s="4" t="s">
        <v>1795</v>
      </c>
      <c r="T930" s="4" t="s">
        <v>92</v>
      </c>
      <c r="U930" s="4"/>
      <c r="V930" s="97">
        <v>99</v>
      </c>
      <c r="W930" s="85">
        <v>46024</v>
      </c>
      <c r="X930" s="95" t="s">
        <v>3553</v>
      </c>
      <c r="Y930" s="4" t="s">
        <v>3564</v>
      </c>
      <c r="Z930" s="4" t="s">
        <v>3581</v>
      </c>
      <c r="AA930" s="4" t="s">
        <v>1204</v>
      </c>
      <c r="AB930" s="4" t="s">
        <v>4289</v>
      </c>
    </row>
    <row r="931" spans="1:28">
      <c r="A931" s="4">
        <v>930</v>
      </c>
      <c r="B931" s="5">
        <v>15092015</v>
      </c>
      <c r="C931" s="5">
        <v>201857481</v>
      </c>
      <c r="D931" s="115" t="s">
        <v>1704</v>
      </c>
      <c r="E931" s="4" t="s">
        <v>1687</v>
      </c>
      <c r="F931" s="7" t="s">
        <v>82</v>
      </c>
      <c r="G931" s="7" t="s">
        <v>87</v>
      </c>
      <c r="H931" s="7" t="s">
        <v>75</v>
      </c>
      <c r="I931" s="6" t="s">
        <v>1790</v>
      </c>
      <c r="J931" s="7" t="s">
        <v>5</v>
      </c>
      <c r="K931" s="4" t="s">
        <v>10</v>
      </c>
      <c r="L931" s="4" t="s">
        <v>27</v>
      </c>
      <c r="M931" s="4" t="s">
        <v>390</v>
      </c>
      <c r="N931" s="4" t="s">
        <v>2584</v>
      </c>
      <c r="O931" s="89"/>
      <c r="P931" s="25">
        <v>45586</v>
      </c>
      <c r="Q931" s="7" t="s">
        <v>1192</v>
      </c>
      <c r="R931" s="90" t="s">
        <v>3257</v>
      </c>
      <c r="S931" s="6" t="s">
        <v>1795</v>
      </c>
      <c r="T931" s="4" t="s">
        <v>92</v>
      </c>
      <c r="U931" s="4" t="s">
        <v>103</v>
      </c>
      <c r="V931" s="97">
        <v>99</v>
      </c>
      <c r="W931" s="85">
        <v>46316</v>
      </c>
      <c r="X931" s="4" t="s">
        <v>3752</v>
      </c>
      <c r="Y931" s="4">
        <v>567660634</v>
      </c>
      <c r="Z931" s="4">
        <v>0</v>
      </c>
      <c r="AA931" s="4" t="s">
        <v>85</v>
      </c>
      <c r="AB931" s="4" t="s">
        <v>4289</v>
      </c>
    </row>
    <row r="932" spans="1:28">
      <c r="A932" s="4">
        <v>931</v>
      </c>
      <c r="B932" s="5">
        <v>13483201</v>
      </c>
      <c r="C932" s="5">
        <v>204011575</v>
      </c>
      <c r="D932" s="115" t="s">
        <v>1366</v>
      </c>
      <c r="E932" s="4" t="s">
        <v>1367</v>
      </c>
      <c r="F932" s="7" t="s">
        <v>74</v>
      </c>
      <c r="G932" s="7" t="s">
        <v>89</v>
      </c>
      <c r="H932" s="7" t="s">
        <v>90</v>
      </c>
      <c r="I932" s="7" t="s">
        <v>1789</v>
      </c>
      <c r="J932" s="7" t="s">
        <v>5</v>
      </c>
      <c r="K932" s="4" t="s">
        <v>10</v>
      </c>
      <c r="L932" s="4" t="s">
        <v>22</v>
      </c>
      <c r="M932" s="4" t="s">
        <v>393</v>
      </c>
      <c r="N932" s="4" t="s">
        <v>2584</v>
      </c>
      <c r="O932" s="89"/>
      <c r="P932" s="25">
        <v>45551</v>
      </c>
      <c r="Q932" s="7" t="s">
        <v>1113</v>
      </c>
      <c r="R932" s="90" t="s">
        <v>3256</v>
      </c>
      <c r="S932" s="6" t="s">
        <v>1795</v>
      </c>
      <c r="T932" s="4" t="s">
        <v>81</v>
      </c>
      <c r="U932" s="4" t="s">
        <v>349</v>
      </c>
      <c r="V932" s="97">
        <v>99</v>
      </c>
      <c r="W932" s="85">
        <v>45607</v>
      </c>
      <c r="X932" s="4" t="s">
        <v>1216</v>
      </c>
      <c r="Y932" s="4">
        <v>554691467</v>
      </c>
      <c r="Z932" s="4" t="s">
        <v>2127</v>
      </c>
      <c r="AA932" s="4" t="s">
        <v>95</v>
      </c>
      <c r="AB932" s="4" t="s">
        <v>4289</v>
      </c>
    </row>
    <row r="933" spans="1:28">
      <c r="A933" s="4">
        <v>932</v>
      </c>
      <c r="B933" s="5">
        <v>11946254</v>
      </c>
      <c r="C933" s="5">
        <v>112851838</v>
      </c>
      <c r="D933" s="115" t="s">
        <v>583</v>
      </c>
      <c r="E933" s="4" t="s">
        <v>584</v>
      </c>
      <c r="F933" s="7" t="s">
        <v>82</v>
      </c>
      <c r="G933" s="7" t="s">
        <v>76</v>
      </c>
      <c r="H933" s="7" t="s">
        <v>88</v>
      </c>
      <c r="I933" s="6" t="s">
        <v>1790</v>
      </c>
      <c r="J933" s="7" t="s">
        <v>5</v>
      </c>
      <c r="K933" s="4" t="s">
        <v>10</v>
      </c>
      <c r="L933" s="4" t="s">
        <v>27</v>
      </c>
      <c r="M933" s="4" t="s">
        <v>390</v>
      </c>
      <c r="N933" s="4" t="s">
        <v>2584</v>
      </c>
      <c r="O933" s="89"/>
      <c r="P933" s="25">
        <v>45586</v>
      </c>
      <c r="Q933" s="7" t="s">
        <v>1192</v>
      </c>
      <c r="R933" s="90" t="s">
        <v>3258</v>
      </c>
      <c r="S933" s="6" t="s">
        <v>1795</v>
      </c>
      <c r="T933" s="4" t="s">
        <v>1199</v>
      </c>
      <c r="U933" s="4" t="s">
        <v>107</v>
      </c>
      <c r="V933" s="97">
        <v>99</v>
      </c>
      <c r="W933" s="85">
        <v>46316</v>
      </c>
      <c r="X933" s="4" t="s">
        <v>3703</v>
      </c>
      <c r="Y933" s="4">
        <v>585723996</v>
      </c>
      <c r="Z933" s="4">
        <v>0</v>
      </c>
      <c r="AA933" s="4" t="s">
        <v>85</v>
      </c>
      <c r="AB933" s="4" t="s">
        <v>4289</v>
      </c>
    </row>
    <row r="934" spans="1:28">
      <c r="A934" s="4">
        <v>933</v>
      </c>
      <c r="B934" s="5">
        <v>12662833</v>
      </c>
      <c r="C934" s="5">
        <v>204116441</v>
      </c>
      <c r="D934" s="115" t="s">
        <v>1501</v>
      </c>
      <c r="E934" s="4" t="s">
        <v>1502</v>
      </c>
      <c r="F934" s="7" t="s">
        <v>82</v>
      </c>
      <c r="G934" s="7" t="s">
        <v>87</v>
      </c>
      <c r="H934" s="7" t="s">
        <v>75</v>
      </c>
      <c r="I934" s="6" t="s">
        <v>1790</v>
      </c>
      <c r="J934" s="7" t="s">
        <v>5</v>
      </c>
      <c r="K934" s="4" t="s">
        <v>10</v>
      </c>
      <c r="L934" s="4" t="s">
        <v>27</v>
      </c>
      <c r="M934" s="4" t="s">
        <v>4314</v>
      </c>
      <c r="N934" s="4" t="s">
        <v>2584</v>
      </c>
      <c r="O934" s="89"/>
      <c r="P934" s="25">
        <v>45561</v>
      </c>
      <c r="Q934" s="7" t="s">
        <v>1192</v>
      </c>
      <c r="R934" s="90" t="s">
        <v>3253</v>
      </c>
      <c r="S934" s="6" t="s">
        <v>1795</v>
      </c>
      <c r="T934" s="4" t="s">
        <v>81</v>
      </c>
      <c r="U934" s="4" t="s">
        <v>103</v>
      </c>
      <c r="V934" s="97">
        <v>99</v>
      </c>
      <c r="W934" s="85">
        <v>46291</v>
      </c>
      <c r="X934" s="4" t="s">
        <v>3694</v>
      </c>
      <c r="Y934" s="4">
        <v>583023900</v>
      </c>
      <c r="Z934" s="4" t="s">
        <v>2128</v>
      </c>
      <c r="AA934" s="4" t="s">
        <v>1198</v>
      </c>
      <c r="AB934" s="4" t="s">
        <v>4289</v>
      </c>
    </row>
    <row r="935" spans="1:28">
      <c r="A935" s="4">
        <v>934</v>
      </c>
      <c r="B935" s="5">
        <v>14889340</v>
      </c>
      <c r="C935" s="5">
        <v>206136721</v>
      </c>
      <c r="D935" s="115" t="s">
        <v>2974</v>
      </c>
      <c r="E935" s="4" t="s">
        <v>2975</v>
      </c>
      <c r="F935" s="7" t="s">
        <v>82</v>
      </c>
      <c r="G935" s="7" t="s">
        <v>88</v>
      </c>
      <c r="H935" s="7" t="s">
        <v>94</v>
      </c>
      <c r="I935" s="7" t="s">
        <v>1789</v>
      </c>
      <c r="J935" s="7" t="s">
        <v>5</v>
      </c>
      <c r="K935" s="4" t="s">
        <v>10</v>
      </c>
      <c r="L935" s="4" t="s">
        <v>24</v>
      </c>
      <c r="M935" s="4" t="s">
        <v>374</v>
      </c>
      <c r="N935" s="4"/>
      <c r="O935" s="89"/>
      <c r="P935" s="25">
        <v>45929</v>
      </c>
      <c r="Q935" s="7" t="s">
        <v>1112</v>
      </c>
      <c r="R935" s="4" t="s">
        <v>3258</v>
      </c>
      <c r="S935" s="6" t="s">
        <v>1795</v>
      </c>
      <c r="T935" s="4" t="s">
        <v>81</v>
      </c>
      <c r="U935" s="4" t="s">
        <v>349</v>
      </c>
      <c r="V935" s="97">
        <v>99</v>
      </c>
      <c r="W935" s="85"/>
      <c r="X935" s="4"/>
      <c r="Y935" s="4"/>
      <c r="Z935" s="4"/>
      <c r="AA935" s="4" t="s">
        <v>1196</v>
      </c>
      <c r="AB935" s="4" t="s">
        <v>4289</v>
      </c>
    </row>
    <row r="936" spans="1:28">
      <c r="A936" s="4">
        <v>935</v>
      </c>
      <c r="B936" s="106">
        <v>13349469</v>
      </c>
      <c r="C936" s="106">
        <v>204072300</v>
      </c>
      <c r="D936" s="5" t="s">
        <v>1473</v>
      </c>
      <c r="E936" s="115" t="s">
        <v>1449</v>
      </c>
      <c r="F936" s="7" t="s">
        <v>82</v>
      </c>
      <c r="G936" s="7" t="s">
        <v>90</v>
      </c>
      <c r="H936" s="7" t="s">
        <v>87</v>
      </c>
      <c r="I936" s="6" t="s">
        <v>1790</v>
      </c>
      <c r="J936" s="7" t="s">
        <v>5</v>
      </c>
      <c r="K936" s="4" t="s">
        <v>10</v>
      </c>
      <c r="L936" s="4" t="s">
        <v>22</v>
      </c>
      <c r="M936" s="4" t="s">
        <v>4361</v>
      </c>
      <c r="N936" s="4" t="s">
        <v>2584</v>
      </c>
      <c r="O936" s="25"/>
      <c r="P936" s="25">
        <v>45558</v>
      </c>
      <c r="Q936" s="7" t="s">
        <v>1112</v>
      </c>
      <c r="R936" s="6" t="s">
        <v>3260</v>
      </c>
      <c r="S936" s="6" t="s">
        <v>1795</v>
      </c>
      <c r="T936" s="6" t="s">
        <v>81</v>
      </c>
      <c r="U936" s="6" t="s">
        <v>3263</v>
      </c>
      <c r="V936" s="97">
        <v>99</v>
      </c>
      <c r="W936" s="6">
        <v>45614</v>
      </c>
      <c r="X936" s="6" t="s">
        <v>1216</v>
      </c>
      <c r="Y936" s="4">
        <v>555413215</v>
      </c>
      <c r="Z936" s="6" t="s">
        <v>4351</v>
      </c>
      <c r="AA936" s="6" t="s">
        <v>95</v>
      </c>
      <c r="AB936" s="4">
        <v>0</v>
      </c>
    </row>
    <row r="937" spans="1:28">
      <c r="A937" s="4">
        <v>936</v>
      </c>
      <c r="B937" s="5">
        <v>13383604</v>
      </c>
      <c r="C937" s="5">
        <v>206886737</v>
      </c>
      <c r="D937" s="115" t="s">
        <v>3591</v>
      </c>
      <c r="E937" s="4" t="s">
        <v>3541</v>
      </c>
      <c r="F937" s="7" t="s">
        <v>82</v>
      </c>
      <c r="G937" s="7" t="s">
        <v>94</v>
      </c>
      <c r="H937" s="7" t="s">
        <v>89</v>
      </c>
      <c r="I937" s="7" t="s">
        <v>1789</v>
      </c>
      <c r="J937" s="7" t="s">
        <v>5</v>
      </c>
      <c r="K937" s="4" t="s">
        <v>10</v>
      </c>
      <c r="L937" s="4" t="s">
        <v>23</v>
      </c>
      <c r="M937" s="4" t="s">
        <v>4314</v>
      </c>
      <c r="N937" s="4" t="s">
        <v>2584</v>
      </c>
      <c r="O937" s="89"/>
      <c r="P937" s="25">
        <v>46027</v>
      </c>
      <c r="Q937" s="7" t="s">
        <v>1112</v>
      </c>
      <c r="R937" s="90" t="s">
        <v>3253</v>
      </c>
      <c r="S937" s="4" t="s">
        <v>1795</v>
      </c>
      <c r="T937" s="4" t="s">
        <v>92</v>
      </c>
      <c r="U937" s="4"/>
      <c r="V937" s="97">
        <v>99</v>
      </c>
      <c r="W937" s="85">
        <v>46024</v>
      </c>
      <c r="X937" s="95" t="s">
        <v>3553</v>
      </c>
      <c r="Y937" s="4" t="s">
        <v>3565</v>
      </c>
      <c r="Z937" s="4" t="s">
        <v>3582</v>
      </c>
      <c r="AA937" s="4" t="s">
        <v>1204</v>
      </c>
      <c r="AB937" s="4" t="e">
        <v>#N/A</v>
      </c>
    </row>
    <row r="938" spans="1:28">
      <c r="A938" s="4">
        <v>937</v>
      </c>
      <c r="B938" s="5">
        <v>14908635</v>
      </c>
      <c r="C938" s="5">
        <v>203965605</v>
      </c>
      <c r="D938" s="115" t="s">
        <v>1305</v>
      </c>
      <c r="E938" s="4" t="s">
        <v>1306</v>
      </c>
      <c r="F938" s="7" t="s">
        <v>74</v>
      </c>
      <c r="G938" s="7" t="s">
        <v>94</v>
      </c>
      <c r="H938" s="7" t="s">
        <v>89</v>
      </c>
      <c r="I938" s="6" t="s">
        <v>1790</v>
      </c>
      <c r="J938" s="7" t="s">
        <v>5</v>
      </c>
      <c r="K938" s="4" t="s">
        <v>10</v>
      </c>
      <c r="L938" s="4" t="s">
        <v>20</v>
      </c>
      <c r="M938" s="4" t="s">
        <v>393</v>
      </c>
      <c r="N938" s="4" t="s">
        <v>2584</v>
      </c>
      <c r="O938" s="89"/>
      <c r="P938" s="25">
        <v>45544</v>
      </c>
      <c r="Q938" s="7" t="s">
        <v>1112</v>
      </c>
      <c r="R938" s="90" t="s">
        <v>3260</v>
      </c>
      <c r="S938" s="6" t="s">
        <v>1795</v>
      </c>
      <c r="T938" s="4" t="s">
        <v>81</v>
      </c>
      <c r="U938" s="4" t="s">
        <v>112</v>
      </c>
      <c r="V938" s="97">
        <v>99</v>
      </c>
      <c r="W938" s="85">
        <v>46274</v>
      </c>
      <c r="X938" s="4" t="s">
        <v>3657</v>
      </c>
      <c r="Y938" s="4">
        <v>563129479</v>
      </c>
      <c r="Z938" s="4" t="s">
        <v>2129</v>
      </c>
      <c r="AA938" s="4" t="s">
        <v>1194</v>
      </c>
      <c r="AB938" s="4" t="s">
        <v>4290</v>
      </c>
    </row>
    <row r="939" spans="1:28">
      <c r="A939" s="4">
        <v>938</v>
      </c>
      <c r="B939" s="5">
        <v>14452670</v>
      </c>
      <c r="C939" s="5">
        <v>203965410</v>
      </c>
      <c r="D939" s="115" t="s">
        <v>1253</v>
      </c>
      <c r="E939" s="4" t="s">
        <v>1254</v>
      </c>
      <c r="F939" s="7" t="s">
        <v>82</v>
      </c>
      <c r="G939" s="7" t="s">
        <v>76</v>
      </c>
      <c r="H939" s="7" t="s">
        <v>88</v>
      </c>
      <c r="I939" s="6" t="s">
        <v>1788</v>
      </c>
      <c r="J939" s="7" t="s">
        <v>5</v>
      </c>
      <c r="K939" s="4" t="s">
        <v>10</v>
      </c>
      <c r="L939" s="4" t="s">
        <v>24</v>
      </c>
      <c r="M939" s="4" t="s">
        <v>3321</v>
      </c>
      <c r="N939" s="4" t="s">
        <v>2584</v>
      </c>
      <c r="O939" s="89"/>
      <c r="P939" s="25">
        <v>45544</v>
      </c>
      <c r="Q939" s="7" t="s">
        <v>1112</v>
      </c>
      <c r="R939" s="90" t="s">
        <v>2586</v>
      </c>
      <c r="S939" s="6" t="s">
        <v>1795</v>
      </c>
      <c r="T939" s="4" t="s">
        <v>81</v>
      </c>
      <c r="U939" s="4" t="s">
        <v>349</v>
      </c>
      <c r="V939" s="97">
        <v>99</v>
      </c>
      <c r="W939" s="85">
        <v>45909</v>
      </c>
      <c r="X939" s="4" t="s">
        <v>3698</v>
      </c>
      <c r="Y939" s="4">
        <v>525149314</v>
      </c>
      <c r="Z939" s="4" t="s">
        <v>2130</v>
      </c>
      <c r="AA939" s="4" t="s">
        <v>1203</v>
      </c>
      <c r="AB939" s="4" t="s">
        <v>4290</v>
      </c>
    </row>
    <row r="940" spans="1:28">
      <c r="A940" s="4">
        <v>939</v>
      </c>
      <c r="B940" s="5">
        <v>13287132</v>
      </c>
      <c r="C940" s="5">
        <v>202419640</v>
      </c>
      <c r="D940" s="115" t="s">
        <v>1503</v>
      </c>
      <c r="E940" s="4" t="s">
        <v>1504</v>
      </c>
      <c r="F940" s="7" t="s">
        <v>82</v>
      </c>
      <c r="G940" s="7" t="s">
        <v>94</v>
      </c>
      <c r="H940" s="7" t="s">
        <v>89</v>
      </c>
      <c r="I940" s="6" t="s">
        <v>1790</v>
      </c>
      <c r="J940" s="7" t="s">
        <v>5</v>
      </c>
      <c r="K940" s="4" t="s">
        <v>10</v>
      </c>
      <c r="L940" s="4" t="s">
        <v>27</v>
      </c>
      <c r="M940" s="4" t="s">
        <v>374</v>
      </c>
      <c r="N940" s="4" t="s">
        <v>2584</v>
      </c>
      <c r="O940" s="89"/>
      <c r="P940" s="25">
        <v>45561</v>
      </c>
      <c r="Q940" s="7" t="s">
        <v>1113</v>
      </c>
      <c r="R940" s="90" t="s">
        <v>3258</v>
      </c>
      <c r="S940" s="6" t="s">
        <v>1795</v>
      </c>
      <c r="T940" s="4" t="s">
        <v>81</v>
      </c>
      <c r="U940" s="4" t="s">
        <v>103</v>
      </c>
      <c r="V940" s="97">
        <v>99</v>
      </c>
      <c r="W940" s="85">
        <v>46291</v>
      </c>
      <c r="X940" s="4" t="s">
        <v>3694</v>
      </c>
      <c r="Y940" s="4">
        <v>545427688</v>
      </c>
      <c r="Z940" s="4" t="s">
        <v>2131</v>
      </c>
      <c r="AA940" s="4" t="s">
        <v>1203</v>
      </c>
      <c r="AB940" s="4" t="s">
        <v>4290</v>
      </c>
    </row>
    <row r="941" spans="1:28">
      <c r="A941" s="4">
        <v>940</v>
      </c>
      <c r="B941" s="5">
        <v>13160127</v>
      </c>
      <c r="C941" s="5">
        <v>204138114</v>
      </c>
      <c r="D941" s="115" t="s">
        <v>1592</v>
      </c>
      <c r="E941" s="4" t="s">
        <v>1560</v>
      </c>
      <c r="F941" s="7" t="s">
        <v>74</v>
      </c>
      <c r="G941" s="7" t="s">
        <v>76</v>
      </c>
      <c r="H941" s="7" t="s">
        <v>88</v>
      </c>
      <c r="I941" s="6" t="s">
        <v>1790</v>
      </c>
      <c r="J941" s="7" t="s">
        <v>5</v>
      </c>
      <c r="K941" s="4" t="s">
        <v>10</v>
      </c>
      <c r="L941" s="4" t="s">
        <v>27</v>
      </c>
      <c r="M941" s="4" t="s">
        <v>374</v>
      </c>
      <c r="N941" s="4" t="s">
        <v>2584</v>
      </c>
      <c r="O941" s="89"/>
      <c r="P941" s="25">
        <v>45565</v>
      </c>
      <c r="Q941" s="7" t="s">
        <v>1112</v>
      </c>
      <c r="R941" s="90" t="s">
        <v>3254</v>
      </c>
      <c r="S941" s="6" t="s">
        <v>1795</v>
      </c>
      <c r="T941" s="4" t="s">
        <v>81</v>
      </c>
      <c r="U941" s="4" t="s">
        <v>103</v>
      </c>
      <c r="V941" s="97">
        <v>99</v>
      </c>
      <c r="W941" s="85">
        <v>46295</v>
      </c>
      <c r="X941" s="4" t="s">
        <v>3739</v>
      </c>
      <c r="Y941" s="4">
        <v>543552917</v>
      </c>
      <c r="Z941" s="4" t="s">
        <v>1576</v>
      </c>
      <c r="AA941" s="4" t="s">
        <v>1196</v>
      </c>
      <c r="AB941" s="4" t="s">
        <v>4290</v>
      </c>
    </row>
    <row r="942" spans="1:28">
      <c r="A942" s="4">
        <v>941</v>
      </c>
      <c r="B942" s="5">
        <v>11938924</v>
      </c>
      <c r="C942" s="5">
        <v>203965009</v>
      </c>
      <c r="D942" s="115" t="s">
        <v>1301</v>
      </c>
      <c r="E942" s="4" t="s">
        <v>1302</v>
      </c>
      <c r="F942" s="7" t="s">
        <v>74</v>
      </c>
      <c r="G942" s="7" t="s">
        <v>88</v>
      </c>
      <c r="H942" s="7" t="s">
        <v>94</v>
      </c>
      <c r="I942" s="6" t="s">
        <v>1790</v>
      </c>
      <c r="J942" s="7" t="s">
        <v>5</v>
      </c>
      <c r="K942" s="4" t="s">
        <v>10</v>
      </c>
      <c r="L942" s="4" t="s">
        <v>20</v>
      </c>
      <c r="M942" s="4" t="s">
        <v>390</v>
      </c>
      <c r="N942" s="4" t="s">
        <v>2584</v>
      </c>
      <c r="O942" s="89"/>
      <c r="P942" s="25">
        <v>45544</v>
      </c>
      <c r="Q942" s="7" t="s">
        <v>1112</v>
      </c>
      <c r="R942" s="90" t="s">
        <v>3258</v>
      </c>
      <c r="S942" s="6" t="s">
        <v>1795</v>
      </c>
      <c r="T942" s="4" t="s">
        <v>81</v>
      </c>
      <c r="U942" s="4" t="s">
        <v>112</v>
      </c>
      <c r="V942" s="97">
        <v>99</v>
      </c>
      <c r="W942" s="85">
        <v>46274</v>
      </c>
      <c r="X942" s="4" t="s">
        <v>3690</v>
      </c>
      <c r="Y942" s="4">
        <v>525404758</v>
      </c>
      <c r="Z942" s="4" t="s">
        <v>2132</v>
      </c>
      <c r="AA942" s="4" t="s">
        <v>1208</v>
      </c>
      <c r="AB942" s="4" t="s">
        <v>4290</v>
      </c>
    </row>
    <row r="943" spans="1:28">
      <c r="A943" s="4">
        <v>942</v>
      </c>
      <c r="B943" s="106">
        <v>14938453</v>
      </c>
      <c r="C943" s="106">
        <v>205280538</v>
      </c>
      <c r="D943" s="5" t="s">
        <v>4067</v>
      </c>
      <c r="E943" s="121" t="s">
        <v>4068</v>
      </c>
      <c r="F943" s="7" t="s">
        <v>82</v>
      </c>
      <c r="G943" s="7" t="s">
        <v>88</v>
      </c>
      <c r="H943" s="7" t="s">
        <v>94</v>
      </c>
      <c r="I943" s="7" t="s">
        <v>1789</v>
      </c>
      <c r="J943" s="7" t="s">
        <v>5</v>
      </c>
      <c r="K943" s="4" t="s">
        <v>10</v>
      </c>
      <c r="L943" s="92" t="s">
        <v>23</v>
      </c>
      <c r="M943" s="4" t="s">
        <v>390</v>
      </c>
      <c r="N943" s="4" t="s">
        <v>2584</v>
      </c>
      <c r="O943" s="25"/>
      <c r="P943" s="25">
        <v>46048</v>
      </c>
      <c r="Q943" s="7" t="s">
        <v>1192</v>
      </c>
      <c r="R943" s="4" t="s">
        <v>3264</v>
      </c>
      <c r="S943" s="94" t="s">
        <v>1795</v>
      </c>
      <c r="T943" s="6" t="s">
        <v>81</v>
      </c>
      <c r="U943" s="6">
        <v>0</v>
      </c>
      <c r="V943" s="97">
        <v>99</v>
      </c>
      <c r="W943" s="6">
        <v>46778</v>
      </c>
      <c r="X943" s="6">
        <v>0</v>
      </c>
      <c r="Y943" s="4">
        <v>0</v>
      </c>
      <c r="Z943" s="6">
        <v>0</v>
      </c>
      <c r="AA943" s="94">
        <v>0</v>
      </c>
      <c r="AB943" s="92">
        <v>0</v>
      </c>
    </row>
    <row r="944" spans="1:28">
      <c r="A944" s="4">
        <v>943</v>
      </c>
      <c r="B944" s="5">
        <v>12998692</v>
      </c>
      <c r="C944" s="5">
        <v>204053439</v>
      </c>
      <c r="D944" s="115" t="s">
        <v>1475</v>
      </c>
      <c r="E944" s="100" t="s">
        <v>1451</v>
      </c>
      <c r="F944" s="7" t="s">
        <v>74</v>
      </c>
      <c r="G944" s="7" t="s">
        <v>76</v>
      </c>
      <c r="H944" s="7" t="s">
        <v>88</v>
      </c>
      <c r="I944" s="6" t="s">
        <v>1790</v>
      </c>
      <c r="J944" s="7" t="s">
        <v>5</v>
      </c>
      <c r="K944" s="4" t="s">
        <v>10</v>
      </c>
      <c r="L944" s="4" t="s">
        <v>20</v>
      </c>
      <c r="M944" s="4" t="s">
        <v>3321</v>
      </c>
      <c r="N944" s="4" t="s">
        <v>2584</v>
      </c>
      <c r="O944" s="89"/>
      <c r="P944" s="25">
        <v>45558</v>
      </c>
      <c r="Q944" s="7" t="s">
        <v>1192</v>
      </c>
      <c r="R944" s="90" t="s">
        <v>3260</v>
      </c>
      <c r="S944" s="94" t="s">
        <v>1795</v>
      </c>
      <c r="T944" s="4" t="s">
        <v>81</v>
      </c>
      <c r="U944" s="4" t="s">
        <v>103</v>
      </c>
      <c r="V944" s="97">
        <v>99</v>
      </c>
      <c r="W944" s="85">
        <v>46288</v>
      </c>
      <c r="X944" s="4" t="s">
        <v>1215</v>
      </c>
      <c r="Y944" s="4">
        <v>567097730</v>
      </c>
      <c r="Z944" s="4" t="s">
        <v>2133</v>
      </c>
      <c r="AA944" s="4" t="s">
        <v>1194</v>
      </c>
      <c r="AB944" s="4" t="s">
        <v>4290</v>
      </c>
    </row>
    <row r="945" spans="1:28">
      <c r="A945" s="4">
        <v>944</v>
      </c>
      <c r="B945" s="5">
        <v>13500715</v>
      </c>
      <c r="C945" s="5">
        <v>203800778</v>
      </c>
      <c r="D945" s="115" t="s">
        <v>674</v>
      </c>
      <c r="E945" s="100" t="s">
        <v>675</v>
      </c>
      <c r="F945" s="7" t="s">
        <v>82</v>
      </c>
      <c r="G945" s="7" t="s">
        <v>94</v>
      </c>
      <c r="H945" s="7" t="s">
        <v>89</v>
      </c>
      <c r="I945" s="6" t="s">
        <v>1790</v>
      </c>
      <c r="J945" s="7" t="s">
        <v>5</v>
      </c>
      <c r="K945" s="4" t="s">
        <v>10</v>
      </c>
      <c r="L945" s="4" t="s">
        <v>22</v>
      </c>
      <c r="M945" s="4" t="s">
        <v>390</v>
      </c>
      <c r="N945" s="4" t="s">
        <v>2584</v>
      </c>
      <c r="O945" s="89"/>
      <c r="P945" s="25">
        <v>45684</v>
      </c>
      <c r="Q945" s="7" t="s">
        <v>1192</v>
      </c>
      <c r="R945" s="90" t="s">
        <v>3261</v>
      </c>
      <c r="S945" s="94" t="s">
        <v>1795</v>
      </c>
      <c r="T945" s="4" t="s">
        <v>81</v>
      </c>
      <c r="U945" s="4" t="s">
        <v>112</v>
      </c>
      <c r="V945" s="97">
        <v>99</v>
      </c>
      <c r="W945" s="85">
        <v>45740</v>
      </c>
      <c r="X945" s="4" t="s">
        <v>1216</v>
      </c>
      <c r="Y945" s="4"/>
      <c r="Z945" s="4"/>
      <c r="AA945" s="4" t="s">
        <v>1202</v>
      </c>
      <c r="AB945" s="4" t="s">
        <v>4289</v>
      </c>
    </row>
    <row r="946" spans="1:28">
      <c r="A946" s="4">
        <v>945</v>
      </c>
      <c r="B946" s="5">
        <v>12607370</v>
      </c>
      <c r="C946" s="5">
        <v>203965008</v>
      </c>
      <c r="D946" s="115" t="s">
        <v>1303</v>
      </c>
      <c r="E946" s="100" t="s">
        <v>1304</v>
      </c>
      <c r="F946" s="7" t="s">
        <v>82</v>
      </c>
      <c r="G946" s="7" t="s">
        <v>76</v>
      </c>
      <c r="H946" s="7" t="s">
        <v>88</v>
      </c>
      <c r="I946" s="6" t="s">
        <v>1790</v>
      </c>
      <c r="J946" s="7" t="s">
        <v>5</v>
      </c>
      <c r="K946" s="4" t="s">
        <v>10</v>
      </c>
      <c r="L946" s="4" t="s">
        <v>20</v>
      </c>
      <c r="M946" s="4" t="s">
        <v>3321</v>
      </c>
      <c r="N946" s="4" t="s">
        <v>2584</v>
      </c>
      <c r="O946" s="89"/>
      <c r="P946" s="25">
        <v>45544</v>
      </c>
      <c r="Q946" s="7" t="s">
        <v>1112</v>
      </c>
      <c r="R946" s="90" t="s">
        <v>3261</v>
      </c>
      <c r="S946" s="94" t="s">
        <v>1795</v>
      </c>
      <c r="T946" s="4" t="s">
        <v>81</v>
      </c>
      <c r="U946" s="4" t="s">
        <v>103</v>
      </c>
      <c r="V946" s="97">
        <v>99</v>
      </c>
      <c r="W946" s="85">
        <v>46274</v>
      </c>
      <c r="X946" s="4" t="s">
        <v>3492</v>
      </c>
      <c r="Y946" s="4">
        <v>569608365</v>
      </c>
      <c r="Z946" s="4" t="s">
        <v>2134</v>
      </c>
      <c r="AA946" s="4" t="s">
        <v>1194</v>
      </c>
      <c r="AB946" s="4" t="s">
        <v>4290</v>
      </c>
    </row>
    <row r="947" spans="1:28">
      <c r="A947" s="4">
        <v>946</v>
      </c>
      <c r="B947" s="5">
        <v>14150071</v>
      </c>
      <c r="C947" s="5">
        <v>203880400</v>
      </c>
      <c r="D947" s="115" t="s">
        <v>1097</v>
      </c>
      <c r="E947" s="100" t="s">
        <v>1089</v>
      </c>
      <c r="F947" s="7" t="s">
        <v>82</v>
      </c>
      <c r="G947" s="7" t="s">
        <v>89</v>
      </c>
      <c r="H947" s="7" t="s">
        <v>90</v>
      </c>
      <c r="I947" s="6" t="s">
        <v>1788</v>
      </c>
      <c r="J947" s="7" t="s">
        <v>5</v>
      </c>
      <c r="K947" s="4" t="s">
        <v>10</v>
      </c>
      <c r="L947" s="92" t="s">
        <v>24</v>
      </c>
      <c r="M947" s="4" t="s">
        <v>3321</v>
      </c>
      <c r="N947" s="4" t="s">
        <v>2584</v>
      </c>
      <c r="O947" s="89"/>
      <c r="P947" s="25">
        <v>45530</v>
      </c>
      <c r="Q947" s="7" t="s">
        <v>1112</v>
      </c>
      <c r="R947" s="90" t="s">
        <v>2586</v>
      </c>
      <c r="S947" s="94" t="s">
        <v>1795</v>
      </c>
      <c r="T947" s="4" t="s">
        <v>92</v>
      </c>
      <c r="U947" s="4" t="s">
        <v>349</v>
      </c>
      <c r="V947" s="97">
        <v>99</v>
      </c>
      <c r="W947" s="85">
        <v>46260</v>
      </c>
      <c r="X947" s="4" t="s">
        <v>3688</v>
      </c>
      <c r="Y947" s="4">
        <v>566283584</v>
      </c>
      <c r="Z947" s="4" t="s">
        <v>2245</v>
      </c>
      <c r="AA947" s="92" t="s">
        <v>1203</v>
      </c>
      <c r="AB947" s="92" t="s">
        <v>4289</v>
      </c>
    </row>
    <row r="948" spans="1:28">
      <c r="A948" s="4">
        <v>947</v>
      </c>
      <c r="B948" s="5">
        <v>11358909</v>
      </c>
      <c r="C948" s="5">
        <v>206886735</v>
      </c>
      <c r="D948" s="115" t="s">
        <v>3604</v>
      </c>
      <c r="E948" s="100" t="s">
        <v>3542</v>
      </c>
      <c r="F948" s="7" t="s">
        <v>74</v>
      </c>
      <c r="G948" s="7" t="s">
        <v>87</v>
      </c>
      <c r="H948" s="7" t="s">
        <v>75</v>
      </c>
      <c r="I948" s="7" t="s">
        <v>1789</v>
      </c>
      <c r="J948" s="7" t="s">
        <v>5</v>
      </c>
      <c r="K948" s="4" t="s">
        <v>10</v>
      </c>
      <c r="L948" s="4" t="s">
        <v>23</v>
      </c>
      <c r="M948" s="4" t="s">
        <v>4314</v>
      </c>
      <c r="N948" s="4" t="s">
        <v>2584</v>
      </c>
      <c r="O948" s="89"/>
      <c r="P948" s="25">
        <v>46027</v>
      </c>
      <c r="Q948" s="7" t="s">
        <v>1112</v>
      </c>
      <c r="R948" s="4" t="s">
        <v>3261</v>
      </c>
      <c r="S948" s="92" t="s">
        <v>1795</v>
      </c>
      <c r="T948" s="4" t="s">
        <v>81</v>
      </c>
      <c r="U948" s="4"/>
      <c r="V948" s="97">
        <v>99</v>
      </c>
      <c r="W948" s="85">
        <v>46024</v>
      </c>
      <c r="X948" s="95" t="s">
        <v>3554</v>
      </c>
      <c r="Y948" s="4" t="s">
        <v>3566</v>
      </c>
      <c r="Z948" s="4" t="s">
        <v>3583</v>
      </c>
      <c r="AA948" s="4" t="s">
        <v>3589</v>
      </c>
      <c r="AB948" s="4" t="s">
        <v>4289</v>
      </c>
    </row>
    <row r="949" spans="1:28">
      <c r="A949" s="4">
        <v>948</v>
      </c>
      <c r="B949" s="5">
        <v>12646706</v>
      </c>
      <c r="C949" s="5">
        <v>205997633</v>
      </c>
      <c r="D949" s="115" t="s">
        <v>2845</v>
      </c>
      <c r="E949" s="100" t="s">
        <v>2846</v>
      </c>
      <c r="F949" s="7" t="s">
        <v>82</v>
      </c>
      <c r="G949" s="7" t="s">
        <v>75</v>
      </c>
      <c r="H949" s="7" t="s">
        <v>76</v>
      </c>
      <c r="I949" s="6" t="s">
        <v>1788</v>
      </c>
      <c r="J949" s="7" t="s">
        <v>5</v>
      </c>
      <c r="K949" s="4" t="s">
        <v>10</v>
      </c>
      <c r="L949" s="4" t="s">
        <v>24</v>
      </c>
      <c r="M949" s="4" t="s">
        <v>3321</v>
      </c>
      <c r="N949" s="4"/>
      <c r="O949" s="89"/>
      <c r="P949" s="25">
        <v>45915</v>
      </c>
      <c r="Q949" s="7" t="s">
        <v>1112</v>
      </c>
      <c r="R949" s="90" t="s">
        <v>2586</v>
      </c>
      <c r="S949" s="94" t="s">
        <v>1795</v>
      </c>
      <c r="T949" s="4" t="s">
        <v>92</v>
      </c>
      <c r="U949" s="4" t="s">
        <v>112</v>
      </c>
      <c r="V949" s="97">
        <v>99</v>
      </c>
      <c r="W949" s="85"/>
      <c r="X949" s="4"/>
      <c r="Y949" s="4"/>
      <c r="Z949" s="4"/>
      <c r="AA949" s="4" t="s">
        <v>85</v>
      </c>
      <c r="AB949" s="4" t="s">
        <v>4289</v>
      </c>
    </row>
    <row r="950" spans="1:28">
      <c r="A950" s="4">
        <v>949</v>
      </c>
      <c r="B950" s="5">
        <v>14424899</v>
      </c>
      <c r="C950" s="5">
        <v>113433097</v>
      </c>
      <c r="D950" s="115" t="s">
        <v>1141</v>
      </c>
      <c r="E950" s="100" t="s">
        <v>1142</v>
      </c>
      <c r="F950" s="7" t="s">
        <v>74</v>
      </c>
      <c r="G950" s="7" t="s">
        <v>90</v>
      </c>
      <c r="H950" s="7" t="s">
        <v>87</v>
      </c>
      <c r="I950" s="6" t="s">
        <v>1790</v>
      </c>
      <c r="J950" s="7" t="s">
        <v>5</v>
      </c>
      <c r="K950" s="4" t="s">
        <v>10</v>
      </c>
      <c r="L950" s="4" t="s">
        <v>20</v>
      </c>
      <c r="M950" s="4" t="s">
        <v>4314</v>
      </c>
      <c r="N950" s="4" t="s">
        <v>2584</v>
      </c>
      <c r="O950" s="89"/>
      <c r="P950" s="25">
        <v>45537</v>
      </c>
      <c r="Q950" s="7" t="s">
        <v>1112</v>
      </c>
      <c r="R950" s="90" t="s">
        <v>3260</v>
      </c>
      <c r="S950" s="94" t="s">
        <v>1795</v>
      </c>
      <c r="T950" s="4" t="s">
        <v>81</v>
      </c>
      <c r="U950" s="4" t="s">
        <v>103</v>
      </c>
      <c r="V950" s="97">
        <v>99</v>
      </c>
      <c r="W950" s="85">
        <v>46267</v>
      </c>
      <c r="X950" s="4" t="s">
        <v>1215</v>
      </c>
      <c r="Y950" s="4">
        <v>528249514</v>
      </c>
      <c r="Z950" s="4" t="s">
        <v>2135</v>
      </c>
      <c r="AA950" s="4" t="s">
        <v>1194</v>
      </c>
      <c r="AB950" s="4" t="s">
        <v>4289</v>
      </c>
    </row>
    <row r="951" spans="1:28">
      <c r="A951" s="4">
        <v>950</v>
      </c>
      <c r="B951" s="5">
        <v>12612694</v>
      </c>
      <c r="C951" s="5">
        <v>205845295</v>
      </c>
      <c r="D951" s="115" t="s">
        <v>2672</v>
      </c>
      <c r="E951" s="100" t="s">
        <v>2673</v>
      </c>
      <c r="F951" s="7" t="s">
        <v>82</v>
      </c>
      <c r="G951" s="7" t="s">
        <v>90</v>
      </c>
      <c r="H951" s="7" t="s">
        <v>87</v>
      </c>
      <c r="I951" s="7" t="s">
        <v>1789</v>
      </c>
      <c r="J951" s="7" t="s">
        <v>5</v>
      </c>
      <c r="K951" s="4" t="s">
        <v>10</v>
      </c>
      <c r="L951" s="4" t="s">
        <v>22</v>
      </c>
      <c r="M951" s="4" t="s">
        <v>390</v>
      </c>
      <c r="N951" s="4"/>
      <c r="O951" s="89"/>
      <c r="P951" s="25">
        <v>45894</v>
      </c>
      <c r="Q951" s="7" t="s">
        <v>1192</v>
      </c>
      <c r="R951" s="4" t="s">
        <v>3262</v>
      </c>
      <c r="S951" s="94" t="s">
        <v>1795</v>
      </c>
      <c r="T951" s="4" t="s">
        <v>81</v>
      </c>
      <c r="U951" s="4" t="s">
        <v>349</v>
      </c>
      <c r="V951" s="97">
        <v>99</v>
      </c>
      <c r="W951" s="85">
        <v>45949</v>
      </c>
      <c r="X951" s="4" t="s">
        <v>2758</v>
      </c>
      <c r="Y951" s="4">
        <v>567733341</v>
      </c>
      <c r="Z951" s="4" t="s">
        <v>2767</v>
      </c>
      <c r="AA951" s="4" t="s">
        <v>95</v>
      </c>
      <c r="AB951" s="4" t="s">
        <v>4289</v>
      </c>
    </row>
    <row r="952" spans="1:28">
      <c r="A952" s="4">
        <v>951</v>
      </c>
      <c r="B952" s="5">
        <v>14436598</v>
      </c>
      <c r="C952" s="5">
        <v>203850876</v>
      </c>
      <c r="D952" s="115" t="s">
        <v>778</v>
      </c>
      <c r="E952" s="100" t="s">
        <v>779</v>
      </c>
      <c r="F952" s="7" t="s">
        <v>74</v>
      </c>
      <c r="G952" s="7" t="s">
        <v>76</v>
      </c>
      <c r="H952" s="7" t="s">
        <v>88</v>
      </c>
      <c r="I952" s="6" t="s">
        <v>1790</v>
      </c>
      <c r="J952" s="7" t="s">
        <v>5</v>
      </c>
      <c r="K952" s="4" t="s">
        <v>10</v>
      </c>
      <c r="L952" s="4" t="s">
        <v>22</v>
      </c>
      <c r="M952" s="4" t="s">
        <v>4314</v>
      </c>
      <c r="N952" s="4" t="s">
        <v>2584</v>
      </c>
      <c r="O952" s="89"/>
      <c r="P952" s="25">
        <v>45524</v>
      </c>
      <c r="Q952" s="7" t="s">
        <v>1112</v>
      </c>
      <c r="R952" s="90" t="s">
        <v>3264</v>
      </c>
      <c r="S952" s="94" t="s">
        <v>1795</v>
      </c>
      <c r="T952" s="4" t="s">
        <v>81</v>
      </c>
      <c r="U952" s="4" t="s">
        <v>103</v>
      </c>
      <c r="V952" s="97">
        <v>99</v>
      </c>
      <c r="W952" s="85">
        <v>45580</v>
      </c>
      <c r="X952" s="4" t="s">
        <v>1216</v>
      </c>
      <c r="Y952" s="4">
        <v>501749782</v>
      </c>
      <c r="Z952" s="4" t="s">
        <v>2136</v>
      </c>
      <c r="AA952" s="4" t="s">
        <v>95</v>
      </c>
      <c r="AB952" s="4" t="s">
        <v>4289</v>
      </c>
    </row>
    <row r="953" spans="1:28" ht="14.5" customHeight="1">
      <c r="A953" s="4">
        <v>952</v>
      </c>
      <c r="B953" s="5">
        <v>12675025</v>
      </c>
      <c r="C953" s="5">
        <v>206851159</v>
      </c>
      <c r="D953" s="115" t="s">
        <v>3316</v>
      </c>
      <c r="E953" s="108" t="s">
        <v>3285</v>
      </c>
      <c r="F953" s="7" t="s">
        <v>74</v>
      </c>
      <c r="G953" s="7" t="s">
        <v>75</v>
      </c>
      <c r="H953" s="7" t="s">
        <v>76</v>
      </c>
      <c r="I953" s="7" t="s">
        <v>1789</v>
      </c>
      <c r="J953" s="7" t="s">
        <v>5</v>
      </c>
      <c r="K953" s="4" t="s">
        <v>10</v>
      </c>
      <c r="L953" s="5" t="s">
        <v>22</v>
      </c>
      <c r="M953" s="4" t="s">
        <v>4314</v>
      </c>
      <c r="N953" s="5" t="s">
        <v>3289</v>
      </c>
      <c r="O953" s="89"/>
      <c r="P953" s="25">
        <v>46013</v>
      </c>
      <c r="Q953" s="7" t="s">
        <v>1112</v>
      </c>
      <c r="R953" s="90" t="s">
        <v>3256</v>
      </c>
      <c r="S953" s="93" t="s">
        <v>1795</v>
      </c>
      <c r="T953" s="5" t="s">
        <v>81</v>
      </c>
      <c r="U953" s="5"/>
      <c r="V953" s="5">
        <v>99</v>
      </c>
      <c r="W953" s="91">
        <v>45648</v>
      </c>
      <c r="X953" s="5" t="s">
        <v>3290</v>
      </c>
      <c r="Y953" s="5">
        <v>585468745</v>
      </c>
      <c r="Z953" s="5" t="s">
        <v>3304</v>
      </c>
      <c r="AA953" s="4" t="s">
        <v>95</v>
      </c>
      <c r="AB953" s="4" t="s">
        <v>4289</v>
      </c>
    </row>
    <row r="954" spans="1:28">
      <c r="A954" s="4">
        <v>953</v>
      </c>
      <c r="B954" s="4">
        <v>11780508</v>
      </c>
      <c r="C954" s="5">
        <v>206491328</v>
      </c>
      <c r="D954" s="115" t="s">
        <v>4182</v>
      </c>
      <c r="E954" s="100" t="s">
        <v>4392</v>
      </c>
      <c r="F954" s="7" t="s">
        <v>82</v>
      </c>
      <c r="G954" s="7" t="s">
        <v>75</v>
      </c>
      <c r="H954" s="7" t="s">
        <v>76</v>
      </c>
      <c r="I954" s="4" t="s">
        <v>1789</v>
      </c>
      <c r="J954" s="4" t="s">
        <v>5</v>
      </c>
      <c r="K954" s="4" t="s">
        <v>10</v>
      </c>
      <c r="L954" s="4" t="s">
        <v>23</v>
      </c>
      <c r="M954" s="4" t="s">
        <v>4314</v>
      </c>
      <c r="N954" s="4"/>
      <c r="O954" s="4"/>
      <c r="P954" s="25">
        <v>46238</v>
      </c>
      <c r="Q954" s="4" t="s">
        <v>1112</v>
      </c>
      <c r="R954" s="4"/>
      <c r="S954" s="94" t="s">
        <v>1796</v>
      </c>
      <c r="T954" s="4" t="s">
        <v>92</v>
      </c>
      <c r="U954" s="4"/>
      <c r="V954" s="97">
        <v>99</v>
      </c>
      <c r="W954" s="4"/>
      <c r="X954" s="4"/>
      <c r="Y954" s="4"/>
      <c r="Z954" s="4"/>
      <c r="AA954" s="4"/>
      <c r="AB954" s="4"/>
    </row>
    <row r="955" spans="1:28">
      <c r="A955" s="4">
        <v>954</v>
      </c>
      <c r="B955" s="5">
        <v>15103769</v>
      </c>
      <c r="C955" s="5">
        <v>204013683</v>
      </c>
      <c r="D955" s="115" t="s">
        <v>1370</v>
      </c>
      <c r="E955" s="100" t="s">
        <v>1371</v>
      </c>
      <c r="F955" s="7" t="s">
        <v>82</v>
      </c>
      <c r="G955" s="7" t="s">
        <v>75</v>
      </c>
      <c r="H955" s="7" t="s">
        <v>76</v>
      </c>
      <c r="I955" s="6" t="s">
        <v>1788</v>
      </c>
      <c r="J955" s="7" t="s">
        <v>5</v>
      </c>
      <c r="K955" s="4" t="s">
        <v>10</v>
      </c>
      <c r="L955" s="4" t="s">
        <v>24</v>
      </c>
      <c r="M955" s="4" t="s">
        <v>4314</v>
      </c>
      <c r="N955" s="4" t="s">
        <v>2584</v>
      </c>
      <c r="O955" s="89"/>
      <c r="P955" s="25">
        <v>45551</v>
      </c>
      <c r="Q955" s="7" t="s">
        <v>1192</v>
      </c>
      <c r="R955" s="90" t="s">
        <v>3252</v>
      </c>
      <c r="S955" s="94" t="s">
        <v>1795</v>
      </c>
      <c r="T955" s="4" t="s">
        <v>81</v>
      </c>
      <c r="U955" s="4" t="s">
        <v>107</v>
      </c>
      <c r="V955" s="97">
        <v>99</v>
      </c>
      <c r="W955" s="85">
        <v>45916</v>
      </c>
      <c r="X955" s="4" t="s">
        <v>3690</v>
      </c>
      <c r="Y955" s="4">
        <v>525159108</v>
      </c>
      <c r="Z955" s="4" t="s">
        <v>1421</v>
      </c>
      <c r="AA955" s="4" t="s">
        <v>1203</v>
      </c>
      <c r="AB955" s="4" t="s">
        <v>4290</v>
      </c>
    </row>
    <row r="956" spans="1:28">
      <c r="A956" s="4">
        <v>955</v>
      </c>
      <c r="B956" s="5">
        <v>13982675</v>
      </c>
      <c r="C956" s="5">
        <v>205872523</v>
      </c>
      <c r="D956" s="115" t="s">
        <v>2797</v>
      </c>
      <c r="E956" s="100" t="s">
        <v>2798</v>
      </c>
      <c r="F956" s="7" t="s">
        <v>74</v>
      </c>
      <c r="G956" s="7" t="s">
        <v>76</v>
      </c>
      <c r="H956" s="7" t="s">
        <v>88</v>
      </c>
      <c r="I956" s="7" t="s">
        <v>1789</v>
      </c>
      <c r="J956" s="7" t="s">
        <v>5</v>
      </c>
      <c r="K956" s="4" t="s">
        <v>10</v>
      </c>
      <c r="L956" s="4" t="s">
        <v>22</v>
      </c>
      <c r="M956" s="4" t="s">
        <v>374</v>
      </c>
      <c r="N956" s="4"/>
      <c r="O956" s="89"/>
      <c r="P956" s="25">
        <v>45894</v>
      </c>
      <c r="Q956" s="7" t="s">
        <v>1112</v>
      </c>
      <c r="R956" s="90" t="s">
        <v>3254</v>
      </c>
      <c r="S956" s="6" t="s">
        <v>1795</v>
      </c>
      <c r="T956" s="4" t="s">
        <v>81</v>
      </c>
      <c r="U956" s="4" t="s">
        <v>103</v>
      </c>
      <c r="V956" s="97">
        <v>99</v>
      </c>
      <c r="W956" s="85">
        <v>45949</v>
      </c>
      <c r="X956" s="4" t="s">
        <v>2758</v>
      </c>
      <c r="Y956" s="4">
        <v>58829820</v>
      </c>
      <c r="Z956" s="4" t="s">
        <v>2168</v>
      </c>
      <c r="AA956" s="4" t="s">
        <v>95</v>
      </c>
      <c r="AB956" s="4" t="s">
        <v>4289</v>
      </c>
    </row>
    <row r="957" spans="1:28">
      <c r="A957" s="4">
        <v>956</v>
      </c>
      <c r="B957" s="5">
        <v>14181866</v>
      </c>
      <c r="C957" s="5">
        <v>113090848</v>
      </c>
      <c r="D957" s="115" t="s">
        <v>1688</v>
      </c>
      <c r="E957" s="100" t="s">
        <v>1689</v>
      </c>
      <c r="F957" s="7" t="s">
        <v>82</v>
      </c>
      <c r="G957" s="7" t="s">
        <v>94</v>
      </c>
      <c r="H957" s="7" t="s">
        <v>89</v>
      </c>
      <c r="I957" s="6" t="s">
        <v>1790</v>
      </c>
      <c r="J957" s="7" t="s">
        <v>5</v>
      </c>
      <c r="K957" s="4" t="s">
        <v>10</v>
      </c>
      <c r="L957" s="4" t="s">
        <v>27</v>
      </c>
      <c r="M957" s="4" t="s">
        <v>374</v>
      </c>
      <c r="N957" s="4" t="s">
        <v>2583</v>
      </c>
      <c r="O957" s="89"/>
      <c r="P957" s="25">
        <v>45586</v>
      </c>
      <c r="Q957" s="7" t="s">
        <v>1192</v>
      </c>
      <c r="R957" s="90" t="s">
        <v>3256</v>
      </c>
      <c r="S957" s="94" t="s">
        <v>1795</v>
      </c>
      <c r="T957" s="4" t="s">
        <v>1199</v>
      </c>
      <c r="U957" s="4" t="s">
        <v>107</v>
      </c>
      <c r="V957" s="97">
        <v>99</v>
      </c>
      <c r="W957" s="85">
        <v>46316</v>
      </c>
      <c r="X957" s="4" t="s">
        <v>1197</v>
      </c>
      <c r="Y957" s="4">
        <v>568654304</v>
      </c>
      <c r="Z957" s="4">
        <v>0</v>
      </c>
      <c r="AA957" s="4" t="s">
        <v>127</v>
      </c>
      <c r="AB957" s="4" t="s">
        <v>4290</v>
      </c>
    </row>
    <row r="958" spans="1:28">
      <c r="A958" s="4">
        <v>957</v>
      </c>
      <c r="B958" s="5">
        <v>14887583</v>
      </c>
      <c r="C958" s="5">
        <v>109808062</v>
      </c>
      <c r="D958" s="115" t="s">
        <v>466</v>
      </c>
      <c r="E958" s="100" t="s">
        <v>467</v>
      </c>
      <c r="F958" s="7" t="s">
        <v>82</v>
      </c>
      <c r="G958" s="7" t="s">
        <v>76</v>
      </c>
      <c r="H958" s="7" t="s">
        <v>88</v>
      </c>
      <c r="I958" s="6" t="s">
        <v>119</v>
      </c>
      <c r="J958" s="7" t="s">
        <v>5</v>
      </c>
      <c r="K958" s="4" t="s">
        <v>10</v>
      </c>
      <c r="L958" s="4" t="s">
        <v>21</v>
      </c>
      <c r="M958" s="4" t="s">
        <v>3321</v>
      </c>
      <c r="N958" s="4" t="s">
        <v>2583</v>
      </c>
      <c r="O958" s="89"/>
      <c r="P958" s="25">
        <v>44782</v>
      </c>
      <c r="Q958" s="7" t="s">
        <v>1113</v>
      </c>
      <c r="R958" s="90" t="s">
        <v>3252</v>
      </c>
      <c r="S958" s="94" t="s">
        <v>1795</v>
      </c>
      <c r="T958" s="4" t="s">
        <v>81</v>
      </c>
      <c r="U958" s="4" t="s">
        <v>107</v>
      </c>
      <c r="V958" s="97">
        <v>1</v>
      </c>
      <c r="W958" s="85"/>
      <c r="X958" s="4" t="s">
        <v>3657</v>
      </c>
      <c r="Y958" s="4">
        <v>0</v>
      </c>
      <c r="Z958" s="4" t="e">
        <v>#N/A</v>
      </c>
      <c r="AA958" s="4" t="s">
        <v>127</v>
      </c>
      <c r="AB958" s="4" t="s">
        <v>4290</v>
      </c>
    </row>
    <row r="959" spans="1:28">
      <c r="A959" s="4">
        <v>958</v>
      </c>
      <c r="B959" s="5">
        <v>344108</v>
      </c>
      <c r="C959" s="5">
        <v>206850965</v>
      </c>
      <c r="D959" s="115" t="s">
        <v>3319</v>
      </c>
      <c r="E959" s="108" t="s">
        <v>3288</v>
      </c>
      <c r="F959" s="7" t="s">
        <v>74</v>
      </c>
      <c r="G959" s="7" t="s">
        <v>76</v>
      </c>
      <c r="H959" s="7" t="s">
        <v>88</v>
      </c>
      <c r="I959" s="7" t="s">
        <v>1789</v>
      </c>
      <c r="J959" s="7" t="s">
        <v>5</v>
      </c>
      <c r="K959" s="4" t="s">
        <v>10</v>
      </c>
      <c r="L959" s="5" t="s">
        <v>22</v>
      </c>
      <c r="M959" s="4" t="s">
        <v>4361</v>
      </c>
      <c r="N959" s="5" t="s">
        <v>3289</v>
      </c>
      <c r="O959" s="89"/>
      <c r="P959" s="25">
        <v>46013</v>
      </c>
      <c r="Q959" s="7" t="s">
        <v>1112</v>
      </c>
      <c r="R959" s="90" t="s">
        <v>3256</v>
      </c>
      <c r="S959" s="93" t="s">
        <v>1795</v>
      </c>
      <c r="T959" s="5" t="s">
        <v>81</v>
      </c>
      <c r="U959" s="5"/>
      <c r="V959" s="96">
        <v>99</v>
      </c>
      <c r="W959" s="91">
        <v>45648</v>
      </c>
      <c r="X959" s="5" t="s">
        <v>3290</v>
      </c>
      <c r="Y959" s="5">
        <v>505628726</v>
      </c>
      <c r="Z959" s="5" t="s">
        <v>3307</v>
      </c>
      <c r="AA959" s="4" t="s">
        <v>95</v>
      </c>
      <c r="AB959" s="4" t="s">
        <v>4290</v>
      </c>
    </row>
    <row r="960" spans="1:28">
      <c r="A960" s="4">
        <v>959</v>
      </c>
      <c r="B960" s="5">
        <v>14222703</v>
      </c>
      <c r="C960" s="5">
        <v>113090891</v>
      </c>
      <c r="D960" s="115" t="s">
        <v>1753</v>
      </c>
      <c r="E960" s="100" t="s">
        <v>1711</v>
      </c>
      <c r="F960" s="7" t="s">
        <v>74</v>
      </c>
      <c r="G960" s="7" t="s">
        <v>90</v>
      </c>
      <c r="H960" s="7" t="s">
        <v>87</v>
      </c>
      <c r="I960" s="6" t="s">
        <v>1790</v>
      </c>
      <c r="J960" s="7" t="s">
        <v>5</v>
      </c>
      <c r="K960" s="4" t="s">
        <v>10</v>
      </c>
      <c r="L960" s="4" t="s">
        <v>27</v>
      </c>
      <c r="M960" s="4" t="s">
        <v>3321</v>
      </c>
      <c r="N960" s="4" t="s">
        <v>2584</v>
      </c>
      <c r="O960" s="89"/>
      <c r="P960" s="25">
        <v>45589</v>
      </c>
      <c r="Q960" s="7" t="s">
        <v>1112</v>
      </c>
      <c r="R960" s="90" t="s">
        <v>3255</v>
      </c>
      <c r="S960" s="94" t="s">
        <v>1795</v>
      </c>
      <c r="T960" s="4" t="s">
        <v>1199</v>
      </c>
      <c r="U960" s="4" t="s">
        <v>107</v>
      </c>
      <c r="V960" s="97">
        <v>99</v>
      </c>
      <c r="W960" s="85">
        <v>46319</v>
      </c>
      <c r="X960" s="4" t="s">
        <v>1197</v>
      </c>
      <c r="Y960" s="4">
        <v>525583646</v>
      </c>
      <c r="Z960" s="4" t="s">
        <v>2137</v>
      </c>
      <c r="AA960" s="4" t="s">
        <v>127</v>
      </c>
      <c r="AB960" s="4" t="s">
        <v>4290</v>
      </c>
    </row>
    <row r="961" spans="1:28" ht="14.5" customHeight="1">
      <c r="A961" s="4">
        <v>960</v>
      </c>
      <c r="B961" s="5">
        <v>11527500</v>
      </c>
      <c r="C961" s="5">
        <v>103909188</v>
      </c>
      <c r="D961" s="115" t="s">
        <v>581</v>
      </c>
      <c r="E961" s="100" t="s">
        <v>582</v>
      </c>
      <c r="F961" s="7" t="s">
        <v>82</v>
      </c>
      <c r="G961" s="7" t="s">
        <v>89</v>
      </c>
      <c r="H961" s="7" t="s">
        <v>90</v>
      </c>
      <c r="I961" s="6" t="s">
        <v>244</v>
      </c>
      <c r="J961" s="7" t="s">
        <v>5</v>
      </c>
      <c r="K961" s="4" t="s">
        <v>10</v>
      </c>
      <c r="L961" s="4" t="s">
        <v>21</v>
      </c>
      <c r="M961" s="4" t="s">
        <v>4314</v>
      </c>
      <c r="N961" s="4" t="s">
        <v>2583</v>
      </c>
      <c r="O961" s="89"/>
      <c r="P961" s="25">
        <v>44067</v>
      </c>
      <c r="Q961" s="7" t="s">
        <v>1111</v>
      </c>
      <c r="R961" s="90" t="s">
        <v>3257</v>
      </c>
      <c r="S961" s="94" t="s">
        <v>1795</v>
      </c>
      <c r="T961" s="4" t="s">
        <v>81</v>
      </c>
      <c r="U961" s="4" t="s">
        <v>107</v>
      </c>
      <c r="V961" s="97">
        <v>3</v>
      </c>
      <c r="W961" s="85"/>
      <c r="X961" s="4" t="s">
        <v>2355</v>
      </c>
      <c r="Y961" s="4">
        <v>0</v>
      </c>
      <c r="Z961" s="4" t="e">
        <v>#N/A</v>
      </c>
      <c r="AA961" s="4" t="s">
        <v>1194</v>
      </c>
      <c r="AB961" s="4" t="s">
        <v>4290</v>
      </c>
    </row>
    <row r="962" spans="1:28">
      <c r="A962" s="4">
        <v>961</v>
      </c>
      <c r="B962" s="5">
        <v>12719484</v>
      </c>
      <c r="C962" s="5">
        <v>107117479</v>
      </c>
      <c r="D962" s="115" t="s">
        <v>626</v>
      </c>
      <c r="E962" s="4" t="s">
        <v>627</v>
      </c>
      <c r="F962" s="7" t="s">
        <v>82</v>
      </c>
      <c r="G962" s="7" t="s">
        <v>94</v>
      </c>
      <c r="H962" s="7" t="s">
        <v>89</v>
      </c>
      <c r="I962" s="6" t="s">
        <v>244</v>
      </c>
      <c r="J962" s="7" t="s">
        <v>5</v>
      </c>
      <c r="K962" s="4" t="s">
        <v>10</v>
      </c>
      <c r="L962" s="4" t="s">
        <v>21</v>
      </c>
      <c r="M962" s="5" t="s">
        <v>3321</v>
      </c>
      <c r="N962" s="4"/>
      <c r="O962" s="89"/>
      <c r="P962" s="25">
        <v>44782</v>
      </c>
      <c r="Q962" s="7" t="s">
        <v>1111</v>
      </c>
      <c r="R962" s="90" t="s">
        <v>3260</v>
      </c>
      <c r="S962" s="6" t="s">
        <v>1795</v>
      </c>
      <c r="T962" s="4" t="s">
        <v>81</v>
      </c>
      <c r="U962" s="4" t="s">
        <v>107</v>
      </c>
      <c r="V962" s="4">
        <v>3</v>
      </c>
      <c r="W962" s="85"/>
      <c r="X962" s="4" t="s">
        <v>3474</v>
      </c>
      <c r="Y962" s="4">
        <v>0</v>
      </c>
      <c r="Z962" s="4" t="e">
        <v>#N/A</v>
      </c>
      <c r="AA962" s="4" t="s">
        <v>1194</v>
      </c>
      <c r="AB962" s="4" t="s">
        <v>4290</v>
      </c>
    </row>
    <row r="963" spans="1:28">
      <c r="A963" s="4">
        <v>962</v>
      </c>
      <c r="B963" s="5">
        <v>15298703</v>
      </c>
      <c r="C963" s="5">
        <v>203908331</v>
      </c>
      <c r="D963" s="115" t="s">
        <v>1143</v>
      </c>
      <c r="E963" s="4" t="s">
        <v>1144</v>
      </c>
      <c r="F963" s="7" t="s">
        <v>82</v>
      </c>
      <c r="G963" s="7" t="s">
        <v>89</v>
      </c>
      <c r="H963" s="7" t="s">
        <v>90</v>
      </c>
      <c r="I963" s="6" t="s">
        <v>1790</v>
      </c>
      <c r="J963" s="7" t="s">
        <v>5</v>
      </c>
      <c r="K963" s="4" t="s">
        <v>10</v>
      </c>
      <c r="L963" s="4" t="s">
        <v>22</v>
      </c>
      <c r="M963" s="4" t="s">
        <v>4314</v>
      </c>
      <c r="N963" s="4" t="s">
        <v>2584</v>
      </c>
      <c r="O963" s="89"/>
      <c r="P963" s="25">
        <v>45537</v>
      </c>
      <c r="Q963" s="7" t="s">
        <v>1113</v>
      </c>
      <c r="R963" s="90" t="s">
        <v>3252</v>
      </c>
      <c r="S963" s="6" t="s">
        <v>1795</v>
      </c>
      <c r="T963" s="4" t="s">
        <v>81</v>
      </c>
      <c r="U963" s="4" t="s">
        <v>349</v>
      </c>
      <c r="V963" s="4">
        <v>99</v>
      </c>
      <c r="W963" s="85">
        <v>45593</v>
      </c>
      <c r="X963" s="4" t="s">
        <v>1216</v>
      </c>
      <c r="Y963" s="4">
        <v>552700692</v>
      </c>
      <c r="Z963" s="4" t="s">
        <v>2138</v>
      </c>
      <c r="AA963" s="4" t="s">
        <v>95</v>
      </c>
      <c r="AB963" s="4" t="s">
        <v>4289</v>
      </c>
    </row>
    <row r="964" spans="1:28">
      <c r="A964" s="4">
        <v>963</v>
      </c>
      <c r="B964" s="5">
        <v>13334545</v>
      </c>
      <c r="C964" s="5">
        <v>204094492</v>
      </c>
      <c r="D964" s="115" t="s">
        <v>1505</v>
      </c>
      <c r="E964" s="4" t="s">
        <v>1506</v>
      </c>
      <c r="F964" s="7" t="s">
        <v>82</v>
      </c>
      <c r="G964" s="7" t="s">
        <v>76</v>
      </c>
      <c r="H964" s="7" t="s">
        <v>88</v>
      </c>
      <c r="I964" s="6" t="s">
        <v>1790</v>
      </c>
      <c r="J964" s="7" t="s">
        <v>5</v>
      </c>
      <c r="K964" s="4" t="s">
        <v>10</v>
      </c>
      <c r="L964" s="4" t="s">
        <v>27</v>
      </c>
      <c r="M964" s="4" t="s">
        <v>3321</v>
      </c>
      <c r="N964" s="4" t="s">
        <v>2584</v>
      </c>
      <c r="O964" s="89"/>
      <c r="P964" s="25">
        <v>45561</v>
      </c>
      <c r="Q964" s="7" t="s">
        <v>1112</v>
      </c>
      <c r="R964" s="90" t="s">
        <v>3255</v>
      </c>
      <c r="S964" s="6" t="s">
        <v>1795</v>
      </c>
      <c r="T964" s="4" t="s">
        <v>92</v>
      </c>
      <c r="U964" s="4" t="s">
        <v>103</v>
      </c>
      <c r="V964" s="4">
        <v>99</v>
      </c>
      <c r="W964" s="85">
        <v>46291</v>
      </c>
      <c r="X964" s="4" t="s">
        <v>3690</v>
      </c>
      <c r="Y964" s="4">
        <v>588823216</v>
      </c>
      <c r="Z964" s="4" t="s">
        <v>2139</v>
      </c>
      <c r="AA964" s="4" t="s">
        <v>1198</v>
      </c>
      <c r="AB964" s="4" t="s">
        <v>4289</v>
      </c>
    </row>
    <row r="965" spans="1:28">
      <c r="A965" s="4">
        <v>964</v>
      </c>
      <c r="B965" s="5">
        <v>12162305</v>
      </c>
      <c r="C965" s="5">
        <v>203850900</v>
      </c>
      <c r="D965" s="115" t="s">
        <v>780</v>
      </c>
      <c r="E965" s="4" t="s">
        <v>781</v>
      </c>
      <c r="F965" s="7" t="s">
        <v>82</v>
      </c>
      <c r="G965" s="7" t="s">
        <v>89</v>
      </c>
      <c r="H965" s="7" t="s">
        <v>90</v>
      </c>
      <c r="I965" s="6" t="s">
        <v>1790</v>
      </c>
      <c r="J965" s="7" t="s">
        <v>5</v>
      </c>
      <c r="K965" s="4" t="s">
        <v>10</v>
      </c>
      <c r="L965" s="4" t="s">
        <v>22</v>
      </c>
      <c r="M965" s="4" t="s">
        <v>4314</v>
      </c>
      <c r="N965" s="4" t="s">
        <v>2584</v>
      </c>
      <c r="O965" s="89"/>
      <c r="P965" s="25">
        <v>45524</v>
      </c>
      <c r="Q965" s="7" t="s">
        <v>1112</v>
      </c>
      <c r="R965" s="90" t="s">
        <v>3262</v>
      </c>
      <c r="S965" s="6" t="s">
        <v>1795</v>
      </c>
      <c r="T965" s="4" t="s">
        <v>81</v>
      </c>
      <c r="U965" s="4" t="s">
        <v>349</v>
      </c>
      <c r="V965" s="4">
        <v>99</v>
      </c>
      <c r="W965" s="85">
        <v>45580</v>
      </c>
      <c r="X965" s="4" t="s">
        <v>1216</v>
      </c>
      <c r="Y965" s="4">
        <v>505350170</v>
      </c>
      <c r="Z965" s="4" t="s">
        <v>2140</v>
      </c>
      <c r="AA965" s="4" t="s">
        <v>95</v>
      </c>
      <c r="AB965" s="4" t="s">
        <v>4290</v>
      </c>
    </row>
    <row r="966" spans="1:28">
      <c r="A966" s="4">
        <v>965</v>
      </c>
      <c r="B966" s="5">
        <v>12366814</v>
      </c>
      <c r="C966" s="5">
        <v>206926476</v>
      </c>
      <c r="D966" s="115" t="s">
        <v>3916</v>
      </c>
      <c r="E966" s="4" t="s">
        <v>3917</v>
      </c>
      <c r="F966" s="7" t="s">
        <v>74</v>
      </c>
      <c r="G966" s="7" t="s">
        <v>75</v>
      </c>
      <c r="H966" s="7" t="s">
        <v>76</v>
      </c>
      <c r="I966" s="7" t="s">
        <v>1789</v>
      </c>
      <c r="J966" s="7" t="s">
        <v>5</v>
      </c>
      <c r="K966" s="7" t="s">
        <v>10</v>
      </c>
      <c r="L966" s="7" t="s">
        <v>22</v>
      </c>
      <c r="M966" s="7" t="s">
        <v>2741</v>
      </c>
      <c r="N966" s="4" t="s">
        <v>2584</v>
      </c>
      <c r="O966" s="89"/>
      <c r="P966" s="25">
        <v>46037</v>
      </c>
      <c r="Q966" s="7" t="s">
        <v>1112</v>
      </c>
      <c r="R966" s="4" t="s">
        <v>3260</v>
      </c>
      <c r="S966" s="6" t="s">
        <v>1795</v>
      </c>
      <c r="T966" s="4" t="s">
        <v>81</v>
      </c>
      <c r="U966" s="4"/>
      <c r="V966" s="4">
        <v>99</v>
      </c>
      <c r="W966" s="4"/>
      <c r="X966" s="4" t="s">
        <v>3290</v>
      </c>
      <c r="Y966" s="4">
        <v>523645875</v>
      </c>
      <c r="Z966" s="4" t="s">
        <v>3918</v>
      </c>
      <c r="AA966" s="4" t="s">
        <v>95</v>
      </c>
      <c r="AB966" s="4" t="s">
        <v>4290</v>
      </c>
    </row>
    <row r="967" spans="1:28">
      <c r="A967" s="4">
        <v>966</v>
      </c>
      <c r="B967" s="4">
        <v>14118477</v>
      </c>
      <c r="C967" s="5">
        <v>206491343</v>
      </c>
      <c r="D967" s="115" t="s">
        <v>4179</v>
      </c>
      <c r="E967" s="4" t="s">
        <v>4386</v>
      </c>
      <c r="F967" s="7" t="s">
        <v>82</v>
      </c>
      <c r="G967" s="7" t="s">
        <v>89</v>
      </c>
      <c r="H967" s="7" t="s">
        <v>90</v>
      </c>
      <c r="I967" s="4" t="s">
        <v>1789</v>
      </c>
      <c r="J967" s="4" t="s">
        <v>5</v>
      </c>
      <c r="K967" s="4" t="s">
        <v>10</v>
      </c>
      <c r="L967" s="4" t="s">
        <v>23</v>
      </c>
      <c r="M967" s="4" t="s">
        <v>4314</v>
      </c>
      <c r="N967" s="4"/>
      <c r="O967" s="4"/>
      <c r="P967" s="25">
        <v>46238</v>
      </c>
      <c r="Q967" s="4" t="s">
        <v>1113</v>
      </c>
      <c r="R967" s="4"/>
      <c r="S967" s="6" t="s">
        <v>1796</v>
      </c>
      <c r="T967" s="4" t="s">
        <v>92</v>
      </c>
      <c r="U967" s="4"/>
      <c r="V967" s="4">
        <v>99</v>
      </c>
      <c r="W967" s="4"/>
      <c r="X967" s="4"/>
      <c r="Y967" s="4"/>
      <c r="Z967" s="4"/>
      <c r="AA967" s="4"/>
      <c r="AB967" s="4"/>
    </row>
    <row r="968" spans="1:28">
      <c r="A968" s="4">
        <v>967</v>
      </c>
      <c r="B968" s="5">
        <v>12118556</v>
      </c>
      <c r="C968" s="5">
        <v>206853791</v>
      </c>
      <c r="D968" s="115" t="s">
        <v>3618</v>
      </c>
      <c r="E968" s="4" t="s">
        <v>3639</v>
      </c>
      <c r="F968" s="7" t="s">
        <v>82</v>
      </c>
      <c r="G968" s="7" t="s">
        <v>75</v>
      </c>
      <c r="H968" s="7" t="s">
        <v>76</v>
      </c>
      <c r="I968" s="7" t="s">
        <v>1789</v>
      </c>
      <c r="J968" s="6" t="s">
        <v>5</v>
      </c>
      <c r="K968" s="6" t="s">
        <v>10</v>
      </c>
      <c r="L968" s="4" t="s">
        <v>22</v>
      </c>
      <c r="M968" s="4" t="s">
        <v>3321</v>
      </c>
      <c r="N968" s="4" t="s">
        <v>2584</v>
      </c>
      <c r="O968" s="89"/>
      <c r="P968" s="25">
        <v>46030</v>
      </c>
      <c r="Q968" s="7" t="s">
        <v>1112</v>
      </c>
      <c r="R968" s="4" t="s">
        <v>3262</v>
      </c>
      <c r="S968" s="6" t="s">
        <v>1795</v>
      </c>
      <c r="T968" s="4" t="s">
        <v>81</v>
      </c>
      <c r="U968" s="4"/>
      <c r="V968" s="4">
        <v>99</v>
      </c>
      <c r="W968" s="85">
        <v>46395</v>
      </c>
      <c r="X968" s="4" t="s">
        <v>3290</v>
      </c>
      <c r="Y968" s="4">
        <v>529876435</v>
      </c>
      <c r="Z968" s="4" t="s">
        <v>3661</v>
      </c>
      <c r="AA968" s="4" t="s">
        <v>3016</v>
      </c>
      <c r="AB968" s="4" t="e">
        <v>#N/A</v>
      </c>
    </row>
    <row r="969" spans="1:28">
      <c r="A969" s="4">
        <v>968</v>
      </c>
      <c r="B969" s="4">
        <v>13167272</v>
      </c>
      <c r="C969" s="5">
        <v>205252357</v>
      </c>
      <c r="D969" s="115" t="s">
        <v>4165</v>
      </c>
      <c r="E969" s="4" t="s">
        <v>4384</v>
      </c>
      <c r="F969" s="7" t="s">
        <v>82</v>
      </c>
      <c r="G969" s="7" t="s">
        <v>88</v>
      </c>
      <c r="H969" s="7" t="s">
        <v>94</v>
      </c>
      <c r="I969" s="4" t="s">
        <v>1789</v>
      </c>
      <c r="J969" s="4" t="s">
        <v>5</v>
      </c>
      <c r="K969" s="4" t="s">
        <v>10</v>
      </c>
      <c r="L969" s="4" t="s">
        <v>23</v>
      </c>
      <c r="M969" s="4" t="s">
        <v>4314</v>
      </c>
      <c r="N969" s="4"/>
      <c r="O969" s="4"/>
      <c r="P969" s="25">
        <v>46238</v>
      </c>
      <c r="Q969" s="4" t="s">
        <v>1113</v>
      </c>
      <c r="R969" s="4"/>
      <c r="S969" s="6" t="s">
        <v>1796</v>
      </c>
      <c r="T969" s="4" t="s">
        <v>92</v>
      </c>
      <c r="U969" s="4"/>
      <c r="V969" s="4">
        <v>99</v>
      </c>
      <c r="W969" s="4"/>
      <c r="X969" s="4"/>
      <c r="Y969" s="4"/>
      <c r="Z969" s="4"/>
      <c r="AA969" s="4"/>
      <c r="AB969" s="4"/>
    </row>
    <row r="970" spans="1:28">
      <c r="A970" s="4">
        <v>969</v>
      </c>
      <c r="B970" s="5">
        <v>11554061</v>
      </c>
      <c r="C970" s="5">
        <v>203736773</v>
      </c>
      <c r="D970" s="115" t="s">
        <v>291</v>
      </c>
      <c r="E970" s="4" t="s">
        <v>292</v>
      </c>
      <c r="F970" s="7" t="s">
        <v>74</v>
      </c>
      <c r="G970" s="7" t="s">
        <v>89</v>
      </c>
      <c r="H970" s="7" t="s">
        <v>90</v>
      </c>
      <c r="I970" s="6" t="s">
        <v>1790</v>
      </c>
      <c r="J970" s="7" t="s">
        <v>5</v>
      </c>
      <c r="K970" s="4" t="s">
        <v>10</v>
      </c>
      <c r="L970" s="4" t="s">
        <v>20</v>
      </c>
      <c r="M970" s="4" t="s">
        <v>3321</v>
      </c>
      <c r="N970" s="4" t="s">
        <v>2584</v>
      </c>
      <c r="O970" s="89"/>
      <c r="P970" s="25">
        <v>45502</v>
      </c>
      <c r="Q970" s="7" t="s">
        <v>1112</v>
      </c>
      <c r="R970" s="90" t="s">
        <v>3253</v>
      </c>
      <c r="S970" s="6" t="s">
        <v>1795</v>
      </c>
      <c r="T970" s="4" t="s">
        <v>81</v>
      </c>
      <c r="U970" s="4" t="s">
        <v>107</v>
      </c>
      <c r="V970" s="4">
        <v>99</v>
      </c>
      <c r="W970" s="85">
        <v>46232</v>
      </c>
      <c r="X970" s="4" t="s">
        <v>3703</v>
      </c>
      <c r="Y970" s="4">
        <v>557836643</v>
      </c>
      <c r="Z970" s="4" t="s">
        <v>2141</v>
      </c>
      <c r="AA970" s="4" t="s">
        <v>1211</v>
      </c>
      <c r="AB970" s="4" t="s">
        <v>4289</v>
      </c>
    </row>
    <row r="971" spans="1:28">
      <c r="A971" s="4">
        <v>970</v>
      </c>
      <c r="B971" s="5">
        <v>15008393</v>
      </c>
      <c r="C971" s="5">
        <v>204013730</v>
      </c>
      <c r="D971" s="115" t="s">
        <v>1415</v>
      </c>
      <c r="E971" s="4" t="s">
        <v>1416</v>
      </c>
      <c r="F971" s="7" t="s">
        <v>74</v>
      </c>
      <c r="G971" s="7" t="s">
        <v>87</v>
      </c>
      <c r="H971" s="7" t="s">
        <v>75</v>
      </c>
      <c r="I971" s="6" t="s">
        <v>1788</v>
      </c>
      <c r="J971" s="7" t="s">
        <v>5</v>
      </c>
      <c r="K971" s="4" t="s">
        <v>10</v>
      </c>
      <c r="L971" s="4" t="s">
        <v>24</v>
      </c>
      <c r="M971" s="4" t="s">
        <v>4314</v>
      </c>
      <c r="N971" s="4" t="s">
        <v>2584</v>
      </c>
      <c r="O971" s="89"/>
      <c r="P971" s="25">
        <v>45551</v>
      </c>
      <c r="Q971" s="7" t="s">
        <v>1112</v>
      </c>
      <c r="R971" s="90" t="s">
        <v>3256</v>
      </c>
      <c r="S971" s="6" t="s">
        <v>1795</v>
      </c>
      <c r="T971" s="4" t="s">
        <v>81</v>
      </c>
      <c r="U971" s="4" t="s">
        <v>349</v>
      </c>
      <c r="V971" s="4">
        <v>99</v>
      </c>
      <c r="W971" s="85">
        <v>45916</v>
      </c>
      <c r="X971" s="4" t="s">
        <v>3739</v>
      </c>
      <c r="Y971" s="4">
        <v>581247984</v>
      </c>
      <c r="Z971" s="4" t="s">
        <v>1432</v>
      </c>
      <c r="AA971" s="4" t="s">
        <v>1207</v>
      </c>
      <c r="AB971" s="4" t="s">
        <v>4289</v>
      </c>
    </row>
    <row r="972" spans="1:28">
      <c r="A972" s="4">
        <v>971</v>
      </c>
      <c r="B972" s="5">
        <v>13395606</v>
      </c>
      <c r="C972" s="5">
        <v>106268183</v>
      </c>
      <c r="D972" s="115" t="s">
        <v>396</v>
      </c>
      <c r="E972" s="4" t="s">
        <v>397</v>
      </c>
      <c r="F972" s="7" t="s">
        <v>82</v>
      </c>
      <c r="G972" s="7" t="s">
        <v>76</v>
      </c>
      <c r="H972" s="7" t="s">
        <v>88</v>
      </c>
      <c r="I972" s="6" t="s">
        <v>244</v>
      </c>
      <c r="J972" s="7" t="s">
        <v>5</v>
      </c>
      <c r="K972" s="4" t="s">
        <v>10</v>
      </c>
      <c r="L972" s="4" t="s">
        <v>21</v>
      </c>
      <c r="M972" s="4" t="s">
        <v>4313</v>
      </c>
      <c r="N972" s="4" t="s">
        <v>2583</v>
      </c>
      <c r="O972" s="89"/>
      <c r="P972" s="25">
        <v>44831</v>
      </c>
      <c r="Q972" s="7" t="s">
        <v>1111</v>
      </c>
      <c r="R972" s="90" t="s">
        <v>3258</v>
      </c>
      <c r="S972" s="6" t="s">
        <v>1795</v>
      </c>
      <c r="T972" s="4" t="s">
        <v>81</v>
      </c>
      <c r="U972" s="4" t="s">
        <v>112</v>
      </c>
      <c r="V972" s="4">
        <v>3</v>
      </c>
      <c r="W972" s="85"/>
      <c r="X972" s="4" t="s">
        <v>3474</v>
      </c>
      <c r="Y972" s="4">
        <v>0</v>
      </c>
      <c r="Z972" s="4" t="e">
        <v>#N/A</v>
      </c>
      <c r="AA972" s="4" t="s">
        <v>1194</v>
      </c>
      <c r="AB972" s="4" t="s">
        <v>4290</v>
      </c>
    </row>
    <row r="973" spans="1:28">
      <c r="A973" s="4">
        <v>972</v>
      </c>
      <c r="B973" s="4">
        <v>12876609</v>
      </c>
      <c r="C973" s="5">
        <v>206240253</v>
      </c>
      <c r="D973" s="115" t="s">
        <v>3881</v>
      </c>
      <c r="E973" s="4" t="s">
        <v>4393</v>
      </c>
      <c r="F973" s="7" t="s">
        <v>82</v>
      </c>
      <c r="G973" s="7" t="s">
        <v>88</v>
      </c>
      <c r="H973" s="7" t="s">
        <v>94</v>
      </c>
      <c r="I973" s="4" t="s">
        <v>1789</v>
      </c>
      <c r="J973" s="4" t="s">
        <v>5</v>
      </c>
      <c r="K973" s="4" t="s">
        <v>10</v>
      </c>
      <c r="L973" s="4" t="s">
        <v>23</v>
      </c>
      <c r="M973" s="4" t="s">
        <v>4314</v>
      </c>
      <c r="N973" s="4"/>
      <c r="O973" s="4"/>
      <c r="P973" s="25">
        <v>46238</v>
      </c>
      <c r="Q973" s="4" t="s">
        <v>1112</v>
      </c>
      <c r="R973" s="4"/>
      <c r="S973" s="6" t="s">
        <v>1796</v>
      </c>
      <c r="T973" s="4" t="s">
        <v>92</v>
      </c>
      <c r="U973" s="4"/>
      <c r="V973" s="4">
        <v>99</v>
      </c>
      <c r="W973" s="4"/>
      <c r="X973" s="4"/>
      <c r="Y973" s="4"/>
      <c r="Z973" s="4"/>
      <c r="AA973" s="4"/>
      <c r="AB973" s="4"/>
    </row>
    <row r="974" spans="1:28">
      <c r="A974" s="4">
        <v>973</v>
      </c>
      <c r="B974" s="5">
        <v>15119134</v>
      </c>
      <c r="C974" s="5">
        <v>203965449</v>
      </c>
      <c r="D974" s="115" t="s">
        <v>1319</v>
      </c>
      <c r="E974" s="4" t="s">
        <v>1320</v>
      </c>
      <c r="F974" s="7" t="s">
        <v>74</v>
      </c>
      <c r="G974" s="7" t="s">
        <v>88</v>
      </c>
      <c r="H974" s="7" t="s">
        <v>94</v>
      </c>
      <c r="I974" s="6" t="s">
        <v>1788</v>
      </c>
      <c r="J974" s="7" t="s">
        <v>5</v>
      </c>
      <c r="K974" s="4" t="s">
        <v>10</v>
      </c>
      <c r="L974" s="4" t="s">
        <v>24</v>
      </c>
      <c r="M974" s="4" t="s">
        <v>393</v>
      </c>
      <c r="N974" s="4" t="s">
        <v>2584</v>
      </c>
      <c r="O974" s="89"/>
      <c r="P974" s="25">
        <v>45544</v>
      </c>
      <c r="Q974" s="7" t="s">
        <v>1113</v>
      </c>
      <c r="R974" s="90" t="s">
        <v>2586</v>
      </c>
      <c r="S974" s="6" t="s">
        <v>1795</v>
      </c>
      <c r="T974" s="4" t="s">
        <v>92</v>
      </c>
      <c r="U974" s="4" t="s">
        <v>103</v>
      </c>
      <c r="V974" s="4">
        <v>99</v>
      </c>
      <c r="W974" s="85">
        <v>45909</v>
      </c>
      <c r="X974" s="4" t="s">
        <v>3474</v>
      </c>
      <c r="Y974" s="4">
        <v>555824167</v>
      </c>
      <c r="Z974" s="4" t="s">
        <v>2142</v>
      </c>
      <c r="AA974" s="4" t="s">
        <v>1196</v>
      </c>
      <c r="AB974" s="4" t="s">
        <v>4289</v>
      </c>
    </row>
    <row r="975" spans="1:28" ht="14.5" customHeight="1">
      <c r="A975" s="4">
        <v>974</v>
      </c>
      <c r="B975" s="5">
        <v>11265829</v>
      </c>
      <c r="C975" s="4">
        <v>205938163</v>
      </c>
      <c r="D975" s="115" t="s">
        <v>4259</v>
      </c>
      <c r="E975" s="4" t="s">
        <v>4261</v>
      </c>
      <c r="F975" s="7" t="s">
        <v>82</v>
      </c>
      <c r="G975" s="7" t="s">
        <v>94</v>
      </c>
      <c r="H975" s="7" t="s">
        <v>89</v>
      </c>
      <c r="I975" s="7" t="s">
        <v>1789</v>
      </c>
      <c r="J975" s="7" t="s">
        <v>5</v>
      </c>
      <c r="K975" s="4" t="s">
        <v>10</v>
      </c>
      <c r="L975" s="83" t="s">
        <v>23</v>
      </c>
      <c r="M975" s="102" t="s">
        <v>4314</v>
      </c>
      <c r="N975" s="4" t="s">
        <v>2584</v>
      </c>
      <c r="O975" s="89"/>
      <c r="P975" s="25">
        <v>46051</v>
      </c>
      <c r="Q975" s="7" t="s">
        <v>1112</v>
      </c>
      <c r="R975" s="4" t="s">
        <v>3260</v>
      </c>
      <c r="S975" s="6" t="s">
        <v>1795</v>
      </c>
      <c r="T975" s="4" t="s">
        <v>81</v>
      </c>
      <c r="U975" s="4"/>
      <c r="V975" s="4">
        <v>99</v>
      </c>
      <c r="W975" s="85">
        <v>46107</v>
      </c>
      <c r="X975" s="4"/>
      <c r="Y975" s="4"/>
      <c r="Z975" s="4"/>
      <c r="AA975" s="4"/>
      <c r="AB975" s="4" t="e">
        <v>#N/A</v>
      </c>
    </row>
    <row r="976" spans="1:28">
      <c r="A976" s="4">
        <v>975</v>
      </c>
      <c r="B976" s="106">
        <v>14778031</v>
      </c>
      <c r="C976" s="5">
        <v>205279080</v>
      </c>
      <c r="D976" s="115" t="s">
        <v>4173</v>
      </c>
      <c r="E976" s="4" t="s">
        <v>4174</v>
      </c>
      <c r="F976" s="7" t="s">
        <v>74</v>
      </c>
      <c r="G976" s="7" t="s">
        <v>90</v>
      </c>
      <c r="H976" s="7" t="s">
        <v>87</v>
      </c>
      <c r="I976" s="7" t="s">
        <v>1788</v>
      </c>
      <c r="J976" s="7" t="s">
        <v>5</v>
      </c>
      <c r="K976" s="7" t="s">
        <v>10</v>
      </c>
      <c r="L976" s="7" t="s">
        <v>23</v>
      </c>
      <c r="M976" s="7" t="s">
        <v>374</v>
      </c>
      <c r="N976" s="4" t="s">
        <v>2584</v>
      </c>
      <c r="O976" s="89"/>
      <c r="P976" s="25">
        <v>46048</v>
      </c>
      <c r="Q976" s="7" t="s">
        <v>1112</v>
      </c>
      <c r="R976" s="4" t="s">
        <v>3264</v>
      </c>
      <c r="S976" s="7" t="s">
        <v>1795</v>
      </c>
      <c r="T976" s="7" t="s">
        <v>92</v>
      </c>
      <c r="U976" s="4"/>
      <c r="V976" s="4">
        <v>99</v>
      </c>
      <c r="W976" s="85">
        <v>46104</v>
      </c>
      <c r="X976" s="4"/>
      <c r="Y976" s="4"/>
      <c r="Z976" s="4"/>
      <c r="AA976" s="4"/>
      <c r="AB976" s="4" t="s">
        <v>4290</v>
      </c>
    </row>
    <row r="977" spans="1:28">
      <c r="A977" s="4">
        <v>976</v>
      </c>
      <c r="B977" s="5">
        <v>347489</v>
      </c>
      <c r="C977" s="5">
        <v>206004601</v>
      </c>
      <c r="D977" s="115" t="s">
        <v>2847</v>
      </c>
      <c r="E977" s="4" t="s">
        <v>2848</v>
      </c>
      <c r="F977" s="7" t="s">
        <v>74</v>
      </c>
      <c r="G977" s="7" t="s">
        <v>87</v>
      </c>
      <c r="H977" s="7" t="s">
        <v>75</v>
      </c>
      <c r="I977" s="7" t="s">
        <v>1788</v>
      </c>
      <c r="J977" s="7" t="s">
        <v>5</v>
      </c>
      <c r="K977" s="4" t="s">
        <v>10</v>
      </c>
      <c r="L977" s="4" t="s">
        <v>24</v>
      </c>
      <c r="M977" s="4" t="s">
        <v>393</v>
      </c>
      <c r="N977" s="4"/>
      <c r="O977" s="89"/>
      <c r="P977" s="25">
        <v>45915</v>
      </c>
      <c r="Q977" s="7" t="s">
        <v>1112</v>
      </c>
      <c r="R977" s="4" t="s">
        <v>3261</v>
      </c>
      <c r="S977" s="6" t="s">
        <v>1795</v>
      </c>
      <c r="T977" s="4" t="s">
        <v>92</v>
      </c>
      <c r="U977" s="4" t="s">
        <v>349</v>
      </c>
      <c r="V977" s="4">
        <v>99</v>
      </c>
      <c r="W977" s="85"/>
      <c r="X977" s="4"/>
      <c r="Y977" s="4"/>
      <c r="Z977" s="4"/>
      <c r="AA977" s="4" t="s">
        <v>85</v>
      </c>
      <c r="AB977" s="4" t="s">
        <v>4289</v>
      </c>
    </row>
    <row r="978" spans="1:28">
      <c r="A978" s="4">
        <v>977</v>
      </c>
      <c r="B978" s="4">
        <v>12640245</v>
      </c>
      <c r="C978" s="4">
        <v>205853892</v>
      </c>
      <c r="D978" s="115" t="s">
        <v>2714</v>
      </c>
      <c r="E978" s="4" t="s">
        <v>2715</v>
      </c>
      <c r="F978" s="7" t="s">
        <v>82</v>
      </c>
      <c r="G978" s="7" t="s">
        <v>94</v>
      </c>
      <c r="H978" s="7" t="s">
        <v>89</v>
      </c>
      <c r="I978" s="4" t="s">
        <v>1789</v>
      </c>
      <c r="J978" s="4" t="s">
        <v>5</v>
      </c>
      <c r="K978" s="4" t="s">
        <v>10</v>
      </c>
      <c r="L978" s="4" t="s">
        <v>23</v>
      </c>
      <c r="M978" s="4" t="s">
        <v>390</v>
      </c>
      <c r="N978" s="4"/>
      <c r="O978" s="4"/>
      <c r="P978" s="25">
        <v>46226</v>
      </c>
      <c r="Q978" s="4" t="s">
        <v>1112</v>
      </c>
      <c r="R978" s="4" t="s">
        <v>3261</v>
      </c>
      <c r="S978" s="6" t="s">
        <v>1796</v>
      </c>
      <c r="T978" s="4" t="s">
        <v>92</v>
      </c>
      <c r="U978" s="4"/>
      <c r="V978" s="4">
        <v>99</v>
      </c>
      <c r="W978" s="4"/>
      <c r="X978" s="4" t="s">
        <v>3979</v>
      </c>
      <c r="Y978" s="4">
        <v>542502671</v>
      </c>
      <c r="Z978" s="4" t="s">
        <v>4371</v>
      </c>
      <c r="AA978" s="4" t="s">
        <v>85</v>
      </c>
      <c r="AB978" s="4"/>
    </row>
    <row r="979" spans="1:28">
      <c r="A979" s="4">
        <v>978</v>
      </c>
      <c r="B979" s="5">
        <v>13717069</v>
      </c>
      <c r="C979" s="5">
        <v>205997632</v>
      </c>
      <c r="D979" s="115" t="s">
        <v>2849</v>
      </c>
      <c r="E979" s="4" t="s">
        <v>2850</v>
      </c>
      <c r="F979" s="7" t="s">
        <v>74</v>
      </c>
      <c r="G979" s="7" t="s">
        <v>75</v>
      </c>
      <c r="H979" s="7" t="s">
        <v>76</v>
      </c>
      <c r="I979" s="6" t="s">
        <v>1788</v>
      </c>
      <c r="J979" s="7" t="s">
        <v>5</v>
      </c>
      <c r="K979" s="4" t="s">
        <v>10</v>
      </c>
      <c r="L979" s="4" t="s">
        <v>24</v>
      </c>
      <c r="M979" s="4" t="s">
        <v>4361</v>
      </c>
      <c r="N979" s="4"/>
      <c r="O979" s="89"/>
      <c r="P979" s="25">
        <v>45915</v>
      </c>
      <c r="Q979" s="7" t="s">
        <v>1112</v>
      </c>
      <c r="R979" s="7" t="s">
        <v>3257</v>
      </c>
      <c r="S979" s="6" t="s">
        <v>1795</v>
      </c>
      <c r="T979" s="4" t="s">
        <v>92</v>
      </c>
      <c r="U979" s="4" t="s">
        <v>349</v>
      </c>
      <c r="V979" s="4">
        <v>99</v>
      </c>
      <c r="W979" s="85"/>
      <c r="X979" s="4"/>
      <c r="Y979" s="4"/>
      <c r="Z979" s="4"/>
      <c r="AA979" s="4" t="s">
        <v>1196</v>
      </c>
      <c r="AB979" s="4" t="s">
        <v>4289</v>
      </c>
    </row>
    <row r="980" spans="1:28">
      <c r="A980" s="4">
        <v>979</v>
      </c>
      <c r="B980" s="5">
        <v>11280597</v>
      </c>
      <c r="C980" s="5">
        <v>203965010</v>
      </c>
      <c r="D980" s="115" t="s">
        <v>1307</v>
      </c>
      <c r="E980" s="4" t="s">
        <v>1308</v>
      </c>
      <c r="F980" s="7" t="s">
        <v>74</v>
      </c>
      <c r="G980" s="7" t="s">
        <v>75</v>
      </c>
      <c r="H980" s="7" t="s">
        <v>76</v>
      </c>
      <c r="I980" s="6" t="s">
        <v>1790</v>
      </c>
      <c r="J980" s="7" t="s">
        <v>5</v>
      </c>
      <c r="K980" s="4" t="s">
        <v>10</v>
      </c>
      <c r="L980" s="4" t="s">
        <v>20</v>
      </c>
      <c r="M980" s="4" t="s">
        <v>3321</v>
      </c>
      <c r="N980" s="4" t="s">
        <v>2584</v>
      </c>
      <c r="O980" s="89"/>
      <c r="P980" s="25">
        <v>45544</v>
      </c>
      <c r="Q980" s="7" t="s">
        <v>1112</v>
      </c>
      <c r="R980" s="90" t="s">
        <v>3252</v>
      </c>
      <c r="S980" s="6" t="s">
        <v>1795</v>
      </c>
      <c r="T980" s="4" t="s">
        <v>81</v>
      </c>
      <c r="U980" s="4" t="s">
        <v>103</v>
      </c>
      <c r="V980" s="4">
        <v>99</v>
      </c>
      <c r="W980" s="85">
        <v>46274</v>
      </c>
      <c r="X980" s="4" t="s">
        <v>3474</v>
      </c>
      <c r="Y980" s="4">
        <v>564257625</v>
      </c>
      <c r="Z980" s="4" t="s">
        <v>2143</v>
      </c>
      <c r="AA980" s="4" t="s">
        <v>1194</v>
      </c>
      <c r="AB980" s="4" t="s">
        <v>4290</v>
      </c>
    </row>
    <row r="981" spans="1:28">
      <c r="A981" s="4">
        <v>980</v>
      </c>
      <c r="B981" s="5">
        <v>13019493</v>
      </c>
      <c r="C981" s="5">
        <v>204095809</v>
      </c>
      <c r="D981" s="115" t="s">
        <v>1531</v>
      </c>
      <c r="E981" s="4" t="s">
        <v>1532</v>
      </c>
      <c r="F981" s="7" t="s">
        <v>82</v>
      </c>
      <c r="G981" s="7" t="s">
        <v>76</v>
      </c>
      <c r="H981" s="7" t="s">
        <v>88</v>
      </c>
      <c r="I981" s="6" t="s">
        <v>1790</v>
      </c>
      <c r="J981" s="7" t="s">
        <v>5</v>
      </c>
      <c r="K981" s="4" t="s">
        <v>10</v>
      </c>
      <c r="L981" s="4" t="s">
        <v>27</v>
      </c>
      <c r="M981" s="4" t="s">
        <v>374</v>
      </c>
      <c r="N981" s="4" t="s">
        <v>2584</v>
      </c>
      <c r="O981" s="89"/>
      <c r="P981" s="25">
        <v>45561</v>
      </c>
      <c r="Q981" s="7" t="s">
        <v>1112</v>
      </c>
      <c r="R981" s="90" t="s">
        <v>3257</v>
      </c>
      <c r="S981" s="6" t="s">
        <v>1795</v>
      </c>
      <c r="T981" s="4" t="s">
        <v>81</v>
      </c>
      <c r="U981" s="4" t="s">
        <v>107</v>
      </c>
      <c r="V981" s="4">
        <v>99</v>
      </c>
      <c r="W981" s="85">
        <v>46291</v>
      </c>
      <c r="X981" s="4" t="s">
        <v>3694</v>
      </c>
      <c r="Y981" s="4">
        <v>544694198</v>
      </c>
      <c r="Z981" s="4" t="s">
        <v>2246</v>
      </c>
      <c r="AA981" s="4" t="s">
        <v>1207</v>
      </c>
      <c r="AB981" s="4" t="s">
        <v>4289</v>
      </c>
    </row>
    <row r="982" spans="1:28">
      <c r="A982" s="4">
        <v>981</v>
      </c>
      <c r="B982" s="5">
        <v>14164201</v>
      </c>
      <c r="C982" s="5">
        <v>204116442</v>
      </c>
      <c r="D982" s="115" t="s">
        <v>1541</v>
      </c>
      <c r="E982" s="4" t="s">
        <v>1542</v>
      </c>
      <c r="F982" s="7" t="s">
        <v>74</v>
      </c>
      <c r="G982" s="7" t="s">
        <v>88</v>
      </c>
      <c r="H982" s="7" t="s">
        <v>94</v>
      </c>
      <c r="I982" s="6" t="s">
        <v>1790</v>
      </c>
      <c r="J982" s="7" t="s">
        <v>5</v>
      </c>
      <c r="K982" s="4" t="s">
        <v>10</v>
      </c>
      <c r="L982" s="4" t="s">
        <v>27</v>
      </c>
      <c r="M982" s="4" t="s">
        <v>390</v>
      </c>
      <c r="N982" s="4" t="s">
        <v>2584</v>
      </c>
      <c r="O982" s="89"/>
      <c r="P982" s="25">
        <v>45561</v>
      </c>
      <c r="Q982" s="7" t="s">
        <v>1192</v>
      </c>
      <c r="R982" s="90" t="s">
        <v>3258</v>
      </c>
      <c r="S982" s="6" t="s">
        <v>1795</v>
      </c>
      <c r="T982" s="4" t="s">
        <v>92</v>
      </c>
      <c r="U982" s="4" t="s">
        <v>349</v>
      </c>
      <c r="V982" s="4">
        <v>99</v>
      </c>
      <c r="W982" s="85">
        <v>46291</v>
      </c>
      <c r="X982" s="4" t="s">
        <v>3688</v>
      </c>
      <c r="Y982" s="4">
        <v>525826813</v>
      </c>
      <c r="Z982" s="4" t="s">
        <v>2144</v>
      </c>
      <c r="AA982" s="4" t="s">
        <v>1196</v>
      </c>
      <c r="AB982" s="4" t="s">
        <v>4289</v>
      </c>
    </row>
    <row r="983" spans="1:28">
      <c r="A983" s="4">
        <v>982</v>
      </c>
      <c r="B983" s="5">
        <v>11589775</v>
      </c>
      <c r="C983" s="5">
        <v>203965178</v>
      </c>
      <c r="D983" s="115" t="s">
        <v>1237</v>
      </c>
      <c r="E983" s="4" t="s">
        <v>1238</v>
      </c>
      <c r="F983" s="7" t="s">
        <v>82</v>
      </c>
      <c r="G983" s="7" t="s">
        <v>88</v>
      </c>
      <c r="H983" s="7" t="s">
        <v>94</v>
      </c>
      <c r="I983" s="6" t="s">
        <v>1788</v>
      </c>
      <c r="J983" s="7" t="s">
        <v>5</v>
      </c>
      <c r="K983" s="4" t="s">
        <v>10</v>
      </c>
      <c r="L983" s="4" t="s">
        <v>24</v>
      </c>
      <c r="M983" s="4" t="s">
        <v>3321</v>
      </c>
      <c r="N983" s="4" t="s">
        <v>2584</v>
      </c>
      <c r="O983" s="89"/>
      <c r="P983" s="25">
        <v>45544</v>
      </c>
      <c r="Q983" s="7" t="s">
        <v>1112</v>
      </c>
      <c r="R983" s="90" t="s">
        <v>3252</v>
      </c>
      <c r="S983" s="6" t="s">
        <v>1795</v>
      </c>
      <c r="T983" s="4" t="s">
        <v>81</v>
      </c>
      <c r="U983" s="4" t="s">
        <v>107</v>
      </c>
      <c r="V983" s="4">
        <v>99</v>
      </c>
      <c r="W983" s="85">
        <v>46274</v>
      </c>
      <c r="X983" s="4" t="s">
        <v>3739</v>
      </c>
      <c r="Y983" s="4">
        <v>564248759</v>
      </c>
      <c r="Z983" s="4" t="s">
        <v>2145</v>
      </c>
      <c r="AA983" s="4" t="s">
        <v>1207</v>
      </c>
      <c r="AB983" s="4" t="s">
        <v>4289</v>
      </c>
    </row>
    <row r="984" spans="1:28">
      <c r="A984" s="4">
        <v>983</v>
      </c>
      <c r="B984" s="4">
        <v>13392510</v>
      </c>
      <c r="C984" s="5">
        <v>206128578</v>
      </c>
      <c r="D984" s="115" t="s">
        <v>2927</v>
      </c>
      <c r="E984" s="4" t="s">
        <v>4387</v>
      </c>
      <c r="F984" s="7" t="s">
        <v>82</v>
      </c>
      <c r="G984" s="7" t="s">
        <v>90</v>
      </c>
      <c r="H984" s="7" t="s">
        <v>87</v>
      </c>
      <c r="I984" s="4" t="s">
        <v>1789</v>
      </c>
      <c r="J984" s="4" t="s">
        <v>5</v>
      </c>
      <c r="K984" s="4" t="s">
        <v>10</v>
      </c>
      <c r="L984" s="4" t="s">
        <v>23</v>
      </c>
      <c r="M984" s="4" t="s">
        <v>4314</v>
      </c>
      <c r="N984" s="4"/>
      <c r="O984" s="4"/>
      <c r="P984" s="25">
        <v>46238</v>
      </c>
      <c r="Q984" s="4" t="s">
        <v>1113</v>
      </c>
      <c r="R984" s="4"/>
      <c r="S984" s="6" t="s">
        <v>1796</v>
      </c>
      <c r="T984" s="4" t="s">
        <v>92</v>
      </c>
      <c r="U984" s="4"/>
      <c r="V984" s="4">
        <v>99</v>
      </c>
      <c r="W984" s="4"/>
      <c r="X984" s="4"/>
      <c r="Y984" s="4"/>
      <c r="Z984" s="4"/>
      <c r="AA984" s="4"/>
      <c r="AB984" s="4"/>
    </row>
    <row r="985" spans="1:28">
      <c r="A985" s="4">
        <v>984</v>
      </c>
      <c r="B985" s="5">
        <v>13096376</v>
      </c>
      <c r="C985" s="5">
        <v>203993303</v>
      </c>
      <c r="D985" s="115" t="s">
        <v>1333</v>
      </c>
      <c r="E985" s="4" t="s">
        <v>1334</v>
      </c>
      <c r="F985" s="7" t="s">
        <v>82</v>
      </c>
      <c r="G985" s="7" t="s">
        <v>94</v>
      </c>
      <c r="H985" s="7" t="s">
        <v>89</v>
      </c>
      <c r="I985" s="6" t="s">
        <v>1788</v>
      </c>
      <c r="J985" s="7" t="s">
        <v>5</v>
      </c>
      <c r="K985" s="4" t="s">
        <v>10</v>
      </c>
      <c r="L985" s="4" t="s">
        <v>24</v>
      </c>
      <c r="M985" s="4" t="s">
        <v>390</v>
      </c>
      <c r="N985" s="4" t="s">
        <v>2584</v>
      </c>
      <c r="O985" s="89"/>
      <c r="P985" s="25">
        <v>45547</v>
      </c>
      <c r="Q985" s="7" t="s">
        <v>1112</v>
      </c>
      <c r="R985" s="90" t="s">
        <v>3253</v>
      </c>
      <c r="S985" s="6" t="s">
        <v>1795</v>
      </c>
      <c r="T985" s="4" t="s">
        <v>92</v>
      </c>
      <c r="U985" s="4" t="s">
        <v>112</v>
      </c>
      <c r="V985" s="4">
        <v>99</v>
      </c>
      <c r="W985" s="85">
        <v>46277</v>
      </c>
      <c r="X985" s="4" t="s">
        <v>3696</v>
      </c>
      <c r="Y985" s="4">
        <v>558064481</v>
      </c>
      <c r="Z985" s="4" t="s">
        <v>2146</v>
      </c>
      <c r="AA985" s="4" t="s">
        <v>2273</v>
      </c>
      <c r="AB985" s="4" t="s">
        <v>4289</v>
      </c>
    </row>
    <row r="986" spans="1:28">
      <c r="A986" s="4">
        <v>985</v>
      </c>
      <c r="B986" s="5">
        <v>14779531</v>
      </c>
      <c r="C986" s="5">
        <v>204053437</v>
      </c>
      <c r="D986" s="115" t="s">
        <v>1477</v>
      </c>
      <c r="E986" s="4" t="s">
        <v>1453</v>
      </c>
      <c r="F986" s="7" t="s">
        <v>74</v>
      </c>
      <c r="G986" s="7" t="s">
        <v>76</v>
      </c>
      <c r="H986" s="7" t="s">
        <v>88</v>
      </c>
      <c r="I986" s="6" t="s">
        <v>1790</v>
      </c>
      <c r="J986" s="7" t="s">
        <v>5</v>
      </c>
      <c r="K986" s="4" t="s">
        <v>10</v>
      </c>
      <c r="L986" s="4" t="s">
        <v>20</v>
      </c>
      <c r="M986" s="4" t="s">
        <v>3321</v>
      </c>
      <c r="N986" s="4" t="s">
        <v>2584</v>
      </c>
      <c r="O986" s="89"/>
      <c r="P986" s="25">
        <v>45558</v>
      </c>
      <c r="Q986" s="7" t="s">
        <v>1192</v>
      </c>
      <c r="R986" s="90" t="s">
        <v>3261</v>
      </c>
      <c r="S986" s="6" t="s">
        <v>1795</v>
      </c>
      <c r="T986" s="4" t="s">
        <v>81</v>
      </c>
      <c r="U986" s="4" t="s">
        <v>103</v>
      </c>
      <c r="V986" s="4">
        <v>99</v>
      </c>
      <c r="W986" s="85">
        <v>46288</v>
      </c>
      <c r="X986" s="4" t="s">
        <v>3473</v>
      </c>
      <c r="Y986" s="4">
        <v>567180904</v>
      </c>
      <c r="Z986" s="4" t="s">
        <v>2147</v>
      </c>
      <c r="AA986" s="4" t="s">
        <v>1194</v>
      </c>
      <c r="AB986" s="4" t="s">
        <v>4289</v>
      </c>
    </row>
    <row r="987" spans="1:28">
      <c r="A987" s="4">
        <v>986</v>
      </c>
      <c r="B987" s="5">
        <v>14459653</v>
      </c>
      <c r="C987" s="5">
        <v>206137333</v>
      </c>
      <c r="D987" s="115" t="s">
        <v>2976</v>
      </c>
      <c r="E987" s="4" t="s">
        <v>2977</v>
      </c>
      <c r="F987" s="7" t="s">
        <v>74</v>
      </c>
      <c r="G987" s="7" t="s">
        <v>90</v>
      </c>
      <c r="H987" s="7" t="s">
        <v>87</v>
      </c>
      <c r="I987" s="7" t="s">
        <v>1788</v>
      </c>
      <c r="J987" s="7" t="s">
        <v>5</v>
      </c>
      <c r="K987" s="4" t="s">
        <v>10</v>
      </c>
      <c r="L987" s="4" t="s">
        <v>24</v>
      </c>
      <c r="M987" s="4" t="s">
        <v>374</v>
      </c>
      <c r="N987" s="4"/>
      <c r="O987" s="89"/>
      <c r="P987" s="25">
        <v>45929</v>
      </c>
      <c r="Q987" s="7" t="s">
        <v>1112</v>
      </c>
      <c r="R987" s="4" t="s">
        <v>3255</v>
      </c>
      <c r="S987" s="6" t="s">
        <v>1795</v>
      </c>
      <c r="T987" s="4" t="s">
        <v>81</v>
      </c>
      <c r="U987" s="4" t="s">
        <v>349</v>
      </c>
      <c r="V987" s="4">
        <v>99</v>
      </c>
      <c r="W987" s="85"/>
      <c r="X987" s="4"/>
      <c r="Y987" s="4"/>
      <c r="Z987" s="4"/>
      <c r="AA987" s="4" t="s">
        <v>85</v>
      </c>
      <c r="AB987" s="4" t="s">
        <v>4289</v>
      </c>
    </row>
    <row r="988" spans="1:28">
      <c r="A988" s="4">
        <v>987</v>
      </c>
      <c r="B988" s="5">
        <v>11244338</v>
      </c>
      <c r="C988" s="5">
        <v>205996135</v>
      </c>
      <c r="D988" s="115" t="s">
        <v>2864</v>
      </c>
      <c r="E988" s="4" t="s">
        <v>2865</v>
      </c>
      <c r="F988" s="7" t="s">
        <v>82</v>
      </c>
      <c r="G988" s="7" t="s">
        <v>88</v>
      </c>
      <c r="H988" s="7" t="s">
        <v>94</v>
      </c>
      <c r="I988" s="6" t="s">
        <v>1788</v>
      </c>
      <c r="J988" s="7" t="s">
        <v>5</v>
      </c>
      <c r="K988" s="4" t="s">
        <v>10</v>
      </c>
      <c r="L988" s="4" t="s">
        <v>24</v>
      </c>
      <c r="M988" s="4" t="s">
        <v>374</v>
      </c>
      <c r="N988" s="4"/>
      <c r="O988" s="89"/>
      <c r="P988" s="25">
        <v>45915</v>
      </c>
      <c r="Q988" s="7" t="s">
        <v>1112</v>
      </c>
      <c r="R988" s="4" t="s">
        <v>3260</v>
      </c>
      <c r="S988" s="6" t="s">
        <v>1795</v>
      </c>
      <c r="T988" s="4" t="s">
        <v>92</v>
      </c>
      <c r="U988" s="4" t="s">
        <v>349</v>
      </c>
      <c r="V988" s="4">
        <v>99</v>
      </c>
      <c r="W988" s="85"/>
      <c r="X988" s="4"/>
      <c r="Y988" s="4"/>
      <c r="Z988" s="4"/>
      <c r="AA988" s="4" t="s">
        <v>1196</v>
      </c>
      <c r="AB988" s="4" t="s">
        <v>4289</v>
      </c>
    </row>
    <row r="989" spans="1:28">
      <c r="A989" s="4">
        <v>988</v>
      </c>
      <c r="B989" s="5">
        <v>12592451</v>
      </c>
      <c r="C989" s="5">
        <v>203851108</v>
      </c>
      <c r="D989" s="115" t="s">
        <v>810</v>
      </c>
      <c r="E989" s="4" t="s">
        <v>811</v>
      </c>
      <c r="F989" s="7" t="s">
        <v>82</v>
      </c>
      <c r="G989" s="7" t="s">
        <v>90</v>
      </c>
      <c r="H989" s="7" t="s">
        <v>87</v>
      </c>
      <c r="I989" s="6" t="s">
        <v>1788</v>
      </c>
      <c r="J989" s="7" t="s">
        <v>5</v>
      </c>
      <c r="K989" s="4" t="s">
        <v>10</v>
      </c>
      <c r="L989" s="4" t="s">
        <v>24</v>
      </c>
      <c r="M989" s="4" t="s">
        <v>390</v>
      </c>
      <c r="N989" s="4" t="s">
        <v>2584</v>
      </c>
      <c r="O989" s="89"/>
      <c r="P989" s="25">
        <v>45524</v>
      </c>
      <c r="Q989" s="7" t="s">
        <v>351</v>
      </c>
      <c r="R989" s="90" t="s">
        <v>3264</v>
      </c>
      <c r="S989" s="6" t="s">
        <v>1795</v>
      </c>
      <c r="T989" s="4" t="s">
        <v>81</v>
      </c>
      <c r="U989" s="4" t="s">
        <v>112</v>
      </c>
      <c r="V989" s="4">
        <v>99</v>
      </c>
      <c r="W989" s="85">
        <v>45889</v>
      </c>
      <c r="X989" s="4" t="s">
        <v>3703</v>
      </c>
      <c r="Y989" s="4">
        <v>558559174</v>
      </c>
      <c r="Z989" s="4" t="s">
        <v>2148</v>
      </c>
      <c r="AA989" s="4" t="s">
        <v>85</v>
      </c>
      <c r="AB989" s="4" t="s">
        <v>4290</v>
      </c>
    </row>
    <row r="990" spans="1:28">
      <c r="A990" s="4">
        <v>989</v>
      </c>
      <c r="B990" s="5">
        <v>15038135</v>
      </c>
      <c r="C990" s="5">
        <v>206137338</v>
      </c>
      <c r="D990" s="115" t="s">
        <v>2978</v>
      </c>
      <c r="E990" s="4" t="s">
        <v>2979</v>
      </c>
      <c r="F990" s="7" t="s">
        <v>82</v>
      </c>
      <c r="G990" s="7" t="s">
        <v>88</v>
      </c>
      <c r="H990" s="7" t="s">
        <v>94</v>
      </c>
      <c r="I990" s="7" t="s">
        <v>1788</v>
      </c>
      <c r="J990" s="7" t="s">
        <v>5</v>
      </c>
      <c r="K990" s="4" t="s">
        <v>10</v>
      </c>
      <c r="L990" s="4" t="s">
        <v>24</v>
      </c>
      <c r="M990" s="4" t="s">
        <v>374</v>
      </c>
      <c r="N990" s="4"/>
      <c r="O990" s="89"/>
      <c r="P990" s="25">
        <v>45929</v>
      </c>
      <c r="Q990" s="7" t="s">
        <v>1112</v>
      </c>
      <c r="R990" s="4" t="s">
        <v>3264</v>
      </c>
      <c r="S990" s="6" t="s">
        <v>1795</v>
      </c>
      <c r="T990" s="4" t="s">
        <v>92</v>
      </c>
      <c r="U990" s="4" t="s">
        <v>349</v>
      </c>
      <c r="V990" s="4">
        <v>99</v>
      </c>
      <c r="W990" s="85"/>
      <c r="X990" s="4"/>
      <c r="Y990" s="4"/>
      <c r="Z990" s="4"/>
      <c r="AA990" s="4" t="s">
        <v>2986</v>
      </c>
      <c r="AB990" s="4" t="s">
        <v>4289</v>
      </c>
    </row>
    <row r="991" spans="1:28">
      <c r="A991" s="4">
        <v>990</v>
      </c>
      <c r="B991" s="5">
        <v>14476398</v>
      </c>
      <c r="C991" s="5">
        <v>206129614</v>
      </c>
      <c r="D991" s="115" t="s">
        <v>2939</v>
      </c>
      <c r="E991" s="4" t="s">
        <v>2940</v>
      </c>
      <c r="F991" s="7" t="s">
        <v>74</v>
      </c>
      <c r="G991" s="7" t="s">
        <v>75</v>
      </c>
      <c r="H991" s="7" t="s">
        <v>76</v>
      </c>
      <c r="I991" s="6" t="s">
        <v>1788</v>
      </c>
      <c r="J991" s="7" t="s">
        <v>5</v>
      </c>
      <c r="K991" s="4" t="s">
        <v>10</v>
      </c>
      <c r="L991" s="4" t="s">
        <v>24</v>
      </c>
      <c r="M991" s="4" t="s">
        <v>4361</v>
      </c>
      <c r="N991" s="4"/>
      <c r="O991" s="89"/>
      <c r="P991" s="25">
        <v>45929</v>
      </c>
      <c r="Q991" s="7" t="s">
        <v>1112</v>
      </c>
      <c r="R991" s="90" t="s">
        <v>2586</v>
      </c>
      <c r="S991" s="6" t="s">
        <v>1795</v>
      </c>
      <c r="T991" s="4" t="s">
        <v>92</v>
      </c>
      <c r="U991" s="4" t="s">
        <v>112</v>
      </c>
      <c r="V991" s="4">
        <v>99</v>
      </c>
      <c r="W991" s="85"/>
      <c r="X991" s="4"/>
      <c r="Y991" s="4"/>
      <c r="Z991" s="4"/>
      <c r="AA991" s="4" t="s">
        <v>85</v>
      </c>
      <c r="AB991" s="4" t="s">
        <v>4289</v>
      </c>
    </row>
    <row r="992" spans="1:28">
      <c r="A992" s="4">
        <v>991</v>
      </c>
      <c r="B992" s="5">
        <v>14836862</v>
      </c>
      <c r="C992" s="5">
        <v>204890373</v>
      </c>
      <c r="D992" s="115" t="s">
        <v>2349</v>
      </c>
      <c r="E992" s="4" t="s">
        <v>2350</v>
      </c>
      <c r="F992" s="7" t="s">
        <v>82</v>
      </c>
      <c r="G992" s="7" t="s">
        <v>90</v>
      </c>
      <c r="H992" s="7" t="s">
        <v>87</v>
      </c>
      <c r="I992" s="6" t="s">
        <v>1790</v>
      </c>
      <c r="J992" s="7" t="s">
        <v>5</v>
      </c>
      <c r="K992" s="4" t="s">
        <v>10</v>
      </c>
      <c r="L992" s="4" t="s">
        <v>22</v>
      </c>
      <c r="M992" s="4" t="s">
        <v>390</v>
      </c>
      <c r="N992" s="4" t="s">
        <v>2584</v>
      </c>
      <c r="O992" s="89"/>
      <c r="P992" s="25">
        <v>45691</v>
      </c>
      <c r="Q992" s="7" t="s">
        <v>1112</v>
      </c>
      <c r="R992" s="90" t="s">
        <v>3264</v>
      </c>
      <c r="S992" s="6" t="s">
        <v>1795</v>
      </c>
      <c r="T992" s="4" t="s">
        <v>81</v>
      </c>
      <c r="U992" s="4" t="s">
        <v>112</v>
      </c>
      <c r="V992" s="4">
        <v>99</v>
      </c>
      <c r="W992" s="85">
        <v>45747</v>
      </c>
      <c r="X992" s="4" t="s">
        <v>1216</v>
      </c>
      <c r="Y992" s="4">
        <v>500895329</v>
      </c>
      <c r="Z992" s="4" t="s">
        <v>2409</v>
      </c>
      <c r="AA992" s="4" t="s">
        <v>85</v>
      </c>
      <c r="AB992" s="4" t="s">
        <v>4289</v>
      </c>
    </row>
    <row r="993" spans="1:28">
      <c r="A993" s="4">
        <v>992</v>
      </c>
      <c r="B993" s="106">
        <v>13848541</v>
      </c>
      <c r="C993" s="106">
        <v>205845553</v>
      </c>
      <c r="D993" s="5" t="s">
        <v>2670</v>
      </c>
      <c r="E993" s="115" t="s">
        <v>2671</v>
      </c>
      <c r="F993" s="7" t="s">
        <v>74</v>
      </c>
      <c r="G993" s="7" t="s">
        <v>88</v>
      </c>
      <c r="H993" s="7" t="s">
        <v>94</v>
      </c>
      <c r="I993" s="6" t="s">
        <v>1790</v>
      </c>
      <c r="J993" s="7" t="s">
        <v>5</v>
      </c>
      <c r="K993" s="4" t="s">
        <v>10</v>
      </c>
      <c r="L993" s="4" t="s">
        <v>22</v>
      </c>
      <c r="M993" s="4" t="s">
        <v>390</v>
      </c>
      <c r="N993" s="4"/>
      <c r="O993" s="25"/>
      <c r="P993" s="25">
        <v>45894</v>
      </c>
      <c r="Q993" s="7" t="s">
        <v>1192</v>
      </c>
      <c r="R993" s="6" t="s">
        <v>3255</v>
      </c>
      <c r="S993" s="6" t="s">
        <v>1795</v>
      </c>
      <c r="T993" s="6" t="s">
        <v>81</v>
      </c>
      <c r="U993" s="6" t="s">
        <v>107</v>
      </c>
      <c r="V993" s="4">
        <v>99</v>
      </c>
      <c r="W993" s="6">
        <v>45949</v>
      </c>
      <c r="X993" s="6" t="s">
        <v>2758</v>
      </c>
      <c r="Y993" s="4">
        <v>567895523</v>
      </c>
      <c r="Z993" s="6" t="s">
        <v>4352</v>
      </c>
      <c r="AA993" s="6" t="s">
        <v>95</v>
      </c>
      <c r="AB993" s="4">
        <v>0</v>
      </c>
    </row>
    <row r="994" spans="1:28">
      <c r="A994" s="4">
        <v>993</v>
      </c>
      <c r="B994" s="5">
        <v>12183362</v>
      </c>
      <c r="C994" s="5">
        <v>206239769</v>
      </c>
      <c r="D994" s="115" t="s">
        <v>3116</v>
      </c>
      <c r="E994" s="4" t="s">
        <v>3066</v>
      </c>
      <c r="F994" s="7" t="s">
        <v>74</v>
      </c>
      <c r="G994" s="7" t="s">
        <v>88</v>
      </c>
      <c r="H994" s="7" t="s">
        <v>94</v>
      </c>
      <c r="I994" s="6" t="s">
        <v>1790</v>
      </c>
      <c r="J994" s="7" t="s">
        <v>5</v>
      </c>
      <c r="K994" s="4" t="s">
        <v>10</v>
      </c>
      <c r="L994" s="4" t="s">
        <v>22</v>
      </c>
      <c r="M994" s="4" t="s">
        <v>4361</v>
      </c>
      <c r="N994" s="4" t="s">
        <v>2584</v>
      </c>
      <c r="O994" s="89"/>
      <c r="P994" s="25">
        <v>45943</v>
      </c>
      <c r="Q994" s="7" t="s">
        <v>106</v>
      </c>
      <c r="R994" s="4" t="s">
        <v>3260</v>
      </c>
      <c r="S994" s="6" t="s">
        <v>3012</v>
      </c>
      <c r="T994" s="4" t="s">
        <v>81</v>
      </c>
      <c r="U994" s="4" t="s">
        <v>349</v>
      </c>
      <c r="V994" s="4">
        <v>99</v>
      </c>
      <c r="W994" s="85" t="s">
        <v>3072</v>
      </c>
      <c r="X994" s="4" t="s">
        <v>2758</v>
      </c>
      <c r="Y994" s="4">
        <v>551840174</v>
      </c>
      <c r="Z994" s="4" t="s">
        <v>3080</v>
      </c>
      <c r="AA994" s="4" t="s">
        <v>85</v>
      </c>
      <c r="AB994" s="4" t="s">
        <v>4289</v>
      </c>
    </row>
    <row r="995" spans="1:28">
      <c r="A995" s="4">
        <v>994</v>
      </c>
      <c r="B995" s="5">
        <v>11857986</v>
      </c>
      <c r="C995" s="5">
        <v>203850899</v>
      </c>
      <c r="D995" s="115" t="s">
        <v>782</v>
      </c>
      <c r="E995" s="4" t="s">
        <v>783</v>
      </c>
      <c r="F995" s="7" t="s">
        <v>82</v>
      </c>
      <c r="G995" s="7" t="s">
        <v>94</v>
      </c>
      <c r="H995" s="7" t="s">
        <v>89</v>
      </c>
      <c r="I995" s="6" t="s">
        <v>1790</v>
      </c>
      <c r="J995" s="7" t="s">
        <v>5</v>
      </c>
      <c r="K995" s="4" t="s">
        <v>10</v>
      </c>
      <c r="L995" s="4" t="s">
        <v>22</v>
      </c>
      <c r="M995" s="4" t="s">
        <v>390</v>
      </c>
      <c r="N995" s="4" t="s">
        <v>2584</v>
      </c>
      <c r="O995" s="89"/>
      <c r="P995" s="25">
        <v>45524</v>
      </c>
      <c r="Q995" s="7" t="s">
        <v>1112</v>
      </c>
      <c r="R995" s="90" t="s">
        <v>3254</v>
      </c>
      <c r="S995" s="6" t="s">
        <v>1795</v>
      </c>
      <c r="T995" s="4" t="s">
        <v>81</v>
      </c>
      <c r="U995" s="4" t="s">
        <v>107</v>
      </c>
      <c r="V995" s="4">
        <v>99</v>
      </c>
      <c r="W995" s="85">
        <v>45580</v>
      </c>
      <c r="X995" s="4" t="s">
        <v>1216</v>
      </c>
      <c r="Y995" s="4">
        <v>525613699</v>
      </c>
      <c r="Z995" s="4" t="s">
        <v>2149</v>
      </c>
      <c r="AA995" s="4" t="s">
        <v>95</v>
      </c>
      <c r="AB995" s="4" t="s">
        <v>4289</v>
      </c>
    </row>
    <row r="996" spans="1:28">
      <c r="A996" s="4">
        <v>995</v>
      </c>
      <c r="B996" s="5">
        <v>13471307</v>
      </c>
      <c r="C996" s="5">
        <v>206239755</v>
      </c>
      <c r="D996" s="115" t="s">
        <v>3100</v>
      </c>
      <c r="E996" s="4" t="s">
        <v>3101</v>
      </c>
      <c r="F996" s="7" t="s">
        <v>82</v>
      </c>
      <c r="G996" s="7" t="s">
        <v>89</v>
      </c>
      <c r="H996" s="7" t="s">
        <v>90</v>
      </c>
      <c r="I996" s="7" t="s">
        <v>1789</v>
      </c>
      <c r="J996" s="7" t="s">
        <v>5</v>
      </c>
      <c r="K996" s="4" t="s">
        <v>10</v>
      </c>
      <c r="L996" s="4" t="s">
        <v>22</v>
      </c>
      <c r="M996" s="4" t="s">
        <v>390</v>
      </c>
      <c r="N996" s="4"/>
      <c r="O996" s="89"/>
      <c r="P996" s="25">
        <v>45943</v>
      </c>
      <c r="Q996" s="7" t="s">
        <v>1192</v>
      </c>
      <c r="R996" s="90" t="s">
        <v>3254</v>
      </c>
      <c r="S996" s="6" t="s">
        <v>1795</v>
      </c>
      <c r="T996" s="4" t="s">
        <v>81</v>
      </c>
      <c r="U996" s="4" t="s">
        <v>349</v>
      </c>
      <c r="V996" s="4">
        <v>99</v>
      </c>
      <c r="W996" s="85"/>
      <c r="X996" s="4"/>
      <c r="Y996" s="4"/>
      <c r="Z996" s="4"/>
      <c r="AA996" s="4" t="s">
        <v>85</v>
      </c>
      <c r="AB996" s="4" t="s">
        <v>4289</v>
      </c>
    </row>
    <row r="997" spans="1:28">
      <c r="A997" s="4">
        <v>996</v>
      </c>
      <c r="B997" s="4">
        <v>14777847</v>
      </c>
      <c r="C997" s="5">
        <v>206868000</v>
      </c>
      <c r="D997" s="115" t="s">
        <v>3351</v>
      </c>
      <c r="E997" s="4" t="s">
        <v>4379</v>
      </c>
      <c r="F997" s="7" t="s">
        <v>82</v>
      </c>
      <c r="G997" s="7" t="s">
        <v>94</v>
      </c>
      <c r="H997" s="7" t="s">
        <v>89</v>
      </c>
      <c r="I997" s="4" t="s">
        <v>1789</v>
      </c>
      <c r="J997" s="4" t="s">
        <v>5</v>
      </c>
      <c r="K997" s="4" t="s">
        <v>10</v>
      </c>
      <c r="L997" s="4" t="s">
        <v>24</v>
      </c>
      <c r="M997" s="4" t="s">
        <v>374</v>
      </c>
      <c r="N997" s="4"/>
      <c r="O997" s="4"/>
      <c r="P997" s="25">
        <v>46238</v>
      </c>
      <c r="Q997" s="4" t="s">
        <v>351</v>
      </c>
      <c r="R997" s="4"/>
      <c r="S997" s="6" t="s">
        <v>1796</v>
      </c>
      <c r="T997" s="4" t="s">
        <v>81</v>
      </c>
      <c r="U997" s="4"/>
      <c r="V997" s="4">
        <v>99</v>
      </c>
      <c r="W997" s="4"/>
      <c r="X997" s="4"/>
      <c r="Y997" s="4"/>
      <c r="Z997" s="4"/>
      <c r="AA997" s="4"/>
      <c r="AB997" s="4"/>
    </row>
    <row r="998" spans="1:28">
      <c r="A998" s="4">
        <v>997</v>
      </c>
      <c r="B998" s="5">
        <v>15346584</v>
      </c>
      <c r="C998" s="5">
        <v>206890219</v>
      </c>
      <c r="D998" s="115" t="s">
        <v>3605</v>
      </c>
      <c r="E998" s="4" t="s">
        <v>3543</v>
      </c>
      <c r="F998" s="7" t="s">
        <v>82</v>
      </c>
      <c r="G998" s="7" t="s">
        <v>88</v>
      </c>
      <c r="H998" s="7" t="s">
        <v>94</v>
      </c>
      <c r="I998" s="7" t="s">
        <v>1789</v>
      </c>
      <c r="J998" s="7" t="s">
        <v>5</v>
      </c>
      <c r="K998" s="4" t="s">
        <v>10</v>
      </c>
      <c r="L998" s="4" t="s">
        <v>23</v>
      </c>
      <c r="M998" s="4" t="s">
        <v>4314</v>
      </c>
      <c r="N998" s="4" t="s">
        <v>2584</v>
      </c>
      <c r="O998" s="89"/>
      <c r="P998" s="25">
        <v>46027</v>
      </c>
      <c r="Q998" s="7" t="s">
        <v>1112</v>
      </c>
      <c r="R998" s="4" t="s">
        <v>3260</v>
      </c>
      <c r="S998" s="4" t="s">
        <v>1795</v>
      </c>
      <c r="T998" s="4" t="s">
        <v>92</v>
      </c>
      <c r="U998" s="4"/>
      <c r="V998" s="4">
        <v>99</v>
      </c>
      <c r="W998" s="85">
        <v>46024</v>
      </c>
      <c r="X998" s="95" t="s">
        <v>3553</v>
      </c>
      <c r="Y998" s="4" t="s">
        <v>3567</v>
      </c>
      <c r="Z998" s="4" t="s">
        <v>3584</v>
      </c>
      <c r="AA998" s="4" t="s">
        <v>85</v>
      </c>
      <c r="AB998" s="4" t="s">
        <v>4289</v>
      </c>
    </row>
    <row r="999" spans="1:28" ht="14.5" customHeight="1">
      <c r="A999" s="4">
        <v>998</v>
      </c>
      <c r="B999" s="5">
        <v>251021</v>
      </c>
      <c r="C999" s="5">
        <v>204117683</v>
      </c>
      <c r="D999" s="115" t="s">
        <v>1507</v>
      </c>
      <c r="E999" s="4" t="s">
        <v>1508</v>
      </c>
      <c r="F999" s="7" t="s">
        <v>82</v>
      </c>
      <c r="G999" s="7" t="s">
        <v>87</v>
      </c>
      <c r="H999" s="7" t="s">
        <v>75</v>
      </c>
      <c r="I999" s="6" t="s">
        <v>1790</v>
      </c>
      <c r="J999" s="7" t="s">
        <v>5</v>
      </c>
      <c r="K999" s="4" t="s">
        <v>10</v>
      </c>
      <c r="L999" s="4" t="s">
        <v>27</v>
      </c>
      <c r="M999" s="4" t="s">
        <v>374</v>
      </c>
      <c r="N999" s="4" t="s">
        <v>2584</v>
      </c>
      <c r="O999" s="89"/>
      <c r="P999" s="25">
        <v>45561</v>
      </c>
      <c r="Q999" s="7" t="s">
        <v>1112</v>
      </c>
      <c r="R999" s="90" t="s">
        <v>3255</v>
      </c>
      <c r="S999" s="6" t="s">
        <v>1795</v>
      </c>
      <c r="T999" s="4" t="s">
        <v>92</v>
      </c>
      <c r="U999" s="4" t="s">
        <v>132</v>
      </c>
      <c r="V999" s="4">
        <v>99</v>
      </c>
      <c r="W999" s="85">
        <v>46291</v>
      </c>
      <c r="X999" s="4" t="s">
        <v>3698</v>
      </c>
      <c r="Y999" s="4">
        <v>559385198</v>
      </c>
      <c r="Z999" s="4" t="s">
        <v>2150</v>
      </c>
      <c r="AA999" s="4" t="s">
        <v>85</v>
      </c>
      <c r="AB999" s="4" t="s">
        <v>4289</v>
      </c>
    </row>
    <row r="1000" spans="1:28" ht="14.5" customHeight="1">
      <c r="A1000" s="4">
        <v>999</v>
      </c>
      <c r="B1000" s="5">
        <v>14440944</v>
      </c>
      <c r="C1000" s="5">
        <v>203341966</v>
      </c>
      <c r="D1000" s="115" t="s">
        <v>407</v>
      </c>
      <c r="E1000" s="4" t="s">
        <v>408</v>
      </c>
      <c r="F1000" s="7" t="s">
        <v>74</v>
      </c>
      <c r="G1000" s="7" t="s">
        <v>94</v>
      </c>
      <c r="H1000" s="7" t="s">
        <v>89</v>
      </c>
      <c r="I1000" s="6" t="s">
        <v>1790</v>
      </c>
      <c r="J1000" s="7" t="s">
        <v>5</v>
      </c>
      <c r="K1000" s="4" t="s">
        <v>10</v>
      </c>
      <c r="L1000" s="4" t="s">
        <v>20</v>
      </c>
      <c r="M1000" s="4" t="s">
        <v>3321</v>
      </c>
      <c r="N1000" s="4" t="s">
        <v>2583</v>
      </c>
      <c r="O1000" s="89"/>
      <c r="P1000" s="25">
        <v>45432</v>
      </c>
      <c r="Q1000" s="7" t="s">
        <v>1112</v>
      </c>
      <c r="R1000" s="90" t="s">
        <v>3264</v>
      </c>
      <c r="S1000" s="6" t="s">
        <v>1795</v>
      </c>
      <c r="T1000" s="4" t="s">
        <v>81</v>
      </c>
      <c r="U1000" s="4" t="s">
        <v>1193</v>
      </c>
      <c r="V1000" s="4">
        <v>99</v>
      </c>
      <c r="W1000" s="85">
        <v>46162</v>
      </c>
      <c r="X1000" s="4" t="s">
        <v>1213</v>
      </c>
      <c r="Y1000" s="4">
        <v>567616386</v>
      </c>
      <c r="Z1000" s="4" t="s">
        <v>2151</v>
      </c>
      <c r="AA1000" s="4" t="s">
        <v>1196</v>
      </c>
      <c r="AB1000" s="4" t="s">
        <v>4289</v>
      </c>
    </row>
    <row r="1001" spans="1:28">
      <c r="A1001" s="4">
        <v>1000</v>
      </c>
      <c r="B1001" s="5">
        <v>11398899</v>
      </c>
      <c r="C1001" s="5">
        <v>206004602</v>
      </c>
      <c r="D1001" s="115" t="s">
        <v>2874</v>
      </c>
      <c r="E1001" s="4" t="s">
        <v>2895</v>
      </c>
      <c r="F1001" s="7" t="s">
        <v>74</v>
      </c>
      <c r="G1001" s="7" t="s">
        <v>90</v>
      </c>
      <c r="H1001" s="7" t="s">
        <v>87</v>
      </c>
      <c r="I1001" s="6" t="s">
        <v>1788</v>
      </c>
      <c r="J1001" s="7" t="s">
        <v>5</v>
      </c>
      <c r="K1001" s="4" t="s">
        <v>10</v>
      </c>
      <c r="L1001" s="4" t="s">
        <v>24</v>
      </c>
      <c r="M1001" s="4" t="s">
        <v>393</v>
      </c>
      <c r="N1001" s="4" t="s">
        <v>2584</v>
      </c>
      <c r="O1001" s="89"/>
      <c r="P1001" s="25">
        <v>45922</v>
      </c>
      <c r="Q1001" s="7" t="s">
        <v>1112</v>
      </c>
      <c r="R1001" s="90" t="s">
        <v>3264</v>
      </c>
      <c r="S1001" s="6" t="s">
        <v>1795</v>
      </c>
      <c r="T1001" s="4" t="s">
        <v>92</v>
      </c>
      <c r="U1001" s="4" t="s">
        <v>103</v>
      </c>
      <c r="V1001" s="4">
        <v>99</v>
      </c>
      <c r="W1001" s="85">
        <v>45983</v>
      </c>
      <c r="X1001" s="4" t="s">
        <v>3657</v>
      </c>
      <c r="Y1001" s="4"/>
      <c r="Z1001" s="4"/>
      <c r="AA1001" s="4" t="s">
        <v>85</v>
      </c>
      <c r="AB1001" s="4" t="s">
        <v>4289</v>
      </c>
    </row>
    <row r="1002" spans="1:28">
      <c r="A1002" s="4">
        <v>1001</v>
      </c>
      <c r="B1002" s="5">
        <v>11118537</v>
      </c>
      <c r="C1002" s="5">
        <v>203965406</v>
      </c>
      <c r="D1002" s="115" t="s">
        <v>1255</v>
      </c>
      <c r="E1002" s="4" t="s">
        <v>1256</v>
      </c>
      <c r="F1002" s="7" t="s">
        <v>74</v>
      </c>
      <c r="G1002" s="7" t="s">
        <v>90</v>
      </c>
      <c r="H1002" s="7" t="s">
        <v>87</v>
      </c>
      <c r="I1002" s="6" t="s">
        <v>1788</v>
      </c>
      <c r="J1002" s="7" t="s">
        <v>5</v>
      </c>
      <c r="K1002" s="4" t="s">
        <v>10</v>
      </c>
      <c r="L1002" s="4" t="s">
        <v>24</v>
      </c>
      <c r="M1002" s="4" t="s">
        <v>4314</v>
      </c>
      <c r="N1002" s="4" t="s">
        <v>2584</v>
      </c>
      <c r="O1002" s="89"/>
      <c r="P1002" s="25">
        <v>45544</v>
      </c>
      <c r="Q1002" s="7" t="s">
        <v>1112</v>
      </c>
      <c r="R1002" s="90" t="s">
        <v>3253</v>
      </c>
      <c r="S1002" s="6" t="s">
        <v>1795</v>
      </c>
      <c r="T1002" s="4" t="s">
        <v>81</v>
      </c>
      <c r="U1002" s="4" t="s">
        <v>107</v>
      </c>
      <c r="V1002" s="4">
        <v>99</v>
      </c>
      <c r="W1002" s="85">
        <v>45909</v>
      </c>
      <c r="X1002" s="4" t="s">
        <v>3703</v>
      </c>
      <c r="Y1002" s="4">
        <v>548439555</v>
      </c>
      <c r="Z1002" s="4" t="s">
        <v>2152</v>
      </c>
      <c r="AA1002" s="4" t="s">
        <v>85</v>
      </c>
      <c r="AB1002" s="4" t="s">
        <v>4289</v>
      </c>
    </row>
    <row r="1003" spans="1:28">
      <c r="A1003" s="4">
        <v>1002</v>
      </c>
      <c r="B1003" s="5">
        <v>11289040</v>
      </c>
      <c r="C1003" s="5">
        <v>203850901</v>
      </c>
      <c r="D1003" s="115" t="s">
        <v>784</v>
      </c>
      <c r="E1003" s="4" t="s">
        <v>785</v>
      </c>
      <c r="F1003" s="7" t="s">
        <v>74</v>
      </c>
      <c r="G1003" s="7" t="s">
        <v>94</v>
      </c>
      <c r="H1003" s="7" t="s">
        <v>89</v>
      </c>
      <c r="I1003" s="6" t="s">
        <v>1790</v>
      </c>
      <c r="J1003" s="7" t="s">
        <v>5</v>
      </c>
      <c r="K1003" s="4" t="s">
        <v>10</v>
      </c>
      <c r="L1003" s="4" t="s">
        <v>22</v>
      </c>
      <c r="M1003" s="4" t="s">
        <v>4314</v>
      </c>
      <c r="N1003" s="4" t="s">
        <v>2584</v>
      </c>
      <c r="O1003" s="89"/>
      <c r="P1003" s="25">
        <v>45524</v>
      </c>
      <c r="Q1003" s="7" t="s">
        <v>1112</v>
      </c>
      <c r="R1003" s="90" t="s">
        <v>3258</v>
      </c>
      <c r="S1003" s="6" t="s">
        <v>1795</v>
      </c>
      <c r="T1003" s="4" t="s">
        <v>81</v>
      </c>
      <c r="U1003" s="4" t="s">
        <v>349</v>
      </c>
      <c r="V1003" s="4">
        <v>99</v>
      </c>
      <c r="W1003" s="85">
        <v>45580</v>
      </c>
      <c r="X1003" s="4" t="s">
        <v>1216</v>
      </c>
      <c r="Y1003" s="4">
        <v>553367498</v>
      </c>
      <c r="Z1003" s="4" t="s">
        <v>2153</v>
      </c>
      <c r="AA1003" s="4" t="s">
        <v>95</v>
      </c>
      <c r="AB1003" s="4" t="s">
        <v>4289</v>
      </c>
    </row>
    <row r="1004" spans="1:28">
      <c r="A1004" s="4">
        <v>1003</v>
      </c>
      <c r="B1004" s="5">
        <v>14021219</v>
      </c>
      <c r="C1004" s="5">
        <v>203851104</v>
      </c>
      <c r="D1004" s="115" t="s">
        <v>802</v>
      </c>
      <c r="E1004" s="4" t="s">
        <v>803</v>
      </c>
      <c r="F1004" s="7" t="s">
        <v>74</v>
      </c>
      <c r="G1004" s="7" t="s">
        <v>94</v>
      </c>
      <c r="H1004" s="7" t="s">
        <v>89</v>
      </c>
      <c r="I1004" s="6" t="s">
        <v>1788</v>
      </c>
      <c r="J1004" s="7" t="s">
        <v>5</v>
      </c>
      <c r="K1004" s="4" t="s">
        <v>10</v>
      </c>
      <c r="L1004" s="4" t="s">
        <v>24</v>
      </c>
      <c r="M1004" s="4" t="s">
        <v>4361</v>
      </c>
      <c r="N1004" s="4" t="s">
        <v>2583</v>
      </c>
      <c r="O1004" s="89"/>
      <c r="P1004" s="25">
        <v>45524</v>
      </c>
      <c r="Q1004" s="7" t="s">
        <v>351</v>
      </c>
      <c r="R1004" s="90" t="s">
        <v>3262</v>
      </c>
      <c r="S1004" s="6" t="s">
        <v>1795</v>
      </c>
      <c r="T1004" s="4" t="s">
        <v>81</v>
      </c>
      <c r="U1004" s="4" t="s">
        <v>349</v>
      </c>
      <c r="V1004" s="4">
        <v>99</v>
      </c>
      <c r="W1004" s="85">
        <v>45889</v>
      </c>
      <c r="X1004" s="4" t="s">
        <v>3703</v>
      </c>
      <c r="Y1004" s="4">
        <v>507209738</v>
      </c>
      <c r="Z1004" s="4" t="s">
        <v>2154</v>
      </c>
      <c r="AA1004" s="4" t="s">
        <v>1203</v>
      </c>
      <c r="AB1004" s="4" t="s">
        <v>4289</v>
      </c>
    </row>
    <row r="1005" spans="1:28">
      <c r="A1005" s="4">
        <v>1004</v>
      </c>
      <c r="B1005" s="5">
        <v>14782227</v>
      </c>
      <c r="C1005" s="5">
        <v>206129267</v>
      </c>
      <c r="D1005" s="115" t="s">
        <v>2941</v>
      </c>
      <c r="E1005" s="4" t="s">
        <v>2942</v>
      </c>
      <c r="F1005" s="7" t="s">
        <v>74</v>
      </c>
      <c r="G1005" s="7" t="s">
        <v>94</v>
      </c>
      <c r="H1005" s="7" t="s">
        <v>89</v>
      </c>
      <c r="I1005" s="6" t="s">
        <v>1788</v>
      </c>
      <c r="J1005" s="7" t="s">
        <v>5</v>
      </c>
      <c r="K1005" s="4" t="s">
        <v>10</v>
      </c>
      <c r="L1005" s="4" t="s">
        <v>24</v>
      </c>
      <c r="M1005" s="4" t="s">
        <v>3321</v>
      </c>
      <c r="N1005" s="4"/>
      <c r="O1005" s="89"/>
      <c r="P1005" s="25">
        <v>45929</v>
      </c>
      <c r="Q1005" s="7" t="s">
        <v>1112</v>
      </c>
      <c r="R1005" s="90" t="s">
        <v>3261</v>
      </c>
      <c r="S1005" s="6" t="s">
        <v>1795</v>
      </c>
      <c r="T1005" s="4" t="s">
        <v>81</v>
      </c>
      <c r="U1005" s="4" t="s">
        <v>103</v>
      </c>
      <c r="V1005" s="4">
        <v>99</v>
      </c>
      <c r="W1005" s="85"/>
      <c r="X1005" s="4"/>
      <c r="Y1005" s="4"/>
      <c r="Z1005" s="4"/>
      <c r="AA1005" s="4" t="s">
        <v>85</v>
      </c>
      <c r="AB1005" s="4" t="s">
        <v>4289</v>
      </c>
    </row>
    <row r="1006" spans="1:28">
      <c r="A1006" s="4">
        <v>1005</v>
      </c>
      <c r="B1006" s="106">
        <v>14496090</v>
      </c>
      <c r="C1006" s="106">
        <v>205845556</v>
      </c>
      <c r="D1006" s="5" t="s">
        <v>2746</v>
      </c>
      <c r="E1006" s="115" t="s">
        <v>2747</v>
      </c>
      <c r="F1006" s="7" t="s">
        <v>82</v>
      </c>
      <c r="G1006" s="7" t="s">
        <v>75</v>
      </c>
      <c r="H1006" s="7" t="s">
        <v>76</v>
      </c>
      <c r="I1006" s="7" t="s">
        <v>1789</v>
      </c>
      <c r="J1006" s="7" t="s">
        <v>5</v>
      </c>
      <c r="K1006" s="4" t="s">
        <v>10</v>
      </c>
      <c r="L1006" s="4" t="s">
        <v>22</v>
      </c>
      <c r="M1006" s="4" t="s">
        <v>374</v>
      </c>
      <c r="N1006" s="4"/>
      <c r="O1006" s="25"/>
      <c r="P1006" s="25">
        <v>45894</v>
      </c>
      <c r="Q1006" s="7" t="s">
        <v>1112</v>
      </c>
      <c r="R1006" s="4" t="s">
        <v>3258</v>
      </c>
      <c r="S1006" s="6" t="s">
        <v>1795</v>
      </c>
      <c r="T1006" s="6" t="s">
        <v>81</v>
      </c>
      <c r="U1006" s="6" t="s">
        <v>349</v>
      </c>
      <c r="V1006" s="4">
        <v>99</v>
      </c>
      <c r="W1006" s="6">
        <v>45949</v>
      </c>
      <c r="X1006" s="6" t="s">
        <v>2758</v>
      </c>
      <c r="Y1006" s="4">
        <v>244901164</v>
      </c>
      <c r="Z1006" s="6" t="s">
        <v>4353</v>
      </c>
      <c r="AA1006" s="6" t="s">
        <v>85</v>
      </c>
      <c r="AB1006" s="4">
        <v>0</v>
      </c>
    </row>
    <row r="1007" spans="1:28">
      <c r="A1007" s="4">
        <v>1006</v>
      </c>
      <c r="B1007" s="5">
        <v>14783557</v>
      </c>
      <c r="C1007" s="5">
        <v>206200807</v>
      </c>
      <c r="D1007" s="115" t="s">
        <v>3008</v>
      </c>
      <c r="E1007" s="4" t="s">
        <v>3009</v>
      </c>
      <c r="F1007" s="7" t="s">
        <v>74</v>
      </c>
      <c r="G1007" s="7" t="s">
        <v>94</v>
      </c>
      <c r="H1007" s="7" t="s">
        <v>89</v>
      </c>
      <c r="I1007" s="7" t="s">
        <v>1788</v>
      </c>
      <c r="J1007" s="7" t="s">
        <v>5</v>
      </c>
      <c r="K1007" s="4" t="s">
        <v>10</v>
      </c>
      <c r="L1007" s="4" t="s">
        <v>24</v>
      </c>
      <c r="M1007" s="4" t="s">
        <v>2741</v>
      </c>
      <c r="N1007" s="4" t="s">
        <v>2584</v>
      </c>
      <c r="O1007" s="89"/>
      <c r="P1007" s="25">
        <v>45936</v>
      </c>
      <c r="Q1007" s="7" t="s">
        <v>1112</v>
      </c>
      <c r="R1007" s="90" t="s">
        <v>3256</v>
      </c>
      <c r="S1007" s="6" t="s">
        <v>3012</v>
      </c>
      <c r="T1007" s="4" t="s">
        <v>81</v>
      </c>
      <c r="U1007" s="4" t="s">
        <v>112</v>
      </c>
      <c r="V1007" s="4">
        <v>99</v>
      </c>
      <c r="W1007" s="85">
        <v>45996</v>
      </c>
      <c r="X1007" s="4" t="s">
        <v>3143</v>
      </c>
      <c r="Y1007" s="4">
        <v>589580201</v>
      </c>
      <c r="Z1007" s="4" t="s">
        <v>3045</v>
      </c>
      <c r="AA1007" s="4" t="s">
        <v>2273</v>
      </c>
      <c r="AB1007" s="4" t="s">
        <v>4289</v>
      </c>
    </row>
    <row r="1008" spans="1:28">
      <c r="A1008" s="4">
        <v>1007</v>
      </c>
      <c r="B1008" s="5">
        <v>12942036</v>
      </c>
      <c r="C1008" s="5">
        <v>203635494</v>
      </c>
      <c r="D1008" s="115" t="s">
        <v>576</v>
      </c>
      <c r="E1008" s="4" t="s">
        <v>577</v>
      </c>
      <c r="F1008" s="7" t="s">
        <v>74</v>
      </c>
      <c r="G1008" s="7" t="s">
        <v>90</v>
      </c>
      <c r="H1008" s="7" t="s">
        <v>87</v>
      </c>
      <c r="I1008" s="6" t="s">
        <v>1788</v>
      </c>
      <c r="J1008" s="7" t="s">
        <v>5</v>
      </c>
      <c r="K1008" s="4" t="s">
        <v>10</v>
      </c>
      <c r="L1008" s="4" t="s">
        <v>24</v>
      </c>
      <c r="M1008" s="4" t="s">
        <v>3321</v>
      </c>
      <c r="N1008" s="4" t="s">
        <v>2584</v>
      </c>
      <c r="O1008" s="89"/>
      <c r="P1008" s="25">
        <v>45481</v>
      </c>
      <c r="Q1008" s="7" t="s">
        <v>1112</v>
      </c>
      <c r="R1008" s="90" t="s">
        <v>3253</v>
      </c>
      <c r="S1008" s="6" t="s">
        <v>1795</v>
      </c>
      <c r="T1008" s="4" t="s">
        <v>81</v>
      </c>
      <c r="U1008" s="4" t="s">
        <v>107</v>
      </c>
      <c r="V1008" s="4">
        <v>99</v>
      </c>
      <c r="W1008" s="85">
        <v>45846</v>
      </c>
      <c r="X1008" s="4" t="s">
        <v>3690</v>
      </c>
      <c r="Y1008" s="4">
        <v>558703673</v>
      </c>
      <c r="Z1008" s="4" t="s">
        <v>2248</v>
      </c>
      <c r="AA1008" s="4" t="s">
        <v>1198</v>
      </c>
      <c r="AB1008" s="4" t="s">
        <v>4289</v>
      </c>
    </row>
    <row r="1009" spans="1:28">
      <c r="A1009" s="4">
        <v>1008</v>
      </c>
      <c r="B1009" s="5">
        <v>12995604</v>
      </c>
      <c r="C1009" s="5">
        <v>203881694</v>
      </c>
      <c r="D1009" s="115" t="s">
        <v>1076</v>
      </c>
      <c r="E1009" s="4" t="s">
        <v>1077</v>
      </c>
      <c r="F1009" s="7" t="s">
        <v>82</v>
      </c>
      <c r="G1009" s="7" t="s">
        <v>89</v>
      </c>
      <c r="H1009" s="7" t="s">
        <v>90</v>
      </c>
      <c r="I1009" s="6" t="s">
        <v>1788</v>
      </c>
      <c r="J1009" s="7" t="s">
        <v>5</v>
      </c>
      <c r="K1009" s="4" t="s">
        <v>10</v>
      </c>
      <c r="L1009" s="4" t="s">
        <v>24</v>
      </c>
      <c r="M1009" s="4" t="s">
        <v>3321</v>
      </c>
      <c r="N1009" s="4" t="s">
        <v>2584</v>
      </c>
      <c r="O1009" s="89"/>
      <c r="P1009" s="25">
        <v>45530</v>
      </c>
      <c r="Q1009" s="7" t="s">
        <v>351</v>
      </c>
      <c r="R1009" s="90" t="s">
        <v>3257</v>
      </c>
      <c r="S1009" s="6" t="s">
        <v>1795</v>
      </c>
      <c r="T1009" s="4" t="s">
        <v>81</v>
      </c>
      <c r="U1009" s="4" t="s">
        <v>349</v>
      </c>
      <c r="V1009" s="4">
        <v>99</v>
      </c>
      <c r="W1009" s="85">
        <v>45895</v>
      </c>
      <c r="X1009" s="4" t="s">
        <v>3694</v>
      </c>
      <c r="Y1009" s="4">
        <v>583081850</v>
      </c>
      <c r="Z1009" s="4" t="s">
        <v>2155</v>
      </c>
      <c r="AA1009" s="4" t="s">
        <v>85</v>
      </c>
      <c r="AB1009" s="4" t="s">
        <v>4289</v>
      </c>
    </row>
    <row r="1010" spans="1:28">
      <c r="A1010" s="4">
        <v>1009</v>
      </c>
      <c r="B1010" s="5">
        <v>171393</v>
      </c>
      <c r="C1010" s="5">
        <v>205856635</v>
      </c>
      <c r="D1010" s="115" t="s">
        <v>2728</v>
      </c>
      <c r="E1010" s="4" t="s">
        <v>2729</v>
      </c>
      <c r="F1010" s="7" t="s">
        <v>74</v>
      </c>
      <c r="G1010" s="7" t="s">
        <v>89</v>
      </c>
      <c r="H1010" s="7" t="s">
        <v>90</v>
      </c>
      <c r="I1010" s="7" t="s">
        <v>1788</v>
      </c>
      <c r="J1010" s="7" t="s">
        <v>5</v>
      </c>
      <c r="K1010" s="4" t="s">
        <v>10</v>
      </c>
      <c r="L1010" s="4" t="s">
        <v>23</v>
      </c>
      <c r="M1010" s="4" t="s">
        <v>390</v>
      </c>
      <c r="N1010" s="4"/>
      <c r="O1010" s="89"/>
      <c r="P1010" s="25">
        <v>45894</v>
      </c>
      <c r="Q1010" s="7" t="s">
        <v>1112</v>
      </c>
      <c r="R1010" s="90" t="s">
        <v>3257</v>
      </c>
      <c r="S1010" s="6" t="s">
        <v>1795</v>
      </c>
      <c r="T1010" s="4" t="s">
        <v>92</v>
      </c>
      <c r="U1010" s="4" t="s">
        <v>349</v>
      </c>
      <c r="V1010" s="4">
        <v>99</v>
      </c>
      <c r="W1010" s="85">
        <v>45949</v>
      </c>
      <c r="X1010" s="4" t="s">
        <v>3527</v>
      </c>
      <c r="Y1010" s="4">
        <v>545320648</v>
      </c>
      <c r="Z1010" s="4" t="s">
        <v>2785</v>
      </c>
      <c r="AA1010" s="4" t="s">
        <v>85</v>
      </c>
      <c r="AB1010" s="4" t="s">
        <v>4289</v>
      </c>
    </row>
    <row r="1011" spans="1:28">
      <c r="A1011" s="4">
        <v>1010</v>
      </c>
      <c r="B1011" s="5">
        <v>14995692</v>
      </c>
      <c r="C1011" s="5">
        <v>203800780</v>
      </c>
      <c r="D1011" s="115" t="s">
        <v>672</v>
      </c>
      <c r="E1011" s="4" t="s">
        <v>673</v>
      </c>
      <c r="F1011" s="7" t="s">
        <v>74</v>
      </c>
      <c r="G1011" s="7" t="s">
        <v>89</v>
      </c>
      <c r="H1011" s="7" t="s">
        <v>90</v>
      </c>
      <c r="I1011" s="6" t="s">
        <v>1790</v>
      </c>
      <c r="J1011" s="7" t="s">
        <v>5</v>
      </c>
      <c r="K1011" s="4" t="s">
        <v>10</v>
      </c>
      <c r="L1011" s="4" t="s">
        <v>22</v>
      </c>
      <c r="M1011" s="4" t="s">
        <v>3321</v>
      </c>
      <c r="N1011" s="4" t="s">
        <v>2584</v>
      </c>
      <c r="O1011" s="89"/>
      <c r="P1011" s="25">
        <v>45684</v>
      </c>
      <c r="Q1011" s="7" t="s">
        <v>1192</v>
      </c>
      <c r="R1011" s="90" t="s">
        <v>3255</v>
      </c>
      <c r="S1011" s="6" t="s">
        <v>1795</v>
      </c>
      <c r="T1011" s="4" t="s">
        <v>81</v>
      </c>
      <c r="U1011" s="4" t="s">
        <v>107</v>
      </c>
      <c r="V1011" s="4">
        <v>99</v>
      </c>
      <c r="W1011" s="85">
        <v>45740</v>
      </c>
      <c r="X1011" s="4" t="s">
        <v>1216</v>
      </c>
      <c r="Y1011" s="4"/>
      <c r="Z1011" s="4"/>
      <c r="AA1011" s="4" t="s">
        <v>1202</v>
      </c>
      <c r="AB1011" s="4" t="s">
        <v>4289</v>
      </c>
    </row>
    <row r="1012" spans="1:28">
      <c r="A1012" s="4">
        <v>1011</v>
      </c>
      <c r="B1012" s="5">
        <v>13543895</v>
      </c>
      <c r="C1012" s="5">
        <v>204072305</v>
      </c>
      <c r="D1012" s="115" t="s">
        <v>1470</v>
      </c>
      <c r="E1012" s="4" t="s">
        <v>1446</v>
      </c>
      <c r="F1012" s="7" t="s">
        <v>74</v>
      </c>
      <c r="G1012" s="7" t="s">
        <v>76</v>
      </c>
      <c r="H1012" s="7" t="s">
        <v>88</v>
      </c>
      <c r="I1012" s="6" t="s">
        <v>1790</v>
      </c>
      <c r="J1012" s="7" t="s">
        <v>5</v>
      </c>
      <c r="K1012" s="4" t="s">
        <v>10</v>
      </c>
      <c r="L1012" s="4" t="s">
        <v>22</v>
      </c>
      <c r="M1012" s="4" t="s">
        <v>3321</v>
      </c>
      <c r="N1012" s="4" t="s">
        <v>2583</v>
      </c>
      <c r="O1012" s="89"/>
      <c r="P1012" s="25">
        <v>45558</v>
      </c>
      <c r="Q1012" s="7" t="s">
        <v>1112</v>
      </c>
      <c r="R1012" s="90" t="s">
        <v>3258</v>
      </c>
      <c r="S1012" s="6" t="s">
        <v>1795</v>
      </c>
      <c r="T1012" s="4" t="s">
        <v>81</v>
      </c>
      <c r="U1012" s="4" t="s">
        <v>103</v>
      </c>
      <c r="V1012" s="4">
        <v>99</v>
      </c>
      <c r="W1012" s="85">
        <v>45614</v>
      </c>
      <c r="X1012" s="4" t="s">
        <v>1216</v>
      </c>
      <c r="Y1012" s="4">
        <v>553527839</v>
      </c>
      <c r="Z1012" s="4" t="s">
        <v>1460</v>
      </c>
      <c r="AA1012" s="4" t="s">
        <v>1202</v>
      </c>
      <c r="AB1012" s="4" t="s">
        <v>4289</v>
      </c>
    </row>
    <row r="1013" spans="1:28">
      <c r="A1013" s="4">
        <v>1012</v>
      </c>
      <c r="B1013" s="5">
        <v>13069210</v>
      </c>
      <c r="C1013" s="5">
        <v>204137711</v>
      </c>
      <c r="D1013" s="115" t="s">
        <v>1584</v>
      </c>
      <c r="E1013" s="4" t="s">
        <v>1550</v>
      </c>
      <c r="F1013" s="7" t="s">
        <v>82</v>
      </c>
      <c r="G1013" s="7" t="s">
        <v>75</v>
      </c>
      <c r="H1013" s="7" t="s">
        <v>76</v>
      </c>
      <c r="I1013" s="6" t="s">
        <v>1790</v>
      </c>
      <c r="J1013" s="7" t="s">
        <v>5</v>
      </c>
      <c r="K1013" s="4" t="s">
        <v>10</v>
      </c>
      <c r="L1013" s="4" t="s">
        <v>27</v>
      </c>
      <c r="M1013" s="4" t="s">
        <v>390</v>
      </c>
      <c r="N1013" s="4" t="s">
        <v>2584</v>
      </c>
      <c r="O1013" s="89"/>
      <c r="P1013" s="25">
        <v>45565</v>
      </c>
      <c r="Q1013" s="7" t="s">
        <v>1112</v>
      </c>
      <c r="R1013" s="90" t="s">
        <v>3253</v>
      </c>
      <c r="S1013" s="6" t="s">
        <v>1795</v>
      </c>
      <c r="T1013" s="4" t="s">
        <v>81</v>
      </c>
      <c r="U1013" s="4" t="s">
        <v>107</v>
      </c>
      <c r="V1013" s="4">
        <v>99</v>
      </c>
      <c r="W1013" s="85">
        <v>46295</v>
      </c>
      <c r="X1013" s="4" t="s">
        <v>3473</v>
      </c>
      <c r="Y1013" s="4">
        <v>529203078</v>
      </c>
      <c r="Z1013" s="4" t="s">
        <v>1567</v>
      </c>
      <c r="AA1013" s="4" t="s">
        <v>85</v>
      </c>
      <c r="AB1013" s="4" t="s">
        <v>4289</v>
      </c>
    </row>
    <row r="1014" spans="1:28">
      <c r="A1014" s="4">
        <v>1013</v>
      </c>
      <c r="B1014" s="5">
        <v>12014727</v>
      </c>
      <c r="C1014" s="5">
        <v>204013686</v>
      </c>
      <c r="D1014" s="115" t="s">
        <v>1372</v>
      </c>
      <c r="E1014" s="4" t="s">
        <v>1373</v>
      </c>
      <c r="F1014" s="7" t="s">
        <v>74</v>
      </c>
      <c r="G1014" s="7" t="s">
        <v>87</v>
      </c>
      <c r="H1014" s="7" t="s">
        <v>75</v>
      </c>
      <c r="I1014" s="6" t="s">
        <v>1788</v>
      </c>
      <c r="J1014" s="7" t="s">
        <v>5</v>
      </c>
      <c r="K1014" s="4" t="s">
        <v>10</v>
      </c>
      <c r="L1014" s="4" t="s">
        <v>24</v>
      </c>
      <c r="M1014" s="4" t="s">
        <v>393</v>
      </c>
      <c r="N1014" s="4" t="s">
        <v>2584</v>
      </c>
      <c r="O1014" s="89"/>
      <c r="P1014" s="25">
        <v>45551</v>
      </c>
      <c r="Q1014" s="7" t="s">
        <v>1192</v>
      </c>
      <c r="R1014" s="90" t="s">
        <v>3257</v>
      </c>
      <c r="S1014" s="6" t="s">
        <v>1795</v>
      </c>
      <c r="T1014" s="4" t="s">
        <v>81</v>
      </c>
      <c r="U1014" s="4" t="s">
        <v>349</v>
      </c>
      <c r="V1014" s="4">
        <v>99</v>
      </c>
      <c r="W1014" s="85">
        <v>45916</v>
      </c>
      <c r="X1014" s="4" t="s">
        <v>3694</v>
      </c>
      <c r="Y1014" s="4">
        <v>502162358</v>
      </c>
      <c r="Z1014" s="4" t="s">
        <v>1422</v>
      </c>
      <c r="AA1014" s="4" t="s">
        <v>85</v>
      </c>
      <c r="AB1014" s="4" t="s">
        <v>4289</v>
      </c>
    </row>
    <row r="1015" spans="1:28">
      <c r="A1015" s="4">
        <v>1014</v>
      </c>
      <c r="B1015" s="5">
        <v>12902962</v>
      </c>
      <c r="C1015" s="5">
        <v>204868502</v>
      </c>
      <c r="D1015" s="115" t="s">
        <v>2739</v>
      </c>
      <c r="E1015" s="4" t="s">
        <v>2740</v>
      </c>
      <c r="F1015" s="7" t="s">
        <v>74</v>
      </c>
      <c r="G1015" s="7" t="s">
        <v>87</v>
      </c>
      <c r="H1015" s="7" t="s">
        <v>75</v>
      </c>
      <c r="I1015" s="6" t="s">
        <v>1790</v>
      </c>
      <c r="J1015" s="7" t="s">
        <v>5</v>
      </c>
      <c r="K1015" s="4" t="s">
        <v>10</v>
      </c>
      <c r="L1015" s="4" t="s">
        <v>22</v>
      </c>
      <c r="M1015" s="4" t="s">
        <v>4314</v>
      </c>
      <c r="N1015" s="4"/>
      <c r="O1015" s="89"/>
      <c r="P1015" s="25">
        <v>45894</v>
      </c>
      <c r="Q1015" s="7" t="s">
        <v>1112</v>
      </c>
      <c r="R1015" s="90" t="s">
        <v>3257</v>
      </c>
      <c r="S1015" s="6" t="s">
        <v>1795</v>
      </c>
      <c r="T1015" s="4" t="s">
        <v>81</v>
      </c>
      <c r="U1015" s="4" t="s">
        <v>107</v>
      </c>
      <c r="V1015" s="4">
        <v>99</v>
      </c>
      <c r="W1015" s="85">
        <v>45949</v>
      </c>
      <c r="X1015" s="4" t="s">
        <v>2758</v>
      </c>
      <c r="Y1015" s="4">
        <v>547447820</v>
      </c>
      <c r="Z1015" s="4" t="s">
        <v>2790</v>
      </c>
      <c r="AA1015" s="4" t="s">
        <v>85</v>
      </c>
      <c r="AB1015" s="4" t="s">
        <v>4289</v>
      </c>
    </row>
    <row r="1016" spans="1:28">
      <c r="A1016" s="4">
        <v>1015</v>
      </c>
      <c r="B1016" s="5">
        <v>12893202</v>
      </c>
      <c r="C1016" s="5">
        <v>203881662</v>
      </c>
      <c r="D1016" s="115" t="s">
        <v>1080</v>
      </c>
      <c r="E1016" s="4" t="s">
        <v>1081</v>
      </c>
      <c r="F1016" s="7" t="s">
        <v>74</v>
      </c>
      <c r="G1016" s="7" t="s">
        <v>88</v>
      </c>
      <c r="H1016" s="7" t="s">
        <v>94</v>
      </c>
      <c r="I1016" s="6" t="s">
        <v>1788</v>
      </c>
      <c r="J1016" s="7" t="s">
        <v>5</v>
      </c>
      <c r="K1016" s="4" t="s">
        <v>10</v>
      </c>
      <c r="L1016" s="4" t="s">
        <v>24</v>
      </c>
      <c r="M1016" s="4" t="s">
        <v>4361</v>
      </c>
      <c r="N1016" s="4" t="s">
        <v>2584</v>
      </c>
      <c r="O1016" s="89"/>
      <c r="P1016" s="25">
        <v>45530</v>
      </c>
      <c r="Q1016" s="7" t="s">
        <v>1112</v>
      </c>
      <c r="R1016" s="90" t="s">
        <v>3254</v>
      </c>
      <c r="S1016" s="6" t="s">
        <v>1795</v>
      </c>
      <c r="T1016" s="4" t="s">
        <v>81</v>
      </c>
      <c r="U1016" s="4" t="s">
        <v>349</v>
      </c>
      <c r="V1016" s="4">
        <v>99</v>
      </c>
      <c r="W1016" s="85">
        <v>45895</v>
      </c>
      <c r="X1016" s="4" t="s">
        <v>3688</v>
      </c>
      <c r="Y1016" s="4">
        <v>558470042</v>
      </c>
      <c r="Z1016" s="4" t="s">
        <v>2156</v>
      </c>
      <c r="AA1016" s="4" t="s">
        <v>85</v>
      </c>
      <c r="AB1016" s="4" t="s">
        <v>4289</v>
      </c>
    </row>
    <row r="1017" spans="1:28">
      <c r="A1017" s="4">
        <v>1016</v>
      </c>
      <c r="B1017" s="5">
        <v>13475959</v>
      </c>
      <c r="C1017" s="5">
        <v>203851101</v>
      </c>
      <c r="D1017" s="115" t="s">
        <v>806</v>
      </c>
      <c r="E1017" s="4" t="s">
        <v>807</v>
      </c>
      <c r="F1017" s="7" t="s">
        <v>74</v>
      </c>
      <c r="G1017" s="7" t="s">
        <v>88</v>
      </c>
      <c r="H1017" s="7" t="s">
        <v>94</v>
      </c>
      <c r="I1017" s="6" t="s">
        <v>1788</v>
      </c>
      <c r="J1017" s="7" t="s">
        <v>5</v>
      </c>
      <c r="K1017" s="4" t="s">
        <v>10</v>
      </c>
      <c r="L1017" s="4" t="s">
        <v>24</v>
      </c>
      <c r="M1017" s="4" t="s">
        <v>4314</v>
      </c>
      <c r="N1017" s="4" t="s">
        <v>2583</v>
      </c>
      <c r="O1017" s="89"/>
      <c r="P1017" s="25">
        <v>45524</v>
      </c>
      <c r="Q1017" s="7" t="s">
        <v>351</v>
      </c>
      <c r="R1017" s="90" t="s">
        <v>3257</v>
      </c>
      <c r="S1017" s="6" t="s">
        <v>1795</v>
      </c>
      <c r="T1017" s="4" t="s">
        <v>81</v>
      </c>
      <c r="U1017" s="4" t="s">
        <v>349</v>
      </c>
      <c r="V1017" s="4">
        <v>99</v>
      </c>
      <c r="W1017" s="85">
        <v>45889</v>
      </c>
      <c r="X1017" s="4" t="s">
        <v>3703</v>
      </c>
      <c r="Y1017" s="4">
        <v>527009098</v>
      </c>
      <c r="Z1017" s="4" t="s">
        <v>2157</v>
      </c>
      <c r="AA1017" s="4" t="s">
        <v>85</v>
      </c>
      <c r="AB1017" s="4" t="s">
        <v>4289</v>
      </c>
    </row>
    <row r="1018" spans="1:28">
      <c r="A1018" s="4">
        <v>1017</v>
      </c>
      <c r="B1018" s="5">
        <v>13105479</v>
      </c>
      <c r="C1018" s="5">
        <v>205997634</v>
      </c>
      <c r="D1018" s="115" t="s">
        <v>2851</v>
      </c>
      <c r="E1018" s="4" t="s">
        <v>2852</v>
      </c>
      <c r="F1018" s="7" t="s">
        <v>74</v>
      </c>
      <c r="G1018" s="7" t="s">
        <v>75</v>
      </c>
      <c r="H1018" s="7" t="s">
        <v>76</v>
      </c>
      <c r="I1018" s="6" t="s">
        <v>1788</v>
      </c>
      <c r="J1018" s="7" t="s">
        <v>5</v>
      </c>
      <c r="K1018" s="4" t="s">
        <v>10</v>
      </c>
      <c r="L1018" s="4" t="s">
        <v>24</v>
      </c>
      <c r="M1018" s="4" t="s">
        <v>4314</v>
      </c>
      <c r="N1018" s="4"/>
      <c r="O1018" s="89"/>
      <c r="P1018" s="25">
        <v>45915</v>
      </c>
      <c r="Q1018" s="7" t="s">
        <v>1112</v>
      </c>
      <c r="R1018" s="90" t="s">
        <v>3254</v>
      </c>
      <c r="S1018" s="6" t="s">
        <v>1795</v>
      </c>
      <c r="T1018" s="4" t="s">
        <v>81</v>
      </c>
      <c r="U1018" s="4" t="s">
        <v>349</v>
      </c>
      <c r="V1018" s="4">
        <v>99</v>
      </c>
      <c r="W1018" s="85"/>
      <c r="X1018" s="4"/>
      <c r="Y1018" s="4"/>
      <c r="Z1018" s="4"/>
      <c r="AA1018" s="4" t="s">
        <v>85</v>
      </c>
      <c r="AB1018" s="4" t="s">
        <v>4289</v>
      </c>
    </row>
    <row r="1019" spans="1:28">
      <c r="A1019" s="4">
        <v>1018</v>
      </c>
      <c r="B1019" s="5">
        <v>14325277</v>
      </c>
      <c r="C1019" s="5">
        <v>204967557</v>
      </c>
      <c r="D1019" s="115" t="s">
        <v>2454</v>
      </c>
      <c r="E1019" s="4" t="s">
        <v>2455</v>
      </c>
      <c r="F1019" s="7" t="s">
        <v>82</v>
      </c>
      <c r="G1019" s="7" t="s">
        <v>87</v>
      </c>
      <c r="H1019" s="7" t="s">
        <v>75</v>
      </c>
      <c r="I1019" s="6" t="s">
        <v>1790</v>
      </c>
      <c r="J1019" s="7" t="s">
        <v>5</v>
      </c>
      <c r="K1019" s="4" t="s">
        <v>10</v>
      </c>
      <c r="L1019" s="4" t="s">
        <v>22</v>
      </c>
      <c r="M1019" s="4" t="s">
        <v>3321</v>
      </c>
      <c r="N1019" s="4" t="s">
        <v>2584</v>
      </c>
      <c r="O1019" s="89"/>
      <c r="P1019" s="25">
        <v>45719</v>
      </c>
      <c r="Q1019" s="7" t="s">
        <v>1112</v>
      </c>
      <c r="R1019" s="90" t="s">
        <v>3253</v>
      </c>
      <c r="S1019" s="6" t="s">
        <v>1795</v>
      </c>
      <c r="T1019" s="4" t="s">
        <v>81</v>
      </c>
      <c r="U1019" s="4" t="s">
        <v>112</v>
      </c>
      <c r="V1019" s="4">
        <v>99</v>
      </c>
      <c r="W1019" s="85">
        <v>45775</v>
      </c>
      <c r="X1019" s="4" t="s">
        <v>1216</v>
      </c>
      <c r="Y1019" s="4">
        <v>502684708</v>
      </c>
      <c r="Z1019" s="4" t="s">
        <v>2474</v>
      </c>
      <c r="AA1019" s="4" t="s">
        <v>85</v>
      </c>
      <c r="AB1019" s="4" t="s">
        <v>4289</v>
      </c>
    </row>
    <row r="1020" spans="1:28">
      <c r="A1020" s="4">
        <v>1019</v>
      </c>
      <c r="B1020" s="5">
        <v>14313085</v>
      </c>
      <c r="C1020" s="5">
        <v>204967039</v>
      </c>
      <c r="D1020" s="115" t="s">
        <v>2421</v>
      </c>
      <c r="E1020" s="4" t="s">
        <v>2422</v>
      </c>
      <c r="F1020" s="7" t="s">
        <v>74</v>
      </c>
      <c r="G1020" s="7" t="s">
        <v>88</v>
      </c>
      <c r="H1020" s="7" t="s">
        <v>94</v>
      </c>
      <c r="I1020" s="6" t="s">
        <v>1790</v>
      </c>
      <c r="J1020" s="7" t="s">
        <v>5</v>
      </c>
      <c r="K1020" s="4" t="s">
        <v>10</v>
      </c>
      <c r="L1020" s="4" t="s">
        <v>22</v>
      </c>
      <c r="M1020" s="4" t="s">
        <v>3321</v>
      </c>
      <c r="N1020" s="4" t="s">
        <v>2584</v>
      </c>
      <c r="O1020" s="89"/>
      <c r="P1020" s="25">
        <v>45719</v>
      </c>
      <c r="Q1020" s="7" t="s">
        <v>1112</v>
      </c>
      <c r="R1020" s="90" t="s">
        <v>3256</v>
      </c>
      <c r="S1020" s="6" t="s">
        <v>1795</v>
      </c>
      <c r="T1020" s="4" t="s">
        <v>81</v>
      </c>
      <c r="U1020" s="4" t="s">
        <v>3259</v>
      </c>
      <c r="V1020" s="4">
        <v>99</v>
      </c>
      <c r="W1020" s="85">
        <v>45775</v>
      </c>
      <c r="X1020" s="4" t="s">
        <v>1216</v>
      </c>
      <c r="Y1020" s="4">
        <v>525596928</v>
      </c>
      <c r="Z1020" s="4" t="s">
        <v>2442</v>
      </c>
      <c r="AA1020" s="4" t="s">
        <v>85</v>
      </c>
      <c r="AB1020" s="4" t="s">
        <v>4289</v>
      </c>
    </row>
    <row r="1021" spans="1:28">
      <c r="A1021" s="4">
        <v>1020</v>
      </c>
      <c r="B1021" s="5">
        <v>14137418</v>
      </c>
      <c r="C1021" s="5">
        <v>204967145</v>
      </c>
      <c r="D1021" s="115" t="s">
        <v>2446</v>
      </c>
      <c r="E1021" s="4" t="s">
        <v>2447</v>
      </c>
      <c r="F1021" s="7" t="s">
        <v>82</v>
      </c>
      <c r="G1021" s="7" t="s">
        <v>89</v>
      </c>
      <c r="H1021" s="7" t="s">
        <v>90</v>
      </c>
      <c r="I1021" s="6" t="s">
        <v>1790</v>
      </c>
      <c r="J1021" s="7" t="s">
        <v>5</v>
      </c>
      <c r="K1021" s="4" t="s">
        <v>10</v>
      </c>
      <c r="L1021" s="4" t="s">
        <v>22</v>
      </c>
      <c r="M1021" s="4" t="s">
        <v>4314</v>
      </c>
      <c r="N1021" s="4" t="s">
        <v>2584</v>
      </c>
      <c r="O1021" s="89"/>
      <c r="P1021" s="25">
        <v>45719</v>
      </c>
      <c r="Q1021" s="7" t="s">
        <v>351</v>
      </c>
      <c r="R1021" s="90" t="s">
        <v>3252</v>
      </c>
      <c r="S1021" s="6" t="s">
        <v>1795</v>
      </c>
      <c r="T1021" s="4" t="s">
        <v>81</v>
      </c>
      <c r="U1021" s="4" t="s">
        <v>349</v>
      </c>
      <c r="V1021" s="4">
        <v>99</v>
      </c>
      <c r="W1021" s="85">
        <v>45775</v>
      </c>
      <c r="X1021" s="4" t="s">
        <v>1216</v>
      </c>
      <c r="Y1021" s="4">
        <v>549665387</v>
      </c>
      <c r="Z1021" s="4" t="s">
        <v>2472</v>
      </c>
      <c r="AA1021" s="4" t="s">
        <v>85</v>
      </c>
      <c r="AB1021" s="4" t="s">
        <v>4289</v>
      </c>
    </row>
    <row r="1022" spans="1:28">
      <c r="A1022" s="4">
        <v>1021</v>
      </c>
      <c r="B1022" s="5">
        <v>12425532</v>
      </c>
      <c r="C1022" s="5">
        <v>203512946</v>
      </c>
      <c r="D1022" s="115" t="s">
        <v>531</v>
      </c>
      <c r="E1022" s="4" t="s">
        <v>532</v>
      </c>
      <c r="F1022" s="7" t="s">
        <v>74</v>
      </c>
      <c r="G1022" s="7" t="s">
        <v>76</v>
      </c>
      <c r="H1022" s="7" t="s">
        <v>88</v>
      </c>
      <c r="I1022" s="6" t="s">
        <v>1788</v>
      </c>
      <c r="J1022" s="7" t="s">
        <v>5</v>
      </c>
      <c r="K1022" s="4" t="s">
        <v>10</v>
      </c>
      <c r="L1022" s="4" t="s">
        <v>24</v>
      </c>
      <c r="M1022" s="4" t="s">
        <v>4361</v>
      </c>
      <c r="N1022" s="4" t="s">
        <v>2584</v>
      </c>
      <c r="O1022" s="89"/>
      <c r="P1022" s="25">
        <v>45463</v>
      </c>
      <c r="Q1022" s="7" t="s">
        <v>1112</v>
      </c>
      <c r="R1022" s="90" t="s">
        <v>3262</v>
      </c>
      <c r="S1022" s="6" t="s">
        <v>1795</v>
      </c>
      <c r="T1022" s="4" t="s">
        <v>92</v>
      </c>
      <c r="U1022" s="4" t="s">
        <v>112</v>
      </c>
      <c r="V1022" s="4">
        <v>99</v>
      </c>
      <c r="W1022" s="85">
        <v>45828</v>
      </c>
      <c r="X1022" s="4" t="s">
        <v>3474</v>
      </c>
      <c r="Y1022" s="4">
        <v>564890681</v>
      </c>
      <c r="Z1022" s="4" t="s">
        <v>2158</v>
      </c>
      <c r="AA1022" s="4" t="s">
        <v>85</v>
      </c>
      <c r="AB1022" s="4" t="s">
        <v>4289</v>
      </c>
    </row>
    <row r="1023" spans="1:28" ht="14.5" customHeight="1">
      <c r="A1023" s="4">
        <v>1022</v>
      </c>
      <c r="B1023" s="5">
        <v>13150857</v>
      </c>
      <c r="C1023" s="5">
        <v>202189563</v>
      </c>
      <c r="D1023" s="115" t="s">
        <v>1145</v>
      </c>
      <c r="E1023" s="4" t="s">
        <v>1146</v>
      </c>
      <c r="F1023" s="7" t="s">
        <v>74</v>
      </c>
      <c r="G1023" s="7" t="s">
        <v>90</v>
      </c>
      <c r="H1023" s="7" t="s">
        <v>87</v>
      </c>
      <c r="I1023" s="6" t="s">
        <v>1788</v>
      </c>
      <c r="J1023" s="7" t="s">
        <v>5</v>
      </c>
      <c r="K1023" s="4" t="s">
        <v>10</v>
      </c>
      <c r="L1023" s="4" t="s">
        <v>24</v>
      </c>
      <c r="M1023" s="4" t="s">
        <v>3321</v>
      </c>
      <c r="N1023" s="4" t="s">
        <v>2583</v>
      </c>
      <c r="O1023" s="89"/>
      <c r="P1023" s="25">
        <v>45537</v>
      </c>
      <c r="Q1023" s="7" t="s">
        <v>1113</v>
      </c>
      <c r="R1023" s="90" t="s">
        <v>3254</v>
      </c>
      <c r="S1023" s="6" t="s">
        <v>1795</v>
      </c>
      <c r="T1023" s="4" t="s">
        <v>81</v>
      </c>
      <c r="U1023" s="4" t="s">
        <v>107</v>
      </c>
      <c r="V1023" s="4">
        <v>99</v>
      </c>
      <c r="W1023" s="85">
        <v>46267</v>
      </c>
      <c r="X1023" s="4" t="s">
        <v>3690</v>
      </c>
      <c r="Y1023" s="4">
        <v>545562504</v>
      </c>
      <c r="Z1023" s="4" t="s">
        <v>2159</v>
      </c>
      <c r="AA1023" s="4" t="s">
        <v>85</v>
      </c>
      <c r="AB1023" s="4" t="s">
        <v>4289</v>
      </c>
    </row>
    <row r="1024" spans="1:28">
      <c r="A1024" s="4">
        <v>1023</v>
      </c>
      <c r="B1024" s="5">
        <v>112066</v>
      </c>
      <c r="C1024" s="5">
        <v>205854084</v>
      </c>
      <c r="D1024" s="115" t="s">
        <v>2730</v>
      </c>
      <c r="E1024" s="4" t="s">
        <v>2731</v>
      </c>
      <c r="F1024" s="7" t="s">
        <v>82</v>
      </c>
      <c r="G1024" s="7" t="s">
        <v>90</v>
      </c>
      <c r="H1024" s="7" t="s">
        <v>87</v>
      </c>
      <c r="I1024" s="7" t="s">
        <v>1788</v>
      </c>
      <c r="J1024" s="7" t="s">
        <v>5</v>
      </c>
      <c r="K1024" s="4" t="s">
        <v>10</v>
      </c>
      <c r="L1024" s="4" t="s">
        <v>23</v>
      </c>
      <c r="M1024" s="4" t="s">
        <v>374</v>
      </c>
      <c r="N1024" s="4"/>
      <c r="O1024" s="89"/>
      <c r="P1024" s="25">
        <v>45894</v>
      </c>
      <c r="Q1024" s="7" t="s">
        <v>1112</v>
      </c>
      <c r="R1024" s="90" t="s">
        <v>3257</v>
      </c>
      <c r="S1024" s="6" t="s">
        <v>1795</v>
      </c>
      <c r="T1024" s="4" t="s">
        <v>92</v>
      </c>
      <c r="U1024" s="4" t="s">
        <v>349</v>
      </c>
      <c r="V1024" s="4">
        <v>99</v>
      </c>
      <c r="W1024" s="85">
        <v>45949</v>
      </c>
      <c r="X1024" s="4" t="s">
        <v>3527</v>
      </c>
      <c r="Y1024" s="4">
        <v>254727096330</v>
      </c>
      <c r="Z1024" s="4" t="s">
        <v>2786</v>
      </c>
      <c r="AA1024" s="4" t="s">
        <v>1204</v>
      </c>
      <c r="AB1024" s="4" t="s">
        <v>4289</v>
      </c>
    </row>
    <row r="1025" spans="1:28">
      <c r="A1025" s="4">
        <v>1024</v>
      </c>
      <c r="B1025" s="5">
        <v>13395726</v>
      </c>
      <c r="C1025" s="5">
        <v>106268302</v>
      </c>
      <c r="D1025" s="115" t="s">
        <v>460</v>
      </c>
      <c r="E1025" s="4" t="s">
        <v>461</v>
      </c>
      <c r="F1025" s="7" t="s">
        <v>74</v>
      </c>
      <c r="G1025" s="7" t="s">
        <v>76</v>
      </c>
      <c r="H1025" s="7" t="s">
        <v>88</v>
      </c>
      <c r="I1025" s="6" t="s">
        <v>244</v>
      </c>
      <c r="J1025" s="7" t="s">
        <v>5</v>
      </c>
      <c r="K1025" s="4" t="s">
        <v>10</v>
      </c>
      <c r="L1025" s="4" t="s">
        <v>21</v>
      </c>
      <c r="M1025" s="4" t="s">
        <v>393</v>
      </c>
      <c r="N1025" s="4" t="s">
        <v>2583</v>
      </c>
      <c r="O1025" s="89"/>
      <c r="P1025" s="25">
        <v>44839</v>
      </c>
      <c r="Q1025" s="7" t="s">
        <v>1111</v>
      </c>
      <c r="R1025" s="90" t="s">
        <v>3254</v>
      </c>
      <c r="S1025" s="6" t="s">
        <v>1795</v>
      </c>
      <c r="T1025" s="4" t="s">
        <v>81</v>
      </c>
      <c r="U1025" s="4" t="s">
        <v>103</v>
      </c>
      <c r="V1025" s="4">
        <v>3</v>
      </c>
      <c r="W1025" s="85"/>
      <c r="X1025" s="4" t="s">
        <v>3474</v>
      </c>
      <c r="Y1025" s="4">
        <v>0</v>
      </c>
      <c r="Z1025" s="4" t="e">
        <v>#N/A</v>
      </c>
      <c r="AA1025" s="4" t="s">
        <v>127</v>
      </c>
      <c r="AB1025" s="4" t="s">
        <v>4290</v>
      </c>
    </row>
    <row r="1026" spans="1:28" ht="14.5" customHeight="1">
      <c r="A1026" s="4">
        <v>1025</v>
      </c>
      <c r="B1026" s="5">
        <v>12600407</v>
      </c>
      <c r="C1026" s="5">
        <v>206915472</v>
      </c>
      <c r="D1026" s="115" t="s">
        <v>3856</v>
      </c>
      <c r="E1026" s="4" t="s">
        <v>3679</v>
      </c>
      <c r="F1026" s="7" t="s">
        <v>82</v>
      </c>
      <c r="G1026" s="7" t="s">
        <v>76</v>
      </c>
      <c r="H1026" s="7" t="s">
        <v>88</v>
      </c>
      <c r="I1026" s="7" t="s">
        <v>1789</v>
      </c>
      <c r="J1026" s="7" t="s">
        <v>5</v>
      </c>
      <c r="K1026" s="4" t="s">
        <v>10</v>
      </c>
      <c r="L1026" s="4" t="s">
        <v>22</v>
      </c>
      <c r="M1026" s="4" t="s">
        <v>390</v>
      </c>
      <c r="N1026" s="4" t="s">
        <v>2584</v>
      </c>
      <c r="O1026" s="89"/>
      <c r="P1026" s="25">
        <v>46034</v>
      </c>
      <c r="Q1026" s="7" t="s">
        <v>1112</v>
      </c>
      <c r="R1026" s="4" t="s">
        <v>3261</v>
      </c>
      <c r="S1026" s="6" t="s">
        <v>1795</v>
      </c>
      <c r="T1026" s="4" t="s">
        <v>81</v>
      </c>
      <c r="U1026" s="4"/>
      <c r="V1026" s="4">
        <v>99</v>
      </c>
      <c r="W1026" s="85">
        <v>46416</v>
      </c>
      <c r="X1026" s="4" t="s">
        <v>3290</v>
      </c>
      <c r="Y1026" s="4">
        <v>525422492</v>
      </c>
      <c r="Z1026" s="4" t="s">
        <v>3685</v>
      </c>
      <c r="AA1026" s="4" t="s">
        <v>3168</v>
      </c>
      <c r="AB1026" s="4" t="e">
        <v>#N/A</v>
      </c>
    </row>
    <row r="1027" spans="1:28">
      <c r="A1027" s="4">
        <v>1026</v>
      </c>
      <c r="B1027" s="5">
        <v>11915442</v>
      </c>
      <c r="C1027" s="5">
        <v>206129616</v>
      </c>
      <c r="D1027" s="115" t="s">
        <v>2943</v>
      </c>
      <c r="E1027" s="4" t="s">
        <v>2944</v>
      </c>
      <c r="F1027" s="7" t="s">
        <v>74</v>
      </c>
      <c r="G1027" s="7" t="s">
        <v>90</v>
      </c>
      <c r="H1027" s="7" t="s">
        <v>87</v>
      </c>
      <c r="I1027" s="6" t="s">
        <v>1788</v>
      </c>
      <c r="J1027" s="7" t="s">
        <v>5</v>
      </c>
      <c r="K1027" s="4" t="s">
        <v>10</v>
      </c>
      <c r="L1027" s="4" t="s">
        <v>24</v>
      </c>
      <c r="M1027" s="4" t="s">
        <v>3321</v>
      </c>
      <c r="N1027" s="4"/>
      <c r="O1027" s="89"/>
      <c r="P1027" s="25">
        <v>45929</v>
      </c>
      <c r="Q1027" s="7" t="s">
        <v>1112</v>
      </c>
      <c r="R1027" s="90" t="s">
        <v>3262</v>
      </c>
      <c r="S1027" s="6" t="s">
        <v>1795</v>
      </c>
      <c r="T1027" s="4" t="s">
        <v>81</v>
      </c>
      <c r="U1027" s="4" t="s">
        <v>107</v>
      </c>
      <c r="V1027" s="4">
        <v>99</v>
      </c>
      <c r="W1027" s="85"/>
      <c r="X1027" s="4"/>
      <c r="Y1027" s="4"/>
      <c r="Z1027" s="4"/>
      <c r="AA1027" s="4" t="s">
        <v>85</v>
      </c>
      <c r="AB1027" s="4" t="s">
        <v>4289</v>
      </c>
    </row>
    <row r="1028" spans="1:28">
      <c r="A1028" s="4">
        <v>1027</v>
      </c>
      <c r="B1028" s="5">
        <v>13980271</v>
      </c>
      <c r="C1028" s="5">
        <v>204951315</v>
      </c>
      <c r="D1028" s="115" t="s">
        <v>2427</v>
      </c>
      <c r="E1028" s="4" t="s">
        <v>2428</v>
      </c>
      <c r="F1028" s="7" t="s">
        <v>74</v>
      </c>
      <c r="G1028" s="7" t="s">
        <v>89</v>
      </c>
      <c r="H1028" s="7" t="s">
        <v>90</v>
      </c>
      <c r="I1028" s="6" t="s">
        <v>1790</v>
      </c>
      <c r="J1028" s="7" t="s">
        <v>5</v>
      </c>
      <c r="K1028" s="4" t="s">
        <v>10</v>
      </c>
      <c r="L1028" s="4" t="s">
        <v>22</v>
      </c>
      <c r="M1028" s="4" t="s">
        <v>3321</v>
      </c>
      <c r="N1028" s="4" t="s">
        <v>2584</v>
      </c>
      <c r="O1028" s="89"/>
      <c r="P1028" s="25">
        <v>45719</v>
      </c>
      <c r="Q1028" s="7" t="s">
        <v>1112</v>
      </c>
      <c r="R1028" s="90" t="s">
        <v>3261</v>
      </c>
      <c r="S1028" s="6" t="s">
        <v>1795</v>
      </c>
      <c r="T1028" s="4" t="s">
        <v>81</v>
      </c>
      <c r="U1028" s="4" t="s">
        <v>349</v>
      </c>
      <c r="V1028" s="4">
        <v>99</v>
      </c>
      <c r="W1028" s="85">
        <v>45775</v>
      </c>
      <c r="X1028" s="4" t="s">
        <v>1216</v>
      </c>
      <c r="Y1028" s="4">
        <v>523319475</v>
      </c>
      <c r="Z1028" s="4" t="s">
        <v>2444</v>
      </c>
      <c r="AA1028" s="4" t="s">
        <v>85</v>
      </c>
      <c r="AB1028" s="4" t="s">
        <v>4289</v>
      </c>
    </row>
    <row r="1029" spans="1:28">
      <c r="A1029" s="4">
        <v>1028</v>
      </c>
      <c r="B1029" s="5">
        <v>14830784</v>
      </c>
      <c r="C1029" s="5">
        <v>204009351</v>
      </c>
      <c r="D1029" s="115" t="s">
        <v>1395</v>
      </c>
      <c r="E1029" s="4" t="s">
        <v>1396</v>
      </c>
      <c r="F1029" s="7" t="s">
        <v>82</v>
      </c>
      <c r="G1029" s="7" t="s">
        <v>75</v>
      </c>
      <c r="H1029" s="7" t="s">
        <v>76</v>
      </c>
      <c r="I1029" s="6" t="s">
        <v>1790</v>
      </c>
      <c r="J1029" s="7" t="s">
        <v>5</v>
      </c>
      <c r="K1029" s="4" t="s">
        <v>10</v>
      </c>
      <c r="L1029" s="4" t="s">
        <v>22</v>
      </c>
      <c r="M1029" s="4" t="s">
        <v>3321</v>
      </c>
      <c r="N1029" s="4" t="s">
        <v>2584</v>
      </c>
      <c r="O1029" s="89"/>
      <c r="P1029" s="25">
        <v>45551</v>
      </c>
      <c r="Q1029" s="7" t="s">
        <v>1112</v>
      </c>
      <c r="R1029" s="90" t="s">
        <v>3254</v>
      </c>
      <c r="S1029" s="6" t="s">
        <v>1795</v>
      </c>
      <c r="T1029" s="4" t="s">
        <v>81</v>
      </c>
      <c r="U1029" s="4" t="s">
        <v>349</v>
      </c>
      <c r="V1029" s="4">
        <v>99</v>
      </c>
      <c r="W1029" s="85">
        <v>45607</v>
      </c>
      <c r="X1029" s="4" t="s">
        <v>1216</v>
      </c>
      <c r="Y1029" s="4">
        <v>525208019</v>
      </c>
      <c r="Z1029" s="4" t="s">
        <v>1427</v>
      </c>
      <c r="AA1029" s="4" t="s">
        <v>1202</v>
      </c>
      <c r="AB1029" s="4" t="s">
        <v>4289</v>
      </c>
    </row>
    <row r="1030" spans="1:28">
      <c r="A1030" s="4">
        <v>1029</v>
      </c>
      <c r="B1030" s="5">
        <v>12431891</v>
      </c>
      <c r="C1030" s="5">
        <v>203512947</v>
      </c>
      <c r="D1030" s="115" t="s">
        <v>525</v>
      </c>
      <c r="E1030" s="4" t="s">
        <v>526</v>
      </c>
      <c r="F1030" s="7" t="s">
        <v>82</v>
      </c>
      <c r="G1030" s="7" t="s">
        <v>75</v>
      </c>
      <c r="H1030" s="7" t="s">
        <v>76</v>
      </c>
      <c r="I1030" s="6" t="s">
        <v>1788</v>
      </c>
      <c r="J1030" s="7" t="s">
        <v>5</v>
      </c>
      <c r="K1030" s="4" t="s">
        <v>10</v>
      </c>
      <c r="L1030" s="4" t="s">
        <v>24</v>
      </c>
      <c r="M1030" s="4" t="s">
        <v>4314</v>
      </c>
      <c r="N1030" s="4" t="s">
        <v>2584</v>
      </c>
      <c r="O1030" s="89"/>
      <c r="P1030" s="25">
        <v>45463</v>
      </c>
      <c r="Q1030" s="7" t="s">
        <v>1112</v>
      </c>
      <c r="R1030" s="90" t="s">
        <v>3262</v>
      </c>
      <c r="S1030" s="6" t="s">
        <v>1795</v>
      </c>
      <c r="T1030" s="4" t="s">
        <v>92</v>
      </c>
      <c r="U1030" s="4" t="s">
        <v>3263</v>
      </c>
      <c r="V1030" s="4">
        <v>99</v>
      </c>
      <c r="W1030" s="85">
        <v>45828</v>
      </c>
      <c r="X1030" s="4" t="s">
        <v>3474</v>
      </c>
      <c r="Y1030" s="4">
        <v>581675060</v>
      </c>
      <c r="Z1030" s="4" t="s">
        <v>2160</v>
      </c>
      <c r="AA1030" s="4" t="s">
        <v>1196</v>
      </c>
      <c r="AB1030" s="4" t="s">
        <v>4289</v>
      </c>
    </row>
    <row r="1031" spans="1:28">
      <c r="A1031" s="4">
        <v>1030</v>
      </c>
      <c r="B1031" s="5">
        <v>14561257</v>
      </c>
      <c r="C1031" s="5">
        <v>206006426</v>
      </c>
      <c r="D1031" s="115" t="s">
        <v>2866</v>
      </c>
      <c r="E1031" s="4" t="s">
        <v>2867</v>
      </c>
      <c r="F1031" s="7" t="s">
        <v>82</v>
      </c>
      <c r="G1031" s="7" t="s">
        <v>88</v>
      </c>
      <c r="H1031" s="7" t="s">
        <v>94</v>
      </c>
      <c r="I1031" s="6" t="s">
        <v>1788</v>
      </c>
      <c r="J1031" s="7" t="s">
        <v>5</v>
      </c>
      <c r="K1031" s="4" t="s">
        <v>10</v>
      </c>
      <c r="L1031" s="4" t="s">
        <v>24</v>
      </c>
      <c r="M1031" s="4" t="s">
        <v>2741</v>
      </c>
      <c r="N1031" s="4"/>
      <c r="O1031" s="89"/>
      <c r="P1031" s="25">
        <v>45915</v>
      </c>
      <c r="Q1031" s="7" t="s">
        <v>1112</v>
      </c>
      <c r="R1031" s="7" t="s">
        <v>3257</v>
      </c>
      <c r="S1031" s="6" t="s">
        <v>1795</v>
      </c>
      <c r="T1031" s="4" t="s">
        <v>92</v>
      </c>
      <c r="U1031" s="4" t="s">
        <v>349</v>
      </c>
      <c r="V1031" s="4">
        <v>99</v>
      </c>
      <c r="W1031" s="85"/>
      <c r="X1031" s="4"/>
      <c r="Y1031" s="4"/>
      <c r="Z1031" s="4"/>
      <c r="AA1031" s="4" t="s">
        <v>1196</v>
      </c>
      <c r="AB1031" s="4" t="s">
        <v>4289</v>
      </c>
    </row>
    <row r="1032" spans="1:28">
      <c r="A1032" s="4">
        <v>1031</v>
      </c>
      <c r="B1032" s="5">
        <v>11833912</v>
      </c>
      <c r="C1032" s="5">
        <v>206129597</v>
      </c>
      <c r="D1032" s="115" t="s">
        <v>2945</v>
      </c>
      <c r="E1032" s="4" t="s">
        <v>2946</v>
      </c>
      <c r="F1032" s="7" t="s">
        <v>74</v>
      </c>
      <c r="G1032" s="7" t="s">
        <v>90</v>
      </c>
      <c r="H1032" s="7" t="s">
        <v>87</v>
      </c>
      <c r="I1032" s="6" t="s">
        <v>1788</v>
      </c>
      <c r="J1032" s="7" t="s">
        <v>5</v>
      </c>
      <c r="K1032" s="4" t="s">
        <v>10</v>
      </c>
      <c r="L1032" s="4" t="s">
        <v>24</v>
      </c>
      <c r="M1032" s="4" t="s">
        <v>3321</v>
      </c>
      <c r="N1032" s="4"/>
      <c r="O1032" s="89"/>
      <c r="P1032" s="25">
        <v>45929</v>
      </c>
      <c r="Q1032" s="7" t="s">
        <v>1112</v>
      </c>
      <c r="R1032" s="90" t="s">
        <v>3253</v>
      </c>
      <c r="S1032" s="6" t="s">
        <v>1795</v>
      </c>
      <c r="T1032" s="4" t="s">
        <v>81</v>
      </c>
      <c r="U1032" s="4" t="s">
        <v>3263</v>
      </c>
      <c r="V1032" s="4">
        <v>99</v>
      </c>
      <c r="W1032" s="85"/>
      <c r="X1032" s="4"/>
      <c r="Y1032" s="4"/>
      <c r="Z1032" s="4"/>
      <c r="AA1032" s="4" t="s">
        <v>1198</v>
      </c>
      <c r="AB1032" s="4" t="s">
        <v>4289</v>
      </c>
    </row>
    <row r="1033" spans="1:28">
      <c r="A1033" s="4">
        <v>1032</v>
      </c>
      <c r="B1033" s="5">
        <v>12446320</v>
      </c>
      <c r="C1033" s="5">
        <v>203522194</v>
      </c>
      <c r="D1033" s="115" t="s">
        <v>426</v>
      </c>
      <c r="E1033" s="4" t="s">
        <v>427</v>
      </c>
      <c r="F1033" s="7" t="s">
        <v>82</v>
      </c>
      <c r="G1033" s="7" t="s">
        <v>89</v>
      </c>
      <c r="H1033" s="7" t="s">
        <v>90</v>
      </c>
      <c r="I1033" s="6" t="s">
        <v>1790</v>
      </c>
      <c r="J1033" s="7" t="s">
        <v>5</v>
      </c>
      <c r="K1033" s="4" t="s">
        <v>10</v>
      </c>
      <c r="L1033" s="4" t="s">
        <v>20</v>
      </c>
      <c r="M1033" s="4" t="s">
        <v>3321</v>
      </c>
      <c r="N1033" s="4" t="s">
        <v>2584</v>
      </c>
      <c r="O1033" s="89"/>
      <c r="P1033" s="25">
        <v>45463</v>
      </c>
      <c r="Q1033" s="7" t="s">
        <v>351</v>
      </c>
      <c r="R1033" s="90" t="s">
        <v>3258</v>
      </c>
      <c r="S1033" s="6" t="s">
        <v>1795</v>
      </c>
      <c r="T1033" s="4" t="s">
        <v>92</v>
      </c>
      <c r="U1033" s="4" t="s">
        <v>103</v>
      </c>
      <c r="V1033" s="4">
        <v>99</v>
      </c>
      <c r="W1033" s="85">
        <v>46193</v>
      </c>
      <c r="X1033" s="4" t="s">
        <v>3690</v>
      </c>
      <c r="Y1033" s="4">
        <v>589694816</v>
      </c>
      <c r="Z1033" s="4" t="s">
        <v>2161</v>
      </c>
      <c r="AA1033" s="4" t="s">
        <v>1203</v>
      </c>
      <c r="AB1033" s="4" t="s">
        <v>4289</v>
      </c>
    </row>
    <row r="1034" spans="1:28">
      <c r="A1034" s="4">
        <v>1033</v>
      </c>
      <c r="B1034" s="5">
        <v>336969</v>
      </c>
      <c r="C1034" s="5">
        <v>204138127</v>
      </c>
      <c r="D1034" s="115" t="s">
        <v>1590</v>
      </c>
      <c r="E1034" s="4" t="s">
        <v>1558</v>
      </c>
      <c r="F1034" s="7" t="s">
        <v>74</v>
      </c>
      <c r="G1034" s="7" t="s">
        <v>89</v>
      </c>
      <c r="H1034" s="7" t="s">
        <v>90</v>
      </c>
      <c r="I1034" s="6" t="s">
        <v>1790</v>
      </c>
      <c r="J1034" s="7" t="s">
        <v>5</v>
      </c>
      <c r="K1034" s="4" t="s">
        <v>10</v>
      </c>
      <c r="L1034" s="4" t="s">
        <v>27</v>
      </c>
      <c r="M1034" s="4" t="s">
        <v>393</v>
      </c>
      <c r="N1034" s="4" t="s">
        <v>2584</v>
      </c>
      <c r="O1034" s="89"/>
      <c r="P1034" s="25">
        <v>45565</v>
      </c>
      <c r="Q1034" s="7" t="s">
        <v>351</v>
      </c>
      <c r="R1034" s="90" t="s">
        <v>3254</v>
      </c>
      <c r="S1034" s="6" t="s">
        <v>1795</v>
      </c>
      <c r="T1034" s="4" t="s">
        <v>92</v>
      </c>
      <c r="U1034" s="4" t="s">
        <v>112</v>
      </c>
      <c r="V1034" s="4">
        <v>99</v>
      </c>
      <c r="W1034" s="85">
        <v>46295</v>
      </c>
      <c r="X1034" s="4" t="s">
        <v>3739</v>
      </c>
      <c r="Y1034" s="4">
        <v>507913661</v>
      </c>
      <c r="Z1034" s="4" t="s">
        <v>1574</v>
      </c>
      <c r="AA1034" s="4" t="s">
        <v>85</v>
      </c>
      <c r="AB1034" s="4" t="s">
        <v>4289</v>
      </c>
    </row>
    <row r="1035" spans="1:28">
      <c r="A1035" s="4">
        <v>1034</v>
      </c>
      <c r="B1035" s="5">
        <v>11854553</v>
      </c>
      <c r="C1035" s="5">
        <v>205996131</v>
      </c>
      <c r="D1035" s="115" t="s">
        <v>2868</v>
      </c>
      <c r="E1035" s="4" t="s">
        <v>2869</v>
      </c>
      <c r="F1035" s="7" t="s">
        <v>82</v>
      </c>
      <c r="G1035" s="7" t="s">
        <v>94</v>
      </c>
      <c r="H1035" s="7" t="s">
        <v>89</v>
      </c>
      <c r="I1035" s="7" t="s">
        <v>1788</v>
      </c>
      <c r="J1035" s="7" t="s">
        <v>5</v>
      </c>
      <c r="K1035" s="4" t="s">
        <v>10</v>
      </c>
      <c r="L1035" s="4" t="s">
        <v>24</v>
      </c>
      <c r="M1035" s="4" t="s">
        <v>374</v>
      </c>
      <c r="N1035" s="4"/>
      <c r="O1035" s="89"/>
      <c r="P1035" s="25">
        <v>45915</v>
      </c>
      <c r="Q1035" s="7" t="s">
        <v>1112</v>
      </c>
      <c r="R1035" s="4" t="s">
        <v>3262</v>
      </c>
      <c r="S1035" s="6" t="s">
        <v>1795</v>
      </c>
      <c r="T1035" s="4" t="s">
        <v>81</v>
      </c>
      <c r="U1035" s="4" t="s">
        <v>349</v>
      </c>
      <c r="V1035" s="4">
        <v>99</v>
      </c>
      <c r="W1035" s="85"/>
      <c r="X1035" s="4"/>
      <c r="Y1035" s="4"/>
      <c r="Z1035" s="4"/>
      <c r="AA1035" s="4" t="s">
        <v>85</v>
      </c>
      <c r="AB1035" s="4" t="s">
        <v>4289</v>
      </c>
    </row>
    <row r="1036" spans="1:28">
      <c r="A1036" s="4">
        <v>1035</v>
      </c>
      <c r="B1036" s="5">
        <v>12479145</v>
      </c>
      <c r="C1036" s="5">
        <v>206072874</v>
      </c>
      <c r="D1036" s="115" t="s">
        <v>2947</v>
      </c>
      <c r="E1036" s="4" t="s">
        <v>2948</v>
      </c>
      <c r="F1036" s="7" t="s">
        <v>74</v>
      </c>
      <c r="G1036" s="7" t="s">
        <v>89</v>
      </c>
      <c r="H1036" s="7" t="s">
        <v>90</v>
      </c>
      <c r="I1036" s="6" t="s">
        <v>1788</v>
      </c>
      <c r="J1036" s="7" t="s">
        <v>5</v>
      </c>
      <c r="K1036" s="4" t="s">
        <v>10</v>
      </c>
      <c r="L1036" s="4" t="s">
        <v>24</v>
      </c>
      <c r="M1036" s="4" t="s">
        <v>3321</v>
      </c>
      <c r="N1036" s="4"/>
      <c r="O1036" s="89"/>
      <c r="P1036" s="25">
        <v>45929</v>
      </c>
      <c r="Q1036" s="7" t="s">
        <v>1112</v>
      </c>
      <c r="R1036" s="4" t="s">
        <v>3260</v>
      </c>
      <c r="S1036" s="6" t="s">
        <v>1795</v>
      </c>
      <c r="T1036" s="4" t="s">
        <v>81</v>
      </c>
      <c r="U1036" s="4" t="s">
        <v>349</v>
      </c>
      <c r="V1036" s="4">
        <v>99</v>
      </c>
      <c r="W1036" s="85"/>
      <c r="X1036" s="4"/>
      <c r="Y1036" s="4"/>
      <c r="Z1036" s="4"/>
      <c r="AA1036" s="4" t="s">
        <v>85</v>
      </c>
      <c r="AB1036" s="4" t="s">
        <v>4289</v>
      </c>
    </row>
    <row r="1037" spans="1:28">
      <c r="A1037" s="4">
        <v>1036</v>
      </c>
      <c r="B1037" s="5">
        <v>12991613</v>
      </c>
      <c r="C1037" s="5">
        <v>203964991</v>
      </c>
      <c r="D1037" s="115" t="s">
        <v>1291</v>
      </c>
      <c r="E1037" s="4" t="s">
        <v>1292</v>
      </c>
      <c r="F1037" s="7" t="s">
        <v>82</v>
      </c>
      <c r="G1037" s="7" t="s">
        <v>87</v>
      </c>
      <c r="H1037" s="7" t="s">
        <v>75</v>
      </c>
      <c r="I1037" s="6" t="s">
        <v>1790</v>
      </c>
      <c r="J1037" s="7" t="s">
        <v>5</v>
      </c>
      <c r="K1037" s="4" t="s">
        <v>10</v>
      </c>
      <c r="L1037" s="4" t="s">
        <v>20</v>
      </c>
      <c r="M1037" s="4" t="s">
        <v>3321</v>
      </c>
      <c r="N1037" s="4" t="s">
        <v>2584</v>
      </c>
      <c r="O1037" s="89"/>
      <c r="P1037" s="25">
        <v>45544</v>
      </c>
      <c r="Q1037" s="7" t="s">
        <v>1112</v>
      </c>
      <c r="R1037" s="90" t="s">
        <v>2586</v>
      </c>
      <c r="S1037" s="6" t="s">
        <v>1795</v>
      </c>
      <c r="T1037" s="4" t="s">
        <v>81</v>
      </c>
      <c r="U1037" s="4" t="s">
        <v>349</v>
      </c>
      <c r="V1037" s="4">
        <v>99</v>
      </c>
      <c r="W1037" s="85">
        <v>46274</v>
      </c>
      <c r="X1037" s="4" t="s">
        <v>1215</v>
      </c>
      <c r="Y1037" s="4">
        <v>586810446</v>
      </c>
      <c r="Z1037" s="4" t="s">
        <v>2162</v>
      </c>
      <c r="AA1037" s="4" t="s">
        <v>1194</v>
      </c>
      <c r="AB1037" s="4" t="s">
        <v>4289</v>
      </c>
    </row>
    <row r="1038" spans="1:28">
      <c r="A1038" s="4">
        <v>1037</v>
      </c>
      <c r="B1038" s="5">
        <v>12422298</v>
      </c>
      <c r="C1038" s="5">
        <v>203468747</v>
      </c>
      <c r="D1038" s="115" t="s">
        <v>509</v>
      </c>
      <c r="E1038" s="4" t="s">
        <v>510</v>
      </c>
      <c r="F1038" s="7" t="s">
        <v>74</v>
      </c>
      <c r="G1038" s="7" t="s">
        <v>76</v>
      </c>
      <c r="H1038" s="7" t="s">
        <v>88</v>
      </c>
      <c r="I1038" s="6" t="s">
        <v>1788</v>
      </c>
      <c r="J1038" s="7" t="s">
        <v>5</v>
      </c>
      <c r="K1038" s="4" t="s">
        <v>10</v>
      </c>
      <c r="L1038" s="4" t="s">
        <v>24</v>
      </c>
      <c r="M1038" s="4" t="s">
        <v>4314</v>
      </c>
      <c r="N1038" s="4" t="s">
        <v>2584</v>
      </c>
      <c r="O1038" s="89"/>
      <c r="P1038" s="25">
        <v>45456</v>
      </c>
      <c r="Q1038" s="7" t="s">
        <v>351</v>
      </c>
      <c r="R1038" s="90" t="s">
        <v>3261</v>
      </c>
      <c r="S1038" s="6" t="s">
        <v>1795</v>
      </c>
      <c r="T1038" s="4" t="s">
        <v>92</v>
      </c>
      <c r="U1038" s="4" t="s">
        <v>103</v>
      </c>
      <c r="V1038" s="4">
        <v>99</v>
      </c>
      <c r="W1038" s="85">
        <v>45821</v>
      </c>
      <c r="X1038" s="4" t="s">
        <v>3690</v>
      </c>
      <c r="Y1038" s="4">
        <v>589221734</v>
      </c>
      <c r="Z1038" s="4" t="s">
        <v>2164</v>
      </c>
      <c r="AA1038" s="4" t="s">
        <v>85</v>
      </c>
      <c r="AB1038" s="4" t="s">
        <v>4289</v>
      </c>
    </row>
    <row r="1039" spans="1:28">
      <c r="A1039" s="4">
        <v>1038</v>
      </c>
      <c r="B1039" s="5">
        <v>12780448</v>
      </c>
      <c r="C1039" s="5">
        <v>203908339</v>
      </c>
      <c r="D1039" s="115" t="s">
        <v>1147</v>
      </c>
      <c r="E1039" s="4" t="s">
        <v>1148</v>
      </c>
      <c r="F1039" s="7" t="s">
        <v>74</v>
      </c>
      <c r="G1039" s="7" t="s">
        <v>89</v>
      </c>
      <c r="H1039" s="7" t="s">
        <v>90</v>
      </c>
      <c r="I1039" s="6" t="s">
        <v>1788</v>
      </c>
      <c r="J1039" s="7" t="s">
        <v>5</v>
      </c>
      <c r="K1039" s="4" t="s">
        <v>10</v>
      </c>
      <c r="L1039" s="4" t="s">
        <v>24</v>
      </c>
      <c r="M1039" s="4" t="s">
        <v>3321</v>
      </c>
      <c r="N1039" s="4" t="s">
        <v>2584</v>
      </c>
      <c r="O1039" s="89"/>
      <c r="P1039" s="25">
        <v>45537</v>
      </c>
      <c r="Q1039" s="7" t="s">
        <v>1112</v>
      </c>
      <c r="R1039" s="90" t="s">
        <v>3258</v>
      </c>
      <c r="S1039" s="6" t="s">
        <v>1795</v>
      </c>
      <c r="T1039" s="4" t="s">
        <v>81</v>
      </c>
      <c r="U1039" s="4" t="s">
        <v>112</v>
      </c>
      <c r="V1039" s="4">
        <v>99</v>
      </c>
      <c r="W1039" s="85">
        <v>45902</v>
      </c>
      <c r="X1039" s="4" t="s">
        <v>3690</v>
      </c>
      <c r="Y1039" s="4">
        <v>567306463</v>
      </c>
      <c r="Z1039" s="4" t="s">
        <v>2165</v>
      </c>
      <c r="AA1039" s="4" t="s">
        <v>1196</v>
      </c>
      <c r="AB1039" s="4" t="s">
        <v>4289</v>
      </c>
    </row>
    <row r="1040" spans="1:28">
      <c r="A1040" s="4">
        <v>1039</v>
      </c>
      <c r="B1040" s="5">
        <v>13803169</v>
      </c>
      <c r="C1040" s="5">
        <v>203850898</v>
      </c>
      <c r="D1040" s="115" t="s">
        <v>786</v>
      </c>
      <c r="E1040" s="4" t="s">
        <v>787</v>
      </c>
      <c r="F1040" s="7" t="s">
        <v>82</v>
      </c>
      <c r="G1040" s="7" t="s">
        <v>76</v>
      </c>
      <c r="H1040" s="7" t="s">
        <v>88</v>
      </c>
      <c r="I1040" s="6" t="s">
        <v>1790</v>
      </c>
      <c r="J1040" s="7" t="s">
        <v>5</v>
      </c>
      <c r="K1040" s="4" t="s">
        <v>10</v>
      </c>
      <c r="L1040" s="4" t="s">
        <v>22</v>
      </c>
      <c r="M1040" s="4" t="s">
        <v>374</v>
      </c>
      <c r="N1040" s="4" t="s">
        <v>2584</v>
      </c>
      <c r="O1040" s="89"/>
      <c r="P1040" s="25">
        <v>45524</v>
      </c>
      <c r="Q1040" s="7" t="s">
        <v>1112</v>
      </c>
      <c r="R1040" s="90" t="s">
        <v>3256</v>
      </c>
      <c r="S1040" s="6" t="s">
        <v>1795</v>
      </c>
      <c r="T1040" s="4" t="s">
        <v>81</v>
      </c>
      <c r="U1040" s="4" t="s">
        <v>107</v>
      </c>
      <c r="V1040" s="4">
        <v>99</v>
      </c>
      <c r="W1040" s="85">
        <v>45580</v>
      </c>
      <c r="X1040" s="4" t="s">
        <v>1216</v>
      </c>
      <c r="Y1040" s="4">
        <v>553403162</v>
      </c>
      <c r="Z1040" s="4" t="s">
        <v>2166</v>
      </c>
      <c r="AA1040" s="4" t="s">
        <v>95</v>
      </c>
      <c r="AB1040" s="4" t="s">
        <v>4289</v>
      </c>
    </row>
    <row r="1041" spans="1:28">
      <c r="A1041" s="4">
        <v>1040</v>
      </c>
      <c r="B1041" s="5">
        <v>15340830</v>
      </c>
      <c r="C1041" s="5">
        <v>204138128</v>
      </c>
      <c r="D1041" s="115" t="s">
        <v>1593</v>
      </c>
      <c r="E1041" s="4" t="s">
        <v>1561</v>
      </c>
      <c r="F1041" s="7" t="s">
        <v>82</v>
      </c>
      <c r="G1041" s="7" t="s">
        <v>88</v>
      </c>
      <c r="H1041" s="7" t="s">
        <v>94</v>
      </c>
      <c r="I1041" s="6" t="s">
        <v>1790</v>
      </c>
      <c r="J1041" s="7" t="s">
        <v>5</v>
      </c>
      <c r="K1041" s="4" t="s">
        <v>10</v>
      </c>
      <c r="L1041" s="4" t="s">
        <v>27</v>
      </c>
      <c r="M1041" s="4" t="s">
        <v>390</v>
      </c>
      <c r="N1041" s="4" t="s">
        <v>2584</v>
      </c>
      <c r="O1041" s="89"/>
      <c r="P1041" s="25">
        <v>45565</v>
      </c>
      <c r="Q1041" s="7" t="s">
        <v>351</v>
      </c>
      <c r="R1041" s="90" t="s">
        <v>3252</v>
      </c>
      <c r="S1041" s="6" t="s">
        <v>1795</v>
      </c>
      <c r="T1041" s="4" t="s">
        <v>81</v>
      </c>
      <c r="U1041" s="4" t="s">
        <v>349</v>
      </c>
      <c r="V1041" s="4">
        <v>99</v>
      </c>
      <c r="W1041" s="85">
        <v>46295</v>
      </c>
      <c r="X1041" s="4" t="s">
        <v>3690</v>
      </c>
      <c r="Y1041" s="4">
        <v>567200731</v>
      </c>
      <c r="Z1041" s="4" t="s">
        <v>1577</v>
      </c>
      <c r="AA1041" s="4" t="s">
        <v>1196</v>
      </c>
      <c r="AB1041" s="4" t="s">
        <v>4289</v>
      </c>
    </row>
    <row r="1042" spans="1:28">
      <c r="A1042" s="4">
        <v>1041</v>
      </c>
      <c r="B1042" s="5">
        <v>12727254</v>
      </c>
      <c r="C1042" s="5">
        <v>204094494</v>
      </c>
      <c r="D1042" s="115" t="s">
        <v>1511</v>
      </c>
      <c r="E1042" s="4" t="s">
        <v>1512</v>
      </c>
      <c r="F1042" s="7" t="s">
        <v>82</v>
      </c>
      <c r="G1042" s="7" t="s">
        <v>76</v>
      </c>
      <c r="H1042" s="7" t="s">
        <v>88</v>
      </c>
      <c r="I1042" s="6" t="s">
        <v>1790</v>
      </c>
      <c r="J1042" s="7" t="s">
        <v>5</v>
      </c>
      <c r="K1042" s="4" t="s">
        <v>10</v>
      </c>
      <c r="L1042" s="4" t="s">
        <v>27</v>
      </c>
      <c r="M1042" s="4" t="s">
        <v>390</v>
      </c>
      <c r="N1042" s="4" t="s">
        <v>2584</v>
      </c>
      <c r="O1042" s="89"/>
      <c r="P1042" s="25">
        <v>45561</v>
      </c>
      <c r="Q1042" s="7" t="s">
        <v>1113</v>
      </c>
      <c r="R1042" s="90" t="s">
        <v>3256</v>
      </c>
      <c r="S1042" s="6" t="s">
        <v>1795</v>
      </c>
      <c r="T1042" s="4" t="s">
        <v>81</v>
      </c>
      <c r="U1042" s="4" t="s">
        <v>112</v>
      </c>
      <c r="V1042" s="4">
        <v>99</v>
      </c>
      <c r="W1042" s="85">
        <v>46291</v>
      </c>
      <c r="X1042" s="4" t="s">
        <v>3694</v>
      </c>
      <c r="Y1042" s="4">
        <v>528106058</v>
      </c>
      <c r="Z1042" s="4" t="s">
        <v>2167</v>
      </c>
      <c r="AA1042" s="4" t="s">
        <v>85</v>
      </c>
      <c r="AB1042" s="4" t="s">
        <v>4289</v>
      </c>
    </row>
    <row r="1043" spans="1:28">
      <c r="A1043" s="4">
        <v>1042</v>
      </c>
      <c r="B1043" s="5">
        <v>12940485</v>
      </c>
      <c r="C1043" s="5">
        <v>203850925</v>
      </c>
      <c r="D1043" s="115" t="s">
        <v>788</v>
      </c>
      <c r="E1043" s="4" t="s">
        <v>789</v>
      </c>
      <c r="F1043" s="7" t="s">
        <v>74</v>
      </c>
      <c r="G1043" s="7" t="s">
        <v>76</v>
      </c>
      <c r="H1043" s="7" t="s">
        <v>88</v>
      </c>
      <c r="I1043" s="6" t="s">
        <v>1790</v>
      </c>
      <c r="J1043" s="7" t="s">
        <v>5</v>
      </c>
      <c r="K1043" s="4" t="s">
        <v>10</v>
      </c>
      <c r="L1043" s="4" t="s">
        <v>22</v>
      </c>
      <c r="M1043" s="4" t="s">
        <v>3321</v>
      </c>
      <c r="N1043" s="4" t="s">
        <v>2584</v>
      </c>
      <c r="O1043" s="89"/>
      <c r="P1043" s="25">
        <v>45524</v>
      </c>
      <c r="Q1043" s="7" t="s">
        <v>1113</v>
      </c>
      <c r="R1043" s="90" t="s">
        <v>3258</v>
      </c>
      <c r="S1043" s="6" t="s">
        <v>1795</v>
      </c>
      <c r="T1043" s="4" t="s">
        <v>81</v>
      </c>
      <c r="U1043" s="4" t="s">
        <v>112</v>
      </c>
      <c r="V1043" s="4">
        <v>99</v>
      </c>
      <c r="W1043" s="85">
        <v>45580</v>
      </c>
      <c r="X1043" s="4" t="s">
        <v>1216</v>
      </c>
      <c r="Y1043" s="4">
        <v>501740841</v>
      </c>
      <c r="Z1043" s="4" t="s">
        <v>2168</v>
      </c>
      <c r="AA1043" s="4" t="s">
        <v>95</v>
      </c>
      <c r="AB1043" s="4" t="s">
        <v>4289</v>
      </c>
    </row>
    <row r="1044" spans="1:28">
      <c r="A1044" s="4">
        <v>1043</v>
      </c>
      <c r="B1044" s="5">
        <v>12883623</v>
      </c>
      <c r="C1044" s="5">
        <v>203965457</v>
      </c>
      <c r="D1044" s="115" t="s">
        <v>1313</v>
      </c>
      <c r="E1044" s="4" t="s">
        <v>1314</v>
      </c>
      <c r="F1044" s="7" t="s">
        <v>82</v>
      </c>
      <c r="G1044" s="7" t="s">
        <v>76</v>
      </c>
      <c r="H1044" s="7" t="s">
        <v>88</v>
      </c>
      <c r="I1044" s="6" t="s">
        <v>1788</v>
      </c>
      <c r="J1044" s="7" t="s">
        <v>5</v>
      </c>
      <c r="K1044" s="4" t="s">
        <v>10</v>
      </c>
      <c r="L1044" s="4" t="s">
        <v>24</v>
      </c>
      <c r="M1044" s="4" t="s">
        <v>374</v>
      </c>
      <c r="N1044" s="4" t="s">
        <v>2584</v>
      </c>
      <c r="O1044" s="89"/>
      <c r="P1044" s="25">
        <v>45544</v>
      </c>
      <c r="Q1044" s="7" t="s">
        <v>1112</v>
      </c>
      <c r="R1044" s="90" t="s">
        <v>3260</v>
      </c>
      <c r="S1044" s="6" t="s">
        <v>1795</v>
      </c>
      <c r="T1044" s="4" t="s">
        <v>81</v>
      </c>
      <c r="U1044" s="4" t="s">
        <v>349</v>
      </c>
      <c r="V1044" s="4">
        <v>99</v>
      </c>
      <c r="W1044" s="85">
        <v>45909</v>
      </c>
      <c r="X1044" s="4" t="s">
        <v>3703</v>
      </c>
      <c r="Y1044" s="4">
        <v>542984097</v>
      </c>
      <c r="Z1044" s="4" t="s">
        <v>2169</v>
      </c>
      <c r="AA1044" s="4" t="s">
        <v>85</v>
      </c>
      <c r="AB1044" s="4" t="s">
        <v>4289</v>
      </c>
    </row>
    <row r="1045" spans="1:28">
      <c r="A1045" s="4">
        <v>1044</v>
      </c>
      <c r="B1045" s="5">
        <v>15332126</v>
      </c>
      <c r="C1045" s="5">
        <v>204467948</v>
      </c>
      <c r="D1045" s="115" t="s">
        <v>1781</v>
      </c>
      <c r="E1045" s="4" t="s">
        <v>1782</v>
      </c>
      <c r="F1045" s="7" t="s">
        <v>74</v>
      </c>
      <c r="G1045" s="7" t="s">
        <v>87</v>
      </c>
      <c r="H1045" s="7" t="s">
        <v>75</v>
      </c>
      <c r="I1045" s="6" t="s">
        <v>1790</v>
      </c>
      <c r="J1045" s="7" t="s">
        <v>5</v>
      </c>
      <c r="K1045" s="4" t="s">
        <v>10</v>
      </c>
      <c r="L1045" s="4" t="s">
        <v>27</v>
      </c>
      <c r="M1045" s="4" t="s">
        <v>4314</v>
      </c>
      <c r="N1045" s="4" t="s">
        <v>2584</v>
      </c>
      <c r="O1045" s="89"/>
      <c r="P1045" s="25">
        <v>45603</v>
      </c>
      <c r="Q1045" s="7" t="s">
        <v>1112</v>
      </c>
      <c r="R1045" s="90" t="s">
        <v>3260</v>
      </c>
      <c r="S1045" s="6" t="s">
        <v>1795</v>
      </c>
      <c r="T1045" s="4" t="s">
        <v>81</v>
      </c>
      <c r="U1045" s="4" t="s">
        <v>107</v>
      </c>
      <c r="V1045" s="4">
        <v>99</v>
      </c>
      <c r="W1045" s="85">
        <v>46333</v>
      </c>
      <c r="X1045" s="4" t="s">
        <v>3694</v>
      </c>
      <c r="Y1045" s="4" t="s">
        <v>2170</v>
      </c>
      <c r="Z1045" s="4" t="s">
        <v>2171</v>
      </c>
      <c r="AA1045" s="4" t="s">
        <v>1203</v>
      </c>
      <c r="AB1045" s="4" t="s">
        <v>4289</v>
      </c>
    </row>
    <row r="1046" spans="1:28">
      <c r="A1046" s="4">
        <v>1045</v>
      </c>
      <c r="B1046" s="5">
        <v>13019596</v>
      </c>
      <c r="C1046" s="5">
        <v>201487409</v>
      </c>
      <c r="D1046" s="115" t="s">
        <v>1513</v>
      </c>
      <c r="E1046" s="4" t="s">
        <v>1514</v>
      </c>
      <c r="F1046" s="7" t="s">
        <v>82</v>
      </c>
      <c r="G1046" s="7" t="s">
        <v>76</v>
      </c>
      <c r="H1046" s="7" t="s">
        <v>88</v>
      </c>
      <c r="I1046" s="6" t="s">
        <v>1788</v>
      </c>
      <c r="J1046" s="7" t="s">
        <v>5</v>
      </c>
      <c r="K1046" s="4" t="s">
        <v>10</v>
      </c>
      <c r="L1046" s="4" t="s">
        <v>24</v>
      </c>
      <c r="M1046" s="4" t="s">
        <v>374</v>
      </c>
      <c r="N1046" s="4" t="s">
        <v>2584</v>
      </c>
      <c r="O1046" s="89"/>
      <c r="P1046" s="25">
        <v>45561</v>
      </c>
      <c r="Q1046" s="7" t="s">
        <v>1192</v>
      </c>
      <c r="R1046" s="90" t="s">
        <v>3258</v>
      </c>
      <c r="S1046" s="6" t="s">
        <v>1795</v>
      </c>
      <c r="T1046" s="4" t="s">
        <v>81</v>
      </c>
      <c r="U1046" s="4" t="s">
        <v>3263</v>
      </c>
      <c r="V1046" s="4">
        <v>99</v>
      </c>
      <c r="W1046" s="85">
        <v>46291</v>
      </c>
      <c r="X1046" s="4" t="s">
        <v>1197</v>
      </c>
      <c r="Y1046" s="4">
        <v>581445292</v>
      </c>
      <c r="Z1046" s="4" t="s">
        <v>2172</v>
      </c>
      <c r="AA1046" s="4" t="s">
        <v>85</v>
      </c>
      <c r="AB1046" s="4" t="s">
        <v>4289</v>
      </c>
    </row>
    <row r="1047" spans="1:28">
      <c r="A1047" s="4">
        <v>1046</v>
      </c>
      <c r="B1047" s="5">
        <v>12167508</v>
      </c>
      <c r="C1047" s="5">
        <v>204331928</v>
      </c>
      <c r="D1047" s="115" t="s">
        <v>1754</v>
      </c>
      <c r="E1047" s="4" t="s">
        <v>1713</v>
      </c>
      <c r="F1047" s="7" t="s">
        <v>82</v>
      </c>
      <c r="G1047" s="7" t="s">
        <v>75</v>
      </c>
      <c r="H1047" s="7" t="s">
        <v>76</v>
      </c>
      <c r="I1047" s="6" t="s">
        <v>1790</v>
      </c>
      <c r="J1047" s="7" t="s">
        <v>5</v>
      </c>
      <c r="K1047" s="4" t="s">
        <v>10</v>
      </c>
      <c r="L1047" s="4" t="s">
        <v>27</v>
      </c>
      <c r="M1047" s="4" t="s">
        <v>3321</v>
      </c>
      <c r="N1047" s="4" t="s">
        <v>2584</v>
      </c>
      <c r="O1047" s="89"/>
      <c r="P1047" s="25">
        <v>45589</v>
      </c>
      <c r="Q1047" s="7" t="s">
        <v>1112</v>
      </c>
      <c r="R1047" s="90" t="s">
        <v>3261</v>
      </c>
      <c r="S1047" s="6" t="s">
        <v>1795</v>
      </c>
      <c r="T1047" s="4" t="s">
        <v>81</v>
      </c>
      <c r="U1047" s="4" t="s">
        <v>3259</v>
      </c>
      <c r="V1047" s="4">
        <v>99</v>
      </c>
      <c r="W1047" s="85">
        <v>45645</v>
      </c>
      <c r="X1047" s="4" t="s">
        <v>3690</v>
      </c>
      <c r="Y1047" s="4">
        <v>528374736</v>
      </c>
      <c r="Z1047" s="4" t="s">
        <v>2173</v>
      </c>
      <c r="AA1047" s="4" t="s">
        <v>85</v>
      </c>
      <c r="AB1047" s="4" t="s">
        <v>4289</v>
      </c>
    </row>
    <row r="1048" spans="1:28">
      <c r="A1048" s="4">
        <v>1047</v>
      </c>
      <c r="B1048" s="5">
        <v>15065586</v>
      </c>
      <c r="C1048" s="5">
        <v>203341964</v>
      </c>
      <c r="D1048" s="115" t="s">
        <v>409</v>
      </c>
      <c r="E1048" s="4" t="s">
        <v>410</v>
      </c>
      <c r="F1048" s="7" t="s">
        <v>82</v>
      </c>
      <c r="G1048" s="7" t="s">
        <v>88</v>
      </c>
      <c r="H1048" s="7" t="s">
        <v>94</v>
      </c>
      <c r="I1048" s="6" t="s">
        <v>1790</v>
      </c>
      <c r="J1048" s="7" t="s">
        <v>5</v>
      </c>
      <c r="K1048" s="4" t="s">
        <v>10</v>
      </c>
      <c r="L1048" s="4" t="s">
        <v>20</v>
      </c>
      <c r="M1048" s="4" t="s">
        <v>4314</v>
      </c>
      <c r="N1048" s="4" t="s">
        <v>2584</v>
      </c>
      <c r="O1048" s="89"/>
      <c r="P1048" s="25">
        <v>45432</v>
      </c>
      <c r="Q1048" s="7" t="s">
        <v>1112</v>
      </c>
      <c r="R1048" s="90" t="s">
        <v>3256</v>
      </c>
      <c r="S1048" s="6" t="s">
        <v>1795</v>
      </c>
      <c r="T1048" s="4" t="s">
        <v>92</v>
      </c>
      <c r="U1048" s="4" t="s">
        <v>349</v>
      </c>
      <c r="V1048" s="4">
        <v>99</v>
      </c>
      <c r="W1048" s="85">
        <v>46162</v>
      </c>
      <c r="X1048" s="4" t="s">
        <v>3688</v>
      </c>
      <c r="Y1048" s="4">
        <v>529579049</v>
      </c>
      <c r="Z1048" s="4" t="s">
        <v>2174</v>
      </c>
      <c r="AA1048" s="4" t="s">
        <v>85</v>
      </c>
      <c r="AB1048" s="4" t="s">
        <v>4289</v>
      </c>
    </row>
    <row r="1049" spans="1:28">
      <c r="A1049" s="4">
        <v>1048</v>
      </c>
      <c r="B1049" s="5">
        <v>13373458</v>
      </c>
      <c r="C1049" s="5">
        <v>203011024</v>
      </c>
      <c r="D1049" s="115" t="s">
        <v>1779</v>
      </c>
      <c r="E1049" s="4" t="s">
        <v>1780</v>
      </c>
      <c r="F1049" s="7" t="s">
        <v>82</v>
      </c>
      <c r="G1049" s="7" t="s">
        <v>76</v>
      </c>
      <c r="H1049" s="7" t="s">
        <v>88</v>
      </c>
      <c r="I1049" s="6" t="s">
        <v>1788</v>
      </c>
      <c r="J1049" s="7" t="s">
        <v>5</v>
      </c>
      <c r="K1049" s="4" t="s">
        <v>10</v>
      </c>
      <c r="L1049" s="4" t="s">
        <v>24</v>
      </c>
      <c r="M1049" s="4" t="s">
        <v>390</v>
      </c>
      <c r="N1049" s="4" t="s">
        <v>2584</v>
      </c>
      <c r="O1049" s="89"/>
      <c r="P1049" s="25">
        <v>45603</v>
      </c>
      <c r="Q1049" s="7" t="s">
        <v>1112</v>
      </c>
      <c r="R1049" s="90" t="s">
        <v>3262</v>
      </c>
      <c r="S1049" s="6" t="s">
        <v>1795</v>
      </c>
      <c r="T1049" s="4" t="s">
        <v>92</v>
      </c>
      <c r="U1049" s="4" t="s">
        <v>132</v>
      </c>
      <c r="V1049" s="4">
        <v>99</v>
      </c>
      <c r="W1049" s="85">
        <v>45968</v>
      </c>
      <c r="X1049" s="4" t="s">
        <v>3474</v>
      </c>
      <c r="Y1049" s="4">
        <v>528248074</v>
      </c>
      <c r="Z1049" s="4" t="s">
        <v>2175</v>
      </c>
      <c r="AA1049" s="4" t="s">
        <v>2275</v>
      </c>
      <c r="AB1049" s="4" t="s">
        <v>4289</v>
      </c>
    </row>
    <row r="1050" spans="1:28">
      <c r="A1050" s="4">
        <v>1049</v>
      </c>
      <c r="B1050" s="5">
        <v>12947238</v>
      </c>
      <c r="C1050" s="5">
        <v>204172230</v>
      </c>
      <c r="D1050" s="115" t="s">
        <v>1606</v>
      </c>
      <c r="E1050" s="4" t="s">
        <v>1607</v>
      </c>
      <c r="F1050" s="7" t="s">
        <v>74</v>
      </c>
      <c r="G1050" s="7" t="s">
        <v>94</v>
      </c>
      <c r="H1050" s="7" t="s">
        <v>89</v>
      </c>
      <c r="I1050" s="7" t="s">
        <v>1789</v>
      </c>
      <c r="J1050" s="7" t="s">
        <v>5</v>
      </c>
      <c r="K1050" s="4" t="s">
        <v>10</v>
      </c>
      <c r="L1050" s="4" t="s">
        <v>22</v>
      </c>
      <c r="M1050" s="4" t="s">
        <v>4314</v>
      </c>
      <c r="N1050" s="4" t="s">
        <v>2584</v>
      </c>
      <c r="O1050" s="89"/>
      <c r="P1050" s="25">
        <v>45568</v>
      </c>
      <c r="Q1050" s="7" t="s">
        <v>1113</v>
      </c>
      <c r="R1050" s="90" t="s">
        <v>3260</v>
      </c>
      <c r="S1050" s="6" t="s">
        <v>1795</v>
      </c>
      <c r="T1050" s="4" t="s">
        <v>81</v>
      </c>
      <c r="U1050" s="4" t="s">
        <v>349</v>
      </c>
      <c r="V1050" s="4">
        <v>99</v>
      </c>
      <c r="W1050" s="85">
        <v>45624</v>
      </c>
      <c r="X1050" s="4" t="s">
        <v>1216</v>
      </c>
      <c r="Y1050" s="4">
        <v>554979563</v>
      </c>
      <c r="Z1050" s="4" t="s">
        <v>1615</v>
      </c>
      <c r="AA1050" s="4" t="s">
        <v>95</v>
      </c>
      <c r="AB1050" s="4" t="s">
        <v>4289</v>
      </c>
    </row>
    <row r="1051" spans="1:28">
      <c r="A1051" s="4">
        <v>1050</v>
      </c>
      <c r="B1051" s="5">
        <v>14082206</v>
      </c>
      <c r="C1051" s="5">
        <v>205845560</v>
      </c>
      <c r="D1051" s="115" t="s">
        <v>2648</v>
      </c>
      <c r="E1051" s="4" t="s">
        <v>2649</v>
      </c>
      <c r="F1051" s="7" t="s">
        <v>74</v>
      </c>
      <c r="G1051" s="7" t="s">
        <v>88</v>
      </c>
      <c r="H1051" s="7" t="s">
        <v>94</v>
      </c>
      <c r="I1051" s="6" t="s">
        <v>1790</v>
      </c>
      <c r="J1051" s="7" t="s">
        <v>5</v>
      </c>
      <c r="K1051" s="4" t="s">
        <v>10</v>
      </c>
      <c r="L1051" s="4" t="s">
        <v>22</v>
      </c>
      <c r="M1051" s="4" t="s">
        <v>4361</v>
      </c>
      <c r="N1051" s="4"/>
      <c r="O1051" s="89"/>
      <c r="P1051" s="25">
        <v>45894</v>
      </c>
      <c r="Q1051" s="7" t="s">
        <v>1112</v>
      </c>
      <c r="R1051" s="4" t="s">
        <v>3258</v>
      </c>
      <c r="S1051" s="6" t="s">
        <v>1795</v>
      </c>
      <c r="T1051" s="4" t="s">
        <v>81</v>
      </c>
      <c r="U1051" s="4" t="s">
        <v>349</v>
      </c>
      <c r="V1051" s="4">
        <v>99</v>
      </c>
      <c r="W1051" s="85">
        <v>45949</v>
      </c>
      <c r="X1051" s="4" t="s">
        <v>2758</v>
      </c>
      <c r="Y1051" s="4">
        <v>567435278</v>
      </c>
      <c r="Z1051" s="4" t="s">
        <v>2759</v>
      </c>
      <c r="AA1051" s="4" t="s">
        <v>95</v>
      </c>
      <c r="AB1051" s="4" t="s">
        <v>4289</v>
      </c>
    </row>
    <row r="1052" spans="1:28">
      <c r="A1052" s="4">
        <v>1051</v>
      </c>
      <c r="B1052" s="5">
        <v>14084951</v>
      </c>
      <c r="C1052" s="5">
        <v>203851002</v>
      </c>
      <c r="D1052" s="115" t="s">
        <v>798</v>
      </c>
      <c r="E1052" s="4" t="s">
        <v>799</v>
      </c>
      <c r="F1052" s="7" t="s">
        <v>82</v>
      </c>
      <c r="G1052" s="7" t="s">
        <v>90</v>
      </c>
      <c r="H1052" s="7" t="s">
        <v>87</v>
      </c>
      <c r="I1052" s="6" t="s">
        <v>1788</v>
      </c>
      <c r="J1052" s="7" t="s">
        <v>5</v>
      </c>
      <c r="K1052" s="4" t="s">
        <v>10</v>
      </c>
      <c r="L1052" s="4" t="s">
        <v>24</v>
      </c>
      <c r="M1052" s="4" t="s">
        <v>374</v>
      </c>
      <c r="N1052" s="4" t="s">
        <v>2583</v>
      </c>
      <c r="O1052" s="89"/>
      <c r="P1052" s="25">
        <v>45524</v>
      </c>
      <c r="Q1052" s="7" t="s">
        <v>1113</v>
      </c>
      <c r="R1052" s="90" t="s">
        <v>3255</v>
      </c>
      <c r="S1052" s="6" t="s">
        <v>1795</v>
      </c>
      <c r="T1052" s="4" t="s">
        <v>81</v>
      </c>
      <c r="U1052" s="4" t="s">
        <v>3263</v>
      </c>
      <c r="V1052" s="4">
        <v>99</v>
      </c>
      <c r="W1052" s="85">
        <v>45889</v>
      </c>
      <c r="X1052" s="4" t="s">
        <v>3474</v>
      </c>
      <c r="Y1052" s="4">
        <v>544983064</v>
      </c>
      <c r="Z1052" s="4" t="s">
        <v>2176</v>
      </c>
      <c r="AA1052" s="4" t="s">
        <v>1194</v>
      </c>
      <c r="AB1052" s="4" t="s">
        <v>4289</v>
      </c>
    </row>
    <row r="1053" spans="1:28">
      <c r="A1053" s="4">
        <v>1052</v>
      </c>
      <c r="B1053" s="5">
        <v>11451056</v>
      </c>
      <c r="C1053" s="5">
        <v>203850924</v>
      </c>
      <c r="D1053" s="115" t="s">
        <v>790</v>
      </c>
      <c r="E1053" s="4" t="s">
        <v>791</v>
      </c>
      <c r="F1053" s="7" t="s">
        <v>74</v>
      </c>
      <c r="G1053" s="7" t="s">
        <v>75</v>
      </c>
      <c r="H1053" s="7" t="s">
        <v>76</v>
      </c>
      <c r="I1053" s="6" t="s">
        <v>1790</v>
      </c>
      <c r="J1053" s="7" t="s">
        <v>5</v>
      </c>
      <c r="K1053" s="4" t="s">
        <v>10</v>
      </c>
      <c r="L1053" s="4" t="s">
        <v>22</v>
      </c>
      <c r="M1053" s="4" t="s">
        <v>3321</v>
      </c>
      <c r="N1053" s="4" t="s">
        <v>2584</v>
      </c>
      <c r="O1053" s="89"/>
      <c r="P1053" s="25">
        <v>45524</v>
      </c>
      <c r="Q1053" s="7" t="s">
        <v>1113</v>
      </c>
      <c r="R1053" s="90" t="s">
        <v>3264</v>
      </c>
      <c r="S1053" s="6" t="s">
        <v>1795</v>
      </c>
      <c r="T1053" s="4" t="s">
        <v>81</v>
      </c>
      <c r="U1053" s="4" t="s">
        <v>349</v>
      </c>
      <c r="V1053" s="4">
        <v>99</v>
      </c>
      <c r="W1053" s="85">
        <v>45580</v>
      </c>
      <c r="X1053" s="4" t="s">
        <v>1216</v>
      </c>
      <c r="Y1053" s="4">
        <v>552837742</v>
      </c>
      <c r="Z1053" s="4" t="s">
        <v>2177</v>
      </c>
      <c r="AA1053" s="4" t="s">
        <v>95</v>
      </c>
      <c r="AB1053" s="4" t="s">
        <v>4289</v>
      </c>
    </row>
    <row r="1054" spans="1:28">
      <c r="A1054" s="4">
        <v>1053</v>
      </c>
      <c r="B1054" s="5">
        <v>12744736</v>
      </c>
      <c r="C1054" s="5">
        <v>203850926</v>
      </c>
      <c r="D1054" s="115" t="s">
        <v>792</v>
      </c>
      <c r="E1054" s="4" t="s">
        <v>793</v>
      </c>
      <c r="F1054" s="7" t="s">
        <v>74</v>
      </c>
      <c r="G1054" s="7" t="s">
        <v>89</v>
      </c>
      <c r="H1054" s="7" t="s">
        <v>90</v>
      </c>
      <c r="I1054" s="6" t="s">
        <v>1790</v>
      </c>
      <c r="J1054" s="7" t="s">
        <v>5</v>
      </c>
      <c r="K1054" s="4" t="s">
        <v>10</v>
      </c>
      <c r="L1054" s="4" t="s">
        <v>22</v>
      </c>
      <c r="M1054" s="4" t="s">
        <v>374</v>
      </c>
      <c r="N1054" s="4" t="s">
        <v>2584</v>
      </c>
      <c r="O1054" s="89"/>
      <c r="P1054" s="25">
        <v>45524</v>
      </c>
      <c r="Q1054" s="7" t="s">
        <v>1113</v>
      </c>
      <c r="R1054" s="90" t="s">
        <v>3262</v>
      </c>
      <c r="S1054" s="6" t="s">
        <v>1795</v>
      </c>
      <c r="T1054" s="4" t="s">
        <v>81</v>
      </c>
      <c r="U1054" s="4" t="s">
        <v>349</v>
      </c>
      <c r="V1054" s="4">
        <v>99</v>
      </c>
      <c r="W1054" s="85">
        <v>45580</v>
      </c>
      <c r="X1054" s="4" t="s">
        <v>1216</v>
      </c>
      <c r="Y1054" s="4">
        <v>552801890</v>
      </c>
      <c r="Z1054" s="4" t="s">
        <v>2178</v>
      </c>
      <c r="AA1054" s="4" t="s">
        <v>95</v>
      </c>
      <c r="AB1054" s="4" t="s">
        <v>4289</v>
      </c>
    </row>
    <row r="1055" spans="1:28">
      <c r="A1055" s="4">
        <v>1054</v>
      </c>
      <c r="B1055" s="5">
        <v>345728</v>
      </c>
      <c r="C1055" s="5">
        <v>203850923</v>
      </c>
      <c r="D1055" s="115" t="s">
        <v>794</v>
      </c>
      <c r="E1055" s="4" t="s">
        <v>795</v>
      </c>
      <c r="F1055" s="7" t="s">
        <v>82</v>
      </c>
      <c r="G1055" s="7" t="s">
        <v>87</v>
      </c>
      <c r="H1055" s="7" t="s">
        <v>75</v>
      </c>
      <c r="I1055" s="6" t="s">
        <v>1790</v>
      </c>
      <c r="J1055" s="7" t="s">
        <v>5</v>
      </c>
      <c r="K1055" s="4" t="s">
        <v>10</v>
      </c>
      <c r="L1055" s="4" t="s">
        <v>22</v>
      </c>
      <c r="M1055" s="4" t="s">
        <v>374</v>
      </c>
      <c r="N1055" s="4" t="s">
        <v>2584</v>
      </c>
      <c r="O1055" s="89"/>
      <c r="P1055" s="25">
        <v>45524</v>
      </c>
      <c r="Q1055" s="7" t="s">
        <v>1113</v>
      </c>
      <c r="R1055" s="90" t="s">
        <v>3258</v>
      </c>
      <c r="S1055" s="6" t="s">
        <v>1795</v>
      </c>
      <c r="T1055" s="4" t="s">
        <v>81</v>
      </c>
      <c r="U1055" s="4" t="s">
        <v>107</v>
      </c>
      <c r="V1055" s="4">
        <v>99</v>
      </c>
      <c r="W1055" s="85">
        <v>45580</v>
      </c>
      <c r="X1055" s="4" t="s">
        <v>1216</v>
      </c>
      <c r="Y1055" s="4">
        <v>552584638</v>
      </c>
      <c r="Z1055" s="4" t="s">
        <v>2179</v>
      </c>
      <c r="AA1055" s="4" t="s">
        <v>95</v>
      </c>
      <c r="AB1055" s="4" t="s">
        <v>4289</v>
      </c>
    </row>
    <row r="1056" spans="1:28">
      <c r="A1056" s="4">
        <v>1055</v>
      </c>
      <c r="B1056" s="5">
        <v>15196953</v>
      </c>
      <c r="C1056" s="5">
        <v>206873790</v>
      </c>
      <c r="D1056" s="115" t="s">
        <v>3617</v>
      </c>
      <c r="E1056" s="4" t="s">
        <v>3638</v>
      </c>
      <c r="F1056" s="7" t="s">
        <v>82</v>
      </c>
      <c r="G1056" s="7" t="s">
        <v>75</v>
      </c>
      <c r="H1056" s="7" t="s">
        <v>76</v>
      </c>
      <c r="I1056" s="7" t="s">
        <v>1789</v>
      </c>
      <c r="J1056" s="6" t="s">
        <v>5</v>
      </c>
      <c r="K1056" s="6" t="s">
        <v>10</v>
      </c>
      <c r="L1056" s="4" t="s">
        <v>22</v>
      </c>
      <c r="M1056" s="4" t="s">
        <v>3321</v>
      </c>
      <c r="N1056" s="4" t="s">
        <v>2584</v>
      </c>
      <c r="O1056" s="89"/>
      <c r="P1056" s="25">
        <v>46030</v>
      </c>
      <c r="Q1056" s="7" t="s">
        <v>1112</v>
      </c>
      <c r="R1056" s="90" t="s">
        <v>3254</v>
      </c>
      <c r="S1056" s="6" t="s">
        <v>1795</v>
      </c>
      <c r="T1056" s="4" t="s">
        <v>81</v>
      </c>
      <c r="U1056" s="4"/>
      <c r="V1056" s="4">
        <v>99</v>
      </c>
      <c r="W1056" s="85">
        <v>46395</v>
      </c>
      <c r="X1056" s="4" t="s">
        <v>3290</v>
      </c>
      <c r="Y1056" s="4">
        <v>506529879</v>
      </c>
      <c r="Z1056" s="4" t="s">
        <v>3660</v>
      </c>
      <c r="AA1056" s="4" t="s">
        <v>3016</v>
      </c>
      <c r="AB1056" s="4" t="e">
        <v>#N/A</v>
      </c>
    </row>
    <row r="1057" spans="1:28" ht="14.5" customHeight="1">
      <c r="A1057" s="4">
        <v>1056</v>
      </c>
      <c r="B1057" s="5">
        <v>15009459</v>
      </c>
      <c r="C1057" s="5">
        <v>206015650</v>
      </c>
      <c r="D1057" s="115" t="s">
        <v>2870</v>
      </c>
      <c r="E1057" s="4" t="s">
        <v>2871</v>
      </c>
      <c r="F1057" s="7" t="s">
        <v>82</v>
      </c>
      <c r="G1057" s="7" t="s">
        <v>88</v>
      </c>
      <c r="H1057" s="7" t="s">
        <v>94</v>
      </c>
      <c r="I1057" s="7" t="s">
        <v>1788</v>
      </c>
      <c r="J1057" s="7" t="s">
        <v>5</v>
      </c>
      <c r="K1057" s="4" t="s">
        <v>10</v>
      </c>
      <c r="L1057" s="4" t="s">
        <v>24</v>
      </c>
      <c r="M1057" s="4" t="s">
        <v>390</v>
      </c>
      <c r="N1057" s="4"/>
      <c r="O1057" s="89"/>
      <c r="P1057" s="25">
        <v>45915</v>
      </c>
      <c r="Q1057" s="7" t="s">
        <v>1112</v>
      </c>
      <c r="R1057" s="90" t="s">
        <v>3254</v>
      </c>
      <c r="S1057" s="6" t="s">
        <v>1795</v>
      </c>
      <c r="T1057" s="4" t="s">
        <v>81</v>
      </c>
      <c r="U1057" s="4" t="s">
        <v>103</v>
      </c>
      <c r="V1057" s="4">
        <v>99</v>
      </c>
      <c r="W1057" s="85"/>
      <c r="X1057" s="4"/>
      <c r="Y1057" s="4"/>
      <c r="Z1057" s="4"/>
      <c r="AA1057" s="4" t="s">
        <v>95</v>
      </c>
      <c r="AB1057" s="4" t="s">
        <v>4289</v>
      </c>
    </row>
    <row r="1058" spans="1:28">
      <c r="A1058" s="4">
        <v>1057</v>
      </c>
      <c r="B1058" s="4">
        <v>77442</v>
      </c>
      <c r="C1058" s="5">
        <v>206192232</v>
      </c>
      <c r="D1058" s="115" t="s">
        <v>3027</v>
      </c>
      <c r="E1058" s="4" t="s">
        <v>4385</v>
      </c>
      <c r="F1058" s="7" t="s">
        <v>82</v>
      </c>
      <c r="G1058" s="7" t="s">
        <v>94</v>
      </c>
      <c r="H1058" s="7" t="s">
        <v>89</v>
      </c>
      <c r="I1058" s="4" t="s">
        <v>1789</v>
      </c>
      <c r="J1058" s="4" t="s">
        <v>5</v>
      </c>
      <c r="K1058" s="4" t="s">
        <v>10</v>
      </c>
      <c r="L1058" s="4" t="s">
        <v>23</v>
      </c>
      <c r="M1058" s="4" t="s">
        <v>4314</v>
      </c>
      <c r="N1058" s="4"/>
      <c r="O1058" s="4"/>
      <c r="P1058" s="25">
        <v>46238</v>
      </c>
      <c r="Q1058" s="4" t="s">
        <v>1113</v>
      </c>
      <c r="R1058" s="4"/>
      <c r="S1058" s="6" t="s">
        <v>1796</v>
      </c>
      <c r="T1058" s="4" t="s">
        <v>92</v>
      </c>
      <c r="U1058" s="4"/>
      <c r="V1058" s="4">
        <v>99</v>
      </c>
      <c r="W1058" s="4"/>
      <c r="X1058" s="4"/>
      <c r="Y1058" s="4"/>
      <c r="Z1058" s="4"/>
      <c r="AA1058" s="4"/>
      <c r="AB1058" s="4"/>
    </row>
    <row r="1059" spans="1:28">
      <c r="A1059" s="4">
        <v>1058</v>
      </c>
      <c r="B1059" s="5">
        <v>14256264</v>
      </c>
      <c r="C1059" s="5">
        <v>205854085</v>
      </c>
      <c r="D1059" s="115" t="s">
        <v>2724</v>
      </c>
      <c r="E1059" s="4" t="s">
        <v>2725</v>
      </c>
      <c r="F1059" s="7" t="s">
        <v>74</v>
      </c>
      <c r="G1059" s="7" t="s">
        <v>94</v>
      </c>
      <c r="H1059" s="7" t="s">
        <v>89</v>
      </c>
      <c r="I1059" s="7" t="s">
        <v>1789</v>
      </c>
      <c r="J1059" s="7" t="s">
        <v>5</v>
      </c>
      <c r="K1059" s="4" t="s">
        <v>10</v>
      </c>
      <c r="L1059" s="4" t="s">
        <v>23</v>
      </c>
      <c r="M1059" s="4" t="s">
        <v>393</v>
      </c>
      <c r="N1059" s="4"/>
      <c r="O1059" s="89"/>
      <c r="P1059" s="25">
        <v>45894</v>
      </c>
      <c r="Q1059" s="7" t="s">
        <v>1112</v>
      </c>
      <c r="R1059" s="90" t="s">
        <v>3264</v>
      </c>
      <c r="S1059" s="6" t="s">
        <v>1795</v>
      </c>
      <c r="T1059" s="4" t="s">
        <v>92</v>
      </c>
      <c r="U1059" s="4" t="s">
        <v>112</v>
      </c>
      <c r="V1059" s="4">
        <v>99</v>
      </c>
      <c r="W1059" s="85">
        <v>45949</v>
      </c>
      <c r="X1059" s="4" t="s">
        <v>3527</v>
      </c>
      <c r="Y1059" s="4">
        <v>543810620</v>
      </c>
      <c r="Z1059" s="4" t="s">
        <v>2783</v>
      </c>
      <c r="AA1059" s="4" t="s">
        <v>1204</v>
      </c>
      <c r="AB1059" s="4" t="s">
        <v>4289</v>
      </c>
    </row>
    <row r="1060" spans="1:28">
      <c r="A1060" s="4">
        <v>1059</v>
      </c>
      <c r="B1060" s="5">
        <v>13285958</v>
      </c>
      <c r="C1060" s="5">
        <v>205996136</v>
      </c>
      <c r="D1060" s="115" t="s">
        <v>2872</v>
      </c>
      <c r="E1060" s="4" t="s">
        <v>2873</v>
      </c>
      <c r="F1060" s="7" t="s">
        <v>74</v>
      </c>
      <c r="G1060" s="7" t="s">
        <v>94</v>
      </c>
      <c r="H1060" s="7" t="s">
        <v>89</v>
      </c>
      <c r="I1060" s="6" t="s">
        <v>1788</v>
      </c>
      <c r="J1060" s="7" t="s">
        <v>5</v>
      </c>
      <c r="K1060" s="4" t="s">
        <v>10</v>
      </c>
      <c r="L1060" s="4" t="s">
        <v>24</v>
      </c>
      <c r="M1060" s="103" t="s">
        <v>374</v>
      </c>
      <c r="N1060" s="4"/>
      <c r="O1060" s="89"/>
      <c r="P1060" s="25">
        <v>45915</v>
      </c>
      <c r="Q1060" s="7" t="s">
        <v>1112</v>
      </c>
      <c r="R1060" s="4" t="s">
        <v>3262</v>
      </c>
      <c r="S1060" s="104" t="s">
        <v>1795</v>
      </c>
      <c r="T1060" s="4" t="s">
        <v>92</v>
      </c>
      <c r="U1060" s="4" t="s">
        <v>349</v>
      </c>
      <c r="V1060" s="4">
        <v>99</v>
      </c>
      <c r="W1060" s="85"/>
      <c r="X1060" s="4"/>
      <c r="Y1060" s="4"/>
      <c r="Z1060" s="4"/>
      <c r="AA1060" s="4" t="s">
        <v>1198</v>
      </c>
      <c r="AB1060" s="4" t="s">
        <v>4289</v>
      </c>
    </row>
    <row r="1061" spans="1:28">
      <c r="A1061" s="4">
        <v>1060</v>
      </c>
      <c r="B1061" s="106">
        <v>14338837</v>
      </c>
      <c r="C1061" s="5">
        <v>206491329</v>
      </c>
      <c r="D1061" s="115" t="s">
        <v>4177</v>
      </c>
      <c r="E1061" s="4" t="s">
        <v>4178</v>
      </c>
      <c r="F1061" s="7" t="s">
        <v>74</v>
      </c>
      <c r="G1061" s="7" t="s">
        <v>90</v>
      </c>
      <c r="H1061" s="7" t="s">
        <v>87</v>
      </c>
      <c r="I1061" s="7" t="s">
        <v>1789</v>
      </c>
      <c r="J1061" s="7" t="s">
        <v>5</v>
      </c>
      <c r="K1061" s="7" t="s">
        <v>10</v>
      </c>
      <c r="L1061" s="7" t="s">
        <v>23</v>
      </c>
      <c r="M1061" s="119" t="s">
        <v>374</v>
      </c>
      <c r="N1061" s="4" t="s">
        <v>2584</v>
      </c>
      <c r="O1061" s="89"/>
      <c r="P1061" s="25">
        <v>46048</v>
      </c>
      <c r="Q1061" s="7" t="s">
        <v>1112</v>
      </c>
      <c r="R1061" s="4" t="s">
        <v>3264</v>
      </c>
      <c r="S1061" s="110" t="s">
        <v>1795</v>
      </c>
      <c r="T1061" s="7" t="s">
        <v>92</v>
      </c>
      <c r="U1061" s="4"/>
      <c r="V1061" s="4">
        <v>99</v>
      </c>
      <c r="W1061" s="85">
        <v>46104</v>
      </c>
      <c r="X1061" s="4"/>
      <c r="Y1061" s="4"/>
      <c r="Z1061" s="4"/>
      <c r="AA1061" s="4"/>
      <c r="AB1061" s="4" t="e">
        <v>#N/A</v>
      </c>
    </row>
    <row r="1062" spans="1:28">
      <c r="A1062" s="4">
        <v>1061</v>
      </c>
      <c r="B1062" s="5">
        <v>12442824</v>
      </c>
      <c r="C1062" s="5">
        <v>204052506</v>
      </c>
      <c r="D1062" s="115" t="s">
        <v>1515</v>
      </c>
      <c r="E1062" s="4" t="s">
        <v>1516</v>
      </c>
      <c r="F1062" s="7" t="s">
        <v>82</v>
      </c>
      <c r="G1062" s="7" t="s">
        <v>76</v>
      </c>
      <c r="H1062" s="7" t="s">
        <v>88</v>
      </c>
      <c r="I1062" s="6" t="s">
        <v>1790</v>
      </c>
      <c r="J1062" s="7" t="s">
        <v>5</v>
      </c>
      <c r="K1062" s="4" t="s">
        <v>10</v>
      </c>
      <c r="L1062" s="4" t="s">
        <v>20</v>
      </c>
      <c r="M1062" s="4" t="s">
        <v>374</v>
      </c>
      <c r="N1062" s="4" t="s">
        <v>2584</v>
      </c>
      <c r="O1062" s="89"/>
      <c r="P1062" s="25">
        <v>45561</v>
      </c>
      <c r="Q1062" s="7" t="s">
        <v>1112</v>
      </c>
      <c r="R1062" s="90" t="s">
        <v>3264</v>
      </c>
      <c r="S1062" s="104" t="s">
        <v>1795</v>
      </c>
      <c r="T1062" s="4" t="s">
        <v>81</v>
      </c>
      <c r="U1062" s="4" t="s">
        <v>3263</v>
      </c>
      <c r="V1062" s="4">
        <v>99</v>
      </c>
      <c r="W1062" s="85">
        <v>46291</v>
      </c>
      <c r="X1062" s="4" t="s">
        <v>2356</v>
      </c>
      <c r="Y1062" s="4">
        <v>564387664</v>
      </c>
      <c r="Z1062" s="4" t="s">
        <v>2180</v>
      </c>
      <c r="AA1062" s="4" t="s">
        <v>1194</v>
      </c>
      <c r="AB1062" s="4" t="s">
        <v>4290</v>
      </c>
    </row>
    <row r="1063" spans="1:28">
      <c r="A1063" s="4">
        <v>1062</v>
      </c>
      <c r="B1063" s="5">
        <v>13097458</v>
      </c>
      <c r="C1063" s="5">
        <v>204094496</v>
      </c>
      <c r="D1063" s="115" t="s">
        <v>1517</v>
      </c>
      <c r="E1063" s="4" t="s">
        <v>1518</v>
      </c>
      <c r="F1063" s="7" t="s">
        <v>82</v>
      </c>
      <c r="G1063" s="7" t="s">
        <v>90</v>
      </c>
      <c r="H1063" s="7" t="s">
        <v>87</v>
      </c>
      <c r="I1063" s="6" t="s">
        <v>1790</v>
      </c>
      <c r="J1063" s="7" t="s">
        <v>5</v>
      </c>
      <c r="K1063" s="4" t="s">
        <v>10</v>
      </c>
      <c r="L1063" s="4" t="s">
        <v>27</v>
      </c>
      <c r="M1063" s="103" t="s">
        <v>3321</v>
      </c>
      <c r="N1063" s="4" t="s">
        <v>2584</v>
      </c>
      <c r="O1063" s="89"/>
      <c r="P1063" s="25">
        <v>45561</v>
      </c>
      <c r="Q1063" s="7" t="s">
        <v>1112</v>
      </c>
      <c r="R1063" s="90" t="s">
        <v>3264</v>
      </c>
      <c r="S1063" s="104" t="s">
        <v>1795</v>
      </c>
      <c r="T1063" s="4" t="s">
        <v>92</v>
      </c>
      <c r="U1063" s="4" t="s">
        <v>132</v>
      </c>
      <c r="V1063" s="4">
        <v>99</v>
      </c>
      <c r="W1063" s="85">
        <v>46291</v>
      </c>
      <c r="X1063" s="4" t="s">
        <v>3690</v>
      </c>
      <c r="Y1063" s="4">
        <v>527864821</v>
      </c>
      <c r="Z1063" s="4" t="s">
        <v>2181</v>
      </c>
      <c r="AA1063" s="4" t="s">
        <v>1198</v>
      </c>
      <c r="AB1063" s="4" t="s">
        <v>4289</v>
      </c>
    </row>
    <row r="1064" spans="1:28">
      <c r="A1064" s="4">
        <v>1063</v>
      </c>
      <c r="B1064" s="106">
        <v>15181803</v>
      </c>
      <c r="C1064" s="5">
        <v>205252750</v>
      </c>
      <c r="D1064" s="115" t="s">
        <v>4171</v>
      </c>
      <c r="E1064" s="4" t="s">
        <v>4172</v>
      </c>
      <c r="F1064" s="7" t="s">
        <v>74</v>
      </c>
      <c r="G1064" s="7" t="s">
        <v>90</v>
      </c>
      <c r="H1064" s="7" t="s">
        <v>87</v>
      </c>
      <c r="I1064" s="7" t="s">
        <v>1788</v>
      </c>
      <c r="J1064" s="7" t="s">
        <v>5</v>
      </c>
      <c r="K1064" s="7" t="s">
        <v>10</v>
      </c>
      <c r="L1064" s="7" t="s">
        <v>23</v>
      </c>
      <c r="M1064" s="119" t="s">
        <v>4314</v>
      </c>
      <c r="N1064" s="4" t="s">
        <v>2584</v>
      </c>
      <c r="O1064" s="89"/>
      <c r="P1064" s="25">
        <v>46048</v>
      </c>
      <c r="Q1064" s="7" t="s">
        <v>1112</v>
      </c>
      <c r="R1064" s="90" t="s">
        <v>2586</v>
      </c>
      <c r="S1064" s="110" t="s">
        <v>1795</v>
      </c>
      <c r="T1064" s="7" t="s">
        <v>92</v>
      </c>
      <c r="U1064" s="4"/>
      <c r="V1064" s="4">
        <v>99</v>
      </c>
      <c r="W1064" s="85">
        <v>46104</v>
      </c>
      <c r="X1064" s="4"/>
      <c r="Y1064" s="4"/>
      <c r="Z1064" s="4"/>
      <c r="AA1064" s="4"/>
      <c r="AB1064" s="4" t="e">
        <v>#N/A</v>
      </c>
    </row>
    <row r="1065" spans="1:28">
      <c r="A1065" s="4">
        <v>1064</v>
      </c>
      <c r="B1065" s="5">
        <v>11377617</v>
      </c>
      <c r="C1065" s="5">
        <v>206886635</v>
      </c>
      <c r="D1065" s="115" t="s">
        <v>3606</v>
      </c>
      <c r="E1065" s="4" t="s">
        <v>3544</v>
      </c>
      <c r="F1065" s="7" t="s">
        <v>82</v>
      </c>
      <c r="G1065" s="7" t="s">
        <v>89</v>
      </c>
      <c r="H1065" s="7" t="s">
        <v>90</v>
      </c>
      <c r="I1065" s="7" t="s">
        <v>1789</v>
      </c>
      <c r="J1065" s="7" t="s">
        <v>5</v>
      </c>
      <c r="K1065" s="4" t="s">
        <v>10</v>
      </c>
      <c r="L1065" s="4" t="s">
        <v>23</v>
      </c>
      <c r="M1065" s="103" t="s">
        <v>4361</v>
      </c>
      <c r="N1065" s="4" t="s">
        <v>2584</v>
      </c>
      <c r="O1065" s="89"/>
      <c r="P1065" s="25">
        <v>46027</v>
      </c>
      <c r="Q1065" s="7" t="s">
        <v>1112</v>
      </c>
      <c r="R1065" s="90" t="s">
        <v>3254</v>
      </c>
      <c r="S1065" s="100" t="s">
        <v>1795</v>
      </c>
      <c r="T1065" s="4" t="s">
        <v>92</v>
      </c>
      <c r="U1065" s="4"/>
      <c r="V1065" s="4">
        <v>99</v>
      </c>
      <c r="W1065" s="85">
        <v>46024</v>
      </c>
      <c r="X1065" s="95" t="s">
        <v>3553</v>
      </c>
      <c r="Y1065" s="4" t="s">
        <v>3568</v>
      </c>
      <c r="Z1065" s="4" t="s">
        <v>3585</v>
      </c>
      <c r="AA1065" s="4" t="s">
        <v>1204</v>
      </c>
      <c r="AB1065" s="4" t="s">
        <v>4289</v>
      </c>
    </row>
    <row r="1066" spans="1:28">
      <c r="A1066" s="4">
        <v>1065</v>
      </c>
      <c r="B1066" s="4">
        <v>65978</v>
      </c>
      <c r="C1066" s="5">
        <v>206886512</v>
      </c>
      <c r="D1066" s="115" t="s">
        <v>3607</v>
      </c>
      <c r="E1066" s="4" t="s">
        <v>3545</v>
      </c>
      <c r="F1066" s="7" t="s">
        <v>74</v>
      </c>
      <c r="G1066" s="7" t="s">
        <v>90</v>
      </c>
      <c r="H1066" s="7" t="s">
        <v>87</v>
      </c>
      <c r="I1066" s="7" t="s">
        <v>1789</v>
      </c>
      <c r="J1066" s="7" t="s">
        <v>5</v>
      </c>
      <c r="K1066" s="4" t="s">
        <v>10</v>
      </c>
      <c r="L1066" s="4" t="s">
        <v>23</v>
      </c>
      <c r="M1066" s="103" t="s">
        <v>4361</v>
      </c>
      <c r="N1066" s="101" t="s">
        <v>2584</v>
      </c>
      <c r="O1066" s="89"/>
      <c r="P1066" s="25">
        <v>46027</v>
      </c>
      <c r="Q1066" s="7" t="s">
        <v>1112</v>
      </c>
      <c r="R1066" s="90" t="s">
        <v>2586</v>
      </c>
      <c r="S1066" s="100" t="s">
        <v>1795</v>
      </c>
      <c r="T1066" s="4" t="s">
        <v>92</v>
      </c>
      <c r="U1066" s="4"/>
      <c r="V1066" s="4">
        <v>99</v>
      </c>
      <c r="W1066" s="85">
        <v>46024</v>
      </c>
      <c r="X1066" s="95" t="s">
        <v>3553</v>
      </c>
      <c r="Y1066" s="4" t="s">
        <v>3569</v>
      </c>
      <c r="Z1066" s="4" t="s">
        <v>3586</v>
      </c>
      <c r="AA1066" s="4" t="s">
        <v>1204</v>
      </c>
      <c r="AB1066" s="4" t="s">
        <v>4289</v>
      </c>
    </row>
    <row r="1067" spans="1:28">
      <c r="A1067" s="4">
        <v>1066</v>
      </c>
      <c r="B1067" s="5">
        <v>11079543</v>
      </c>
      <c r="C1067" s="5">
        <v>206889908</v>
      </c>
      <c r="D1067" s="115" t="s">
        <v>3608</v>
      </c>
      <c r="E1067" s="4" t="s">
        <v>3546</v>
      </c>
      <c r="F1067" s="7" t="s">
        <v>74</v>
      </c>
      <c r="G1067" s="7" t="s">
        <v>87</v>
      </c>
      <c r="H1067" s="7" t="s">
        <v>75</v>
      </c>
      <c r="I1067" s="7" t="s">
        <v>1789</v>
      </c>
      <c r="J1067" s="7" t="s">
        <v>5</v>
      </c>
      <c r="K1067" s="4" t="s">
        <v>10</v>
      </c>
      <c r="L1067" s="4" t="s">
        <v>23</v>
      </c>
      <c r="M1067" s="103" t="s">
        <v>4361</v>
      </c>
      <c r="N1067" s="4" t="s">
        <v>2584</v>
      </c>
      <c r="O1067" s="89"/>
      <c r="P1067" s="25">
        <v>46027</v>
      </c>
      <c r="Q1067" s="7" t="s">
        <v>1112</v>
      </c>
      <c r="R1067" s="4" t="s">
        <v>3262</v>
      </c>
      <c r="S1067" s="100" t="s">
        <v>1795</v>
      </c>
      <c r="T1067" s="4" t="s">
        <v>92</v>
      </c>
      <c r="U1067" s="4"/>
      <c r="V1067" s="4">
        <v>99</v>
      </c>
      <c r="W1067" s="85">
        <v>46024</v>
      </c>
      <c r="X1067" s="95" t="s">
        <v>3553</v>
      </c>
      <c r="Y1067" s="4" t="s">
        <v>3570</v>
      </c>
      <c r="Z1067" s="4" t="s">
        <v>3587</v>
      </c>
      <c r="AA1067" s="4" t="s">
        <v>1204</v>
      </c>
      <c r="AB1067" s="4" t="s">
        <v>4289</v>
      </c>
    </row>
    <row r="1068" spans="1:28">
      <c r="A1068" s="4">
        <v>1067</v>
      </c>
      <c r="B1068" s="5">
        <v>333859</v>
      </c>
      <c r="C1068" s="5">
        <v>206897663</v>
      </c>
      <c r="D1068" s="115" t="s">
        <v>3633</v>
      </c>
      <c r="E1068" s="4" t="s">
        <v>3653</v>
      </c>
      <c r="F1068" s="7" t="s">
        <v>82</v>
      </c>
      <c r="G1068" s="7" t="s">
        <v>90</v>
      </c>
      <c r="H1068" s="7" t="s">
        <v>87</v>
      </c>
      <c r="I1068" s="7" t="s">
        <v>1788</v>
      </c>
      <c r="J1068" s="6" t="s">
        <v>5</v>
      </c>
      <c r="K1068" s="6" t="s">
        <v>10</v>
      </c>
      <c r="L1068" s="4" t="s">
        <v>24</v>
      </c>
      <c r="M1068" s="103" t="s">
        <v>4314</v>
      </c>
      <c r="N1068" s="4" t="s">
        <v>2584</v>
      </c>
      <c r="O1068" s="89"/>
      <c r="P1068" s="25">
        <v>46030</v>
      </c>
      <c r="Q1068" s="7" t="s">
        <v>1113</v>
      </c>
      <c r="R1068" s="4" t="s">
        <v>3264</v>
      </c>
      <c r="S1068" s="104" t="s">
        <v>1795</v>
      </c>
      <c r="T1068" s="4" t="s">
        <v>81</v>
      </c>
      <c r="U1068" s="4"/>
      <c r="V1068" s="4">
        <v>99</v>
      </c>
      <c r="W1068" s="85">
        <v>46395</v>
      </c>
      <c r="X1068" s="4" t="s">
        <v>3696</v>
      </c>
      <c r="Y1068" s="4">
        <v>504371576</v>
      </c>
      <c r="Z1068" s="4" t="s">
        <v>3672</v>
      </c>
      <c r="AA1068" s="4"/>
      <c r="AB1068" s="4" t="e">
        <v>#N/A</v>
      </c>
    </row>
    <row r="1069" spans="1:28">
      <c r="A1069" s="4">
        <v>1068</v>
      </c>
      <c r="B1069" s="5">
        <v>11728605</v>
      </c>
      <c r="C1069" s="5">
        <v>204010043</v>
      </c>
      <c r="D1069" s="115" t="s">
        <v>1362</v>
      </c>
      <c r="E1069" s="4" t="s">
        <v>1363</v>
      </c>
      <c r="F1069" s="7" t="s">
        <v>74</v>
      </c>
      <c r="G1069" s="7" t="s">
        <v>94</v>
      </c>
      <c r="H1069" s="7" t="s">
        <v>89</v>
      </c>
      <c r="I1069" s="6" t="s">
        <v>1790</v>
      </c>
      <c r="J1069" s="7" t="s">
        <v>5</v>
      </c>
      <c r="K1069" s="4" t="s">
        <v>10</v>
      </c>
      <c r="L1069" s="4" t="s">
        <v>22</v>
      </c>
      <c r="M1069" s="103" t="s">
        <v>4314</v>
      </c>
      <c r="N1069" s="4" t="s">
        <v>2584</v>
      </c>
      <c r="O1069" s="89"/>
      <c r="P1069" s="25">
        <v>45551</v>
      </c>
      <c r="Q1069" s="7" t="s">
        <v>1113</v>
      </c>
      <c r="R1069" s="90" t="s">
        <v>3255</v>
      </c>
      <c r="S1069" s="104" t="s">
        <v>1795</v>
      </c>
      <c r="T1069" s="4" t="s">
        <v>81</v>
      </c>
      <c r="U1069" s="4" t="s">
        <v>3263</v>
      </c>
      <c r="V1069" s="4">
        <v>99</v>
      </c>
      <c r="W1069" s="85">
        <v>45607</v>
      </c>
      <c r="X1069" s="4" t="s">
        <v>1216</v>
      </c>
      <c r="Y1069" s="4">
        <v>556542517</v>
      </c>
      <c r="Z1069" s="4" t="s">
        <v>2182</v>
      </c>
      <c r="AA1069" s="4" t="s">
        <v>95</v>
      </c>
      <c r="AB1069" s="4" t="s">
        <v>4289</v>
      </c>
    </row>
    <row r="1070" spans="1:28">
      <c r="A1070" s="4">
        <v>1069</v>
      </c>
      <c r="B1070" s="5">
        <v>13445355</v>
      </c>
      <c r="C1070" s="5">
        <v>201536170</v>
      </c>
      <c r="D1070" s="115" t="s">
        <v>1598</v>
      </c>
      <c r="E1070" s="4" t="s">
        <v>1599</v>
      </c>
      <c r="F1070" s="7" t="s">
        <v>74</v>
      </c>
      <c r="G1070" s="7" t="s">
        <v>76</v>
      </c>
      <c r="H1070" s="7" t="s">
        <v>88</v>
      </c>
      <c r="I1070" s="6" t="s">
        <v>1790</v>
      </c>
      <c r="J1070" s="7" t="s">
        <v>5</v>
      </c>
      <c r="K1070" s="4" t="s">
        <v>10</v>
      </c>
      <c r="L1070" s="4" t="s">
        <v>27</v>
      </c>
      <c r="M1070" s="103" t="s">
        <v>3321</v>
      </c>
      <c r="N1070" s="4" t="s">
        <v>2584</v>
      </c>
      <c r="O1070" s="89"/>
      <c r="P1070" s="25">
        <v>45568</v>
      </c>
      <c r="Q1070" s="7" t="s">
        <v>1113</v>
      </c>
      <c r="R1070" s="90" t="s">
        <v>3254</v>
      </c>
      <c r="S1070" s="104" t="s">
        <v>1795</v>
      </c>
      <c r="T1070" s="4" t="s">
        <v>81</v>
      </c>
      <c r="U1070" s="4" t="s">
        <v>349</v>
      </c>
      <c r="V1070" s="4">
        <v>99</v>
      </c>
      <c r="W1070" s="85">
        <v>46298</v>
      </c>
      <c r="X1070" s="4" t="s">
        <v>3688</v>
      </c>
      <c r="Y1070" s="4">
        <v>557367740</v>
      </c>
      <c r="Z1070" s="4" t="s">
        <v>1613</v>
      </c>
      <c r="AA1070" s="4" t="s">
        <v>1203</v>
      </c>
      <c r="AB1070" s="4" t="s">
        <v>4290</v>
      </c>
    </row>
    <row r="1071" spans="1:28">
      <c r="A1071" s="4">
        <v>1070</v>
      </c>
      <c r="B1071" s="5">
        <v>13537713</v>
      </c>
      <c r="C1071" s="5">
        <v>203342037</v>
      </c>
      <c r="D1071" s="115" t="s">
        <v>411</v>
      </c>
      <c r="E1071" s="4" t="s">
        <v>412</v>
      </c>
      <c r="F1071" s="7" t="s">
        <v>82</v>
      </c>
      <c r="G1071" s="7" t="s">
        <v>76</v>
      </c>
      <c r="H1071" s="7" t="s">
        <v>88</v>
      </c>
      <c r="I1071" s="6" t="s">
        <v>1790</v>
      </c>
      <c r="J1071" s="7" t="s">
        <v>5</v>
      </c>
      <c r="K1071" s="4" t="s">
        <v>10</v>
      </c>
      <c r="L1071" s="4" t="s">
        <v>20</v>
      </c>
      <c r="M1071" s="103" t="s">
        <v>374</v>
      </c>
      <c r="N1071" s="4" t="s">
        <v>2583</v>
      </c>
      <c r="O1071" s="89"/>
      <c r="P1071" s="25">
        <v>45432</v>
      </c>
      <c r="Q1071" s="7" t="s">
        <v>1112</v>
      </c>
      <c r="R1071" s="90" t="s">
        <v>3255</v>
      </c>
      <c r="S1071" s="6" t="s">
        <v>1795</v>
      </c>
      <c r="T1071" s="4" t="s">
        <v>81</v>
      </c>
      <c r="U1071" s="4" t="s">
        <v>103</v>
      </c>
      <c r="V1071" s="4">
        <v>99</v>
      </c>
      <c r="W1071" s="85">
        <v>46162</v>
      </c>
      <c r="X1071" s="4" t="s">
        <v>2355</v>
      </c>
      <c r="Y1071" s="4">
        <v>542417860</v>
      </c>
      <c r="Z1071" s="4" t="s">
        <v>2183</v>
      </c>
      <c r="AA1071" s="4" t="s">
        <v>1194</v>
      </c>
      <c r="AB1071" s="4" t="s">
        <v>4290</v>
      </c>
    </row>
    <row r="1072" spans="1:28">
      <c r="A1072" s="4">
        <v>1071</v>
      </c>
      <c r="B1072" s="5">
        <v>13988996</v>
      </c>
      <c r="C1072" s="5">
        <v>206139179</v>
      </c>
      <c r="D1072" s="115" t="s">
        <v>2980</v>
      </c>
      <c r="E1072" s="4" t="s">
        <v>2981</v>
      </c>
      <c r="F1072" s="7" t="s">
        <v>74</v>
      </c>
      <c r="G1072" s="7" t="s">
        <v>76</v>
      </c>
      <c r="H1072" s="7" t="s">
        <v>88</v>
      </c>
      <c r="I1072" s="6" t="s">
        <v>1788</v>
      </c>
      <c r="J1072" s="7" t="s">
        <v>5</v>
      </c>
      <c r="K1072" s="4" t="s">
        <v>10</v>
      </c>
      <c r="L1072" s="4" t="s">
        <v>24</v>
      </c>
      <c r="M1072" s="103" t="s">
        <v>374</v>
      </c>
      <c r="N1072" s="4"/>
      <c r="O1072" s="89"/>
      <c r="P1072" s="25">
        <v>45929</v>
      </c>
      <c r="Q1072" s="7" t="s">
        <v>1112</v>
      </c>
      <c r="R1072" s="4" t="s">
        <v>3252</v>
      </c>
      <c r="S1072" s="104" t="s">
        <v>1795</v>
      </c>
      <c r="T1072" s="4" t="s">
        <v>81</v>
      </c>
      <c r="U1072" s="4" t="s">
        <v>349</v>
      </c>
      <c r="V1072" s="4">
        <v>99</v>
      </c>
      <c r="W1072" s="85"/>
      <c r="X1072" s="4"/>
      <c r="Y1072" s="4"/>
      <c r="Z1072" s="4"/>
      <c r="AA1072" s="4" t="s">
        <v>2987</v>
      </c>
      <c r="AB1072" s="4" t="s">
        <v>4290</v>
      </c>
    </row>
    <row r="1073" spans="1:28">
      <c r="A1073" s="4">
        <v>1072</v>
      </c>
      <c r="B1073" s="5">
        <v>11604622</v>
      </c>
      <c r="C1073" s="5">
        <v>203881659</v>
      </c>
      <c r="D1073" s="115" t="s">
        <v>1084</v>
      </c>
      <c r="E1073" s="4" t="s">
        <v>1085</v>
      </c>
      <c r="F1073" s="7" t="s">
        <v>82</v>
      </c>
      <c r="G1073" s="7" t="s">
        <v>89</v>
      </c>
      <c r="H1073" s="7" t="s">
        <v>90</v>
      </c>
      <c r="I1073" s="6" t="s">
        <v>1788</v>
      </c>
      <c r="J1073" s="7" t="s">
        <v>5</v>
      </c>
      <c r="K1073" s="4" t="s">
        <v>10</v>
      </c>
      <c r="L1073" s="4" t="s">
        <v>24</v>
      </c>
      <c r="M1073" s="103" t="s">
        <v>374</v>
      </c>
      <c r="N1073" s="4" t="s">
        <v>2584</v>
      </c>
      <c r="O1073" s="89"/>
      <c r="P1073" s="25">
        <v>45530</v>
      </c>
      <c r="Q1073" s="7" t="s">
        <v>1112</v>
      </c>
      <c r="R1073" s="90" t="s">
        <v>2586</v>
      </c>
      <c r="S1073" s="104" t="s">
        <v>1795</v>
      </c>
      <c r="T1073" s="4" t="s">
        <v>81</v>
      </c>
      <c r="U1073" s="4" t="s">
        <v>112</v>
      </c>
      <c r="V1073" s="4">
        <v>99</v>
      </c>
      <c r="W1073" s="85">
        <v>45895</v>
      </c>
      <c r="X1073" s="4" t="s">
        <v>3703</v>
      </c>
      <c r="Y1073" s="4">
        <v>554671107</v>
      </c>
      <c r="Z1073" s="4" t="s">
        <v>2184</v>
      </c>
      <c r="AA1073" s="4" t="s">
        <v>1203</v>
      </c>
      <c r="AB1073" s="4" t="s">
        <v>4289</v>
      </c>
    </row>
    <row r="1074" spans="1:28">
      <c r="A1074" s="4">
        <v>1073</v>
      </c>
      <c r="B1074" s="5">
        <v>15307419</v>
      </c>
      <c r="C1074" s="5">
        <v>201204303</v>
      </c>
      <c r="D1074" s="115" t="s">
        <v>1239</v>
      </c>
      <c r="E1074" s="4" t="s">
        <v>1240</v>
      </c>
      <c r="F1074" s="7" t="s">
        <v>74</v>
      </c>
      <c r="G1074" s="7" t="s">
        <v>87</v>
      </c>
      <c r="H1074" s="7" t="s">
        <v>75</v>
      </c>
      <c r="I1074" s="6" t="s">
        <v>1788</v>
      </c>
      <c r="J1074" s="7" t="s">
        <v>5</v>
      </c>
      <c r="K1074" s="4" t="s">
        <v>10</v>
      </c>
      <c r="L1074" s="4" t="s">
        <v>24</v>
      </c>
      <c r="M1074" s="103" t="s">
        <v>4361</v>
      </c>
      <c r="N1074" s="4" t="s">
        <v>2584</v>
      </c>
      <c r="O1074" s="89"/>
      <c r="P1074" s="25">
        <v>45544</v>
      </c>
      <c r="Q1074" s="7" t="s">
        <v>1112</v>
      </c>
      <c r="R1074" s="90" t="s">
        <v>3260</v>
      </c>
      <c r="S1074" s="104" t="s">
        <v>1795</v>
      </c>
      <c r="T1074" s="4" t="s">
        <v>81</v>
      </c>
      <c r="U1074" s="4" t="s">
        <v>107</v>
      </c>
      <c r="V1074" s="4">
        <v>99</v>
      </c>
      <c r="W1074" s="85">
        <v>46274</v>
      </c>
      <c r="X1074" s="4" t="s">
        <v>3688</v>
      </c>
      <c r="Y1074" s="4">
        <v>545188635</v>
      </c>
      <c r="Z1074" s="4" t="s">
        <v>2185</v>
      </c>
      <c r="AA1074" s="4" t="s">
        <v>85</v>
      </c>
      <c r="AB1074" s="4" t="s">
        <v>4289</v>
      </c>
    </row>
    <row r="1075" spans="1:28">
      <c r="A1075" s="4">
        <v>1074</v>
      </c>
      <c r="B1075" s="5">
        <v>12855261</v>
      </c>
      <c r="C1075" s="5">
        <v>203800479</v>
      </c>
      <c r="D1075" s="115" t="s">
        <v>663</v>
      </c>
      <c r="E1075" s="4" t="s">
        <v>664</v>
      </c>
      <c r="F1075" s="7" t="s">
        <v>74</v>
      </c>
      <c r="G1075" s="7" t="s">
        <v>88</v>
      </c>
      <c r="H1075" s="7" t="s">
        <v>94</v>
      </c>
      <c r="I1075" s="6" t="s">
        <v>1790</v>
      </c>
      <c r="J1075" s="7" t="s">
        <v>5</v>
      </c>
      <c r="K1075" s="4" t="s">
        <v>10</v>
      </c>
      <c r="L1075" s="4" t="s">
        <v>22</v>
      </c>
      <c r="M1075" s="4" t="s">
        <v>4314</v>
      </c>
      <c r="N1075" s="4" t="s">
        <v>2584</v>
      </c>
      <c r="O1075" s="89"/>
      <c r="P1075" s="25">
        <v>45516</v>
      </c>
      <c r="Q1075" s="7" t="s">
        <v>1112</v>
      </c>
      <c r="R1075" s="90" t="s">
        <v>3254</v>
      </c>
      <c r="S1075" s="104" t="s">
        <v>1795</v>
      </c>
      <c r="T1075" s="4" t="s">
        <v>81</v>
      </c>
      <c r="U1075" s="4" t="s">
        <v>103</v>
      </c>
      <c r="V1075" s="4">
        <v>99</v>
      </c>
      <c r="W1075" s="85">
        <v>45572</v>
      </c>
      <c r="X1075" s="4" t="s">
        <v>1216</v>
      </c>
      <c r="Y1075" s="4">
        <v>589474032</v>
      </c>
      <c r="Z1075" s="4" t="s">
        <v>2186</v>
      </c>
      <c r="AA1075" s="4" t="s">
        <v>95</v>
      </c>
      <c r="AB1075" s="4" t="s">
        <v>4289</v>
      </c>
    </row>
    <row r="1076" spans="1:28">
      <c r="A1076" s="4">
        <v>1075</v>
      </c>
      <c r="B1076" s="5">
        <v>13634578</v>
      </c>
      <c r="C1076" s="5">
        <v>204868706</v>
      </c>
      <c r="D1076" s="115" t="s">
        <v>2733</v>
      </c>
      <c r="E1076" s="4" t="s">
        <v>2734</v>
      </c>
      <c r="F1076" s="7" t="s">
        <v>74</v>
      </c>
      <c r="G1076" s="7" t="s">
        <v>87</v>
      </c>
      <c r="H1076" s="7" t="s">
        <v>75</v>
      </c>
      <c r="I1076" s="6" t="s">
        <v>1790</v>
      </c>
      <c r="J1076" s="7" t="s">
        <v>5</v>
      </c>
      <c r="K1076" s="4" t="s">
        <v>10</v>
      </c>
      <c r="L1076" s="4" t="s">
        <v>22</v>
      </c>
      <c r="M1076" s="103" t="s">
        <v>3321</v>
      </c>
      <c r="N1076" s="4"/>
      <c r="O1076" s="89"/>
      <c r="P1076" s="25">
        <v>45894</v>
      </c>
      <c r="Q1076" s="7" t="s">
        <v>1112</v>
      </c>
      <c r="R1076" s="4" t="s">
        <v>3261</v>
      </c>
      <c r="S1076" s="104" t="s">
        <v>1795</v>
      </c>
      <c r="T1076" s="4" t="s">
        <v>81</v>
      </c>
      <c r="U1076" s="4" t="s">
        <v>349</v>
      </c>
      <c r="V1076" s="4">
        <v>99</v>
      </c>
      <c r="W1076" s="85">
        <v>45949</v>
      </c>
      <c r="X1076" s="4" t="s">
        <v>2758</v>
      </c>
      <c r="Y1076" s="4">
        <v>501976497</v>
      </c>
      <c r="Z1076" s="4" t="s">
        <v>2789</v>
      </c>
      <c r="AA1076" s="4" t="s">
        <v>85</v>
      </c>
      <c r="AB1076" s="4" t="s">
        <v>4289</v>
      </c>
    </row>
    <row r="1077" spans="1:28">
      <c r="A1077" s="4">
        <v>1076</v>
      </c>
      <c r="B1077" s="5">
        <v>13725441</v>
      </c>
      <c r="C1077" s="5">
        <v>203881695</v>
      </c>
      <c r="D1077" s="115" t="s">
        <v>1072</v>
      </c>
      <c r="E1077" s="4" t="s">
        <v>1073</v>
      </c>
      <c r="F1077" s="7" t="s">
        <v>82</v>
      </c>
      <c r="G1077" s="7" t="s">
        <v>75</v>
      </c>
      <c r="H1077" s="7" t="s">
        <v>76</v>
      </c>
      <c r="I1077" s="6" t="s">
        <v>1788</v>
      </c>
      <c r="J1077" s="7" t="s">
        <v>5</v>
      </c>
      <c r="K1077" s="4" t="s">
        <v>10</v>
      </c>
      <c r="L1077" s="4" t="s">
        <v>24</v>
      </c>
      <c r="M1077" s="103" t="s">
        <v>374</v>
      </c>
      <c r="N1077" s="4" t="s">
        <v>2583</v>
      </c>
      <c r="O1077" s="89"/>
      <c r="P1077" s="25">
        <v>45530</v>
      </c>
      <c r="Q1077" s="7" t="s">
        <v>351</v>
      </c>
      <c r="R1077" s="90" t="s">
        <v>3255</v>
      </c>
      <c r="S1077" s="104" t="s">
        <v>1795</v>
      </c>
      <c r="T1077" s="4" t="s">
        <v>81</v>
      </c>
      <c r="U1077" s="4" t="s">
        <v>3263</v>
      </c>
      <c r="V1077" s="4">
        <v>99</v>
      </c>
      <c r="W1077" s="85">
        <v>45895</v>
      </c>
      <c r="X1077" s="4" t="s">
        <v>3688</v>
      </c>
      <c r="Y1077" s="4">
        <v>509293806</v>
      </c>
      <c r="Z1077" s="4" t="s">
        <v>2187</v>
      </c>
      <c r="AA1077" s="4" t="s">
        <v>85</v>
      </c>
      <c r="AB1077" s="4" t="s">
        <v>4289</v>
      </c>
    </row>
    <row r="1078" spans="1:28">
      <c r="A1078" s="4">
        <v>1077</v>
      </c>
      <c r="B1078" s="5">
        <v>14442920</v>
      </c>
      <c r="C1078" s="5">
        <v>113366831</v>
      </c>
      <c r="D1078" s="115" t="s">
        <v>1149</v>
      </c>
      <c r="E1078" s="4" t="s">
        <v>1150</v>
      </c>
      <c r="F1078" s="7" t="s">
        <v>82</v>
      </c>
      <c r="G1078" s="7" t="s">
        <v>88</v>
      </c>
      <c r="H1078" s="7" t="s">
        <v>94</v>
      </c>
      <c r="I1078" s="6" t="s">
        <v>1790</v>
      </c>
      <c r="J1078" s="7" t="s">
        <v>5</v>
      </c>
      <c r="K1078" s="4" t="s">
        <v>10</v>
      </c>
      <c r="L1078" s="4" t="s">
        <v>20</v>
      </c>
      <c r="M1078" s="103" t="s">
        <v>390</v>
      </c>
      <c r="N1078" s="4" t="s">
        <v>2584</v>
      </c>
      <c r="O1078" s="89"/>
      <c r="P1078" s="25">
        <v>45537</v>
      </c>
      <c r="Q1078" s="7" t="s">
        <v>1112</v>
      </c>
      <c r="R1078" s="90" t="s">
        <v>3257</v>
      </c>
      <c r="S1078" s="104" t="s">
        <v>1795</v>
      </c>
      <c r="T1078" s="4" t="s">
        <v>92</v>
      </c>
      <c r="U1078" s="4" t="s">
        <v>132</v>
      </c>
      <c r="V1078" s="4">
        <v>99</v>
      </c>
      <c r="W1078" s="85">
        <v>46267</v>
      </c>
      <c r="X1078" s="4" t="s">
        <v>3474</v>
      </c>
      <c r="Y1078" s="4">
        <v>551309227</v>
      </c>
      <c r="Z1078" s="4" t="s">
        <v>2188</v>
      </c>
      <c r="AA1078" s="4" t="s">
        <v>1194</v>
      </c>
      <c r="AB1078" s="4" t="s">
        <v>4289</v>
      </c>
    </row>
    <row r="1079" spans="1:28">
      <c r="A1079" s="4">
        <v>1078</v>
      </c>
      <c r="B1079" s="106">
        <v>12681147</v>
      </c>
      <c r="C1079" s="5">
        <v>205939862</v>
      </c>
      <c r="D1079" s="115" t="s">
        <v>4081</v>
      </c>
      <c r="E1079" s="4" t="s">
        <v>4107</v>
      </c>
      <c r="F1079" s="7" t="s">
        <v>74</v>
      </c>
      <c r="G1079" s="7" t="s">
        <v>94</v>
      </c>
      <c r="H1079" s="7" t="s">
        <v>89</v>
      </c>
      <c r="I1079" s="7" t="s">
        <v>1789</v>
      </c>
      <c r="J1079" s="7" t="s">
        <v>5</v>
      </c>
      <c r="K1079" s="4" t="s">
        <v>10</v>
      </c>
      <c r="L1079" s="4" t="s">
        <v>23</v>
      </c>
      <c r="M1079" s="103" t="s">
        <v>374</v>
      </c>
      <c r="N1079" s="4" t="s">
        <v>2584</v>
      </c>
      <c r="O1079" s="89"/>
      <c r="P1079" s="25">
        <v>46048</v>
      </c>
      <c r="Q1079" s="7" t="s">
        <v>1112</v>
      </c>
      <c r="R1079" s="4" t="s">
        <v>3252</v>
      </c>
      <c r="S1079" s="110" t="s">
        <v>1795</v>
      </c>
      <c r="T1079" s="4" t="s">
        <v>81</v>
      </c>
      <c r="U1079" s="4"/>
      <c r="V1079" s="4">
        <v>99</v>
      </c>
      <c r="W1079" s="85">
        <v>46104</v>
      </c>
      <c r="X1079" s="4"/>
      <c r="Y1079" s="4"/>
      <c r="Z1079" s="4"/>
      <c r="AA1079" s="4"/>
      <c r="AB1079" s="4" t="e">
        <v>#N/A</v>
      </c>
    </row>
    <row r="1080" spans="1:28">
      <c r="A1080" s="4">
        <v>1079</v>
      </c>
      <c r="B1080" s="5">
        <v>107276</v>
      </c>
      <c r="C1080" s="5">
        <v>203736775</v>
      </c>
      <c r="D1080" s="115" t="s">
        <v>299</v>
      </c>
      <c r="E1080" s="4" t="s">
        <v>300</v>
      </c>
      <c r="F1080" s="7" t="s">
        <v>74</v>
      </c>
      <c r="G1080" s="7" t="s">
        <v>88</v>
      </c>
      <c r="H1080" s="7" t="s">
        <v>94</v>
      </c>
      <c r="I1080" s="6" t="s">
        <v>1790</v>
      </c>
      <c r="J1080" s="7" t="s">
        <v>5</v>
      </c>
      <c r="K1080" s="4" t="s">
        <v>10</v>
      </c>
      <c r="L1080" s="4" t="s">
        <v>20</v>
      </c>
      <c r="M1080" s="103" t="s">
        <v>4361</v>
      </c>
      <c r="N1080" s="4" t="s">
        <v>2583</v>
      </c>
      <c r="O1080" s="89"/>
      <c r="P1080" s="25">
        <v>45502</v>
      </c>
      <c r="Q1080" s="7" t="s">
        <v>1112</v>
      </c>
      <c r="R1080" s="90" t="s">
        <v>3252</v>
      </c>
      <c r="S1080" s="104" t="s">
        <v>1795</v>
      </c>
      <c r="T1080" s="4" t="s">
        <v>81</v>
      </c>
      <c r="U1080" s="4" t="s">
        <v>349</v>
      </c>
      <c r="V1080" s="4">
        <v>99</v>
      </c>
      <c r="W1080" s="85">
        <v>46232</v>
      </c>
      <c r="X1080" s="4" t="s">
        <v>3474</v>
      </c>
      <c r="Y1080" s="4">
        <v>567039757</v>
      </c>
      <c r="Z1080" s="4" t="s">
        <v>2189</v>
      </c>
      <c r="AA1080" s="4" t="s">
        <v>1194</v>
      </c>
      <c r="AB1080" s="4" t="s">
        <v>4289</v>
      </c>
    </row>
    <row r="1081" spans="1:28">
      <c r="A1081" s="4">
        <v>1080</v>
      </c>
      <c r="B1081" s="5">
        <v>345566</v>
      </c>
      <c r="C1081" s="5">
        <v>112549647</v>
      </c>
      <c r="D1081" s="115" t="s">
        <v>1691</v>
      </c>
      <c r="E1081" s="4" t="s">
        <v>1692</v>
      </c>
      <c r="F1081" s="7" t="s">
        <v>74</v>
      </c>
      <c r="G1081" s="7" t="s">
        <v>89</v>
      </c>
      <c r="H1081" s="7" t="s">
        <v>90</v>
      </c>
      <c r="I1081" s="6" t="s">
        <v>1790</v>
      </c>
      <c r="J1081" s="7" t="s">
        <v>5</v>
      </c>
      <c r="K1081" s="4" t="s">
        <v>10</v>
      </c>
      <c r="L1081" s="4" t="s">
        <v>27</v>
      </c>
      <c r="M1081" s="103" t="s">
        <v>3321</v>
      </c>
      <c r="N1081" s="4" t="s">
        <v>2583</v>
      </c>
      <c r="O1081" s="89"/>
      <c r="P1081" s="25">
        <v>45586</v>
      </c>
      <c r="Q1081" s="7" t="s">
        <v>1112</v>
      </c>
      <c r="R1081" s="90" t="s">
        <v>3264</v>
      </c>
      <c r="S1081" s="104" t="s">
        <v>1795</v>
      </c>
      <c r="T1081" s="4" t="s">
        <v>1199</v>
      </c>
      <c r="U1081" s="4" t="s">
        <v>112</v>
      </c>
      <c r="V1081" s="4">
        <v>99</v>
      </c>
      <c r="W1081" s="85">
        <v>46316</v>
      </c>
      <c r="X1081" s="4" t="s">
        <v>3474</v>
      </c>
      <c r="Y1081" s="4">
        <v>544293017</v>
      </c>
      <c r="Z1081" s="4" t="s">
        <v>2190</v>
      </c>
      <c r="AA1081" s="4" t="s">
        <v>127</v>
      </c>
      <c r="AB1081" s="4" t="s">
        <v>4290</v>
      </c>
    </row>
    <row r="1082" spans="1:28">
      <c r="A1082" s="4">
        <v>1081</v>
      </c>
      <c r="B1082" s="5">
        <v>11942205</v>
      </c>
      <c r="C1082" s="5">
        <v>202199036</v>
      </c>
      <c r="D1082" s="115" t="s">
        <v>1519</v>
      </c>
      <c r="E1082" s="4" t="s">
        <v>1520</v>
      </c>
      <c r="F1082" s="7" t="s">
        <v>82</v>
      </c>
      <c r="G1082" s="7" t="s">
        <v>88</v>
      </c>
      <c r="H1082" s="7" t="s">
        <v>94</v>
      </c>
      <c r="I1082" s="6" t="s">
        <v>1790</v>
      </c>
      <c r="J1082" s="7" t="s">
        <v>5</v>
      </c>
      <c r="K1082" s="4" t="s">
        <v>10</v>
      </c>
      <c r="L1082" s="4" t="s">
        <v>27</v>
      </c>
      <c r="M1082" s="4" t="s">
        <v>3321</v>
      </c>
      <c r="N1082" s="4" t="s">
        <v>2584</v>
      </c>
      <c r="O1082" s="89"/>
      <c r="P1082" s="25">
        <v>45561</v>
      </c>
      <c r="Q1082" s="7" t="s">
        <v>1112</v>
      </c>
      <c r="R1082" s="90" t="s">
        <v>3255</v>
      </c>
      <c r="S1082" s="104" t="s">
        <v>1795</v>
      </c>
      <c r="T1082" s="4" t="s">
        <v>92</v>
      </c>
      <c r="U1082" s="4" t="s">
        <v>132</v>
      </c>
      <c r="V1082" s="4">
        <v>99</v>
      </c>
      <c r="W1082" s="85">
        <v>46291</v>
      </c>
      <c r="X1082" s="4" t="s">
        <v>3694</v>
      </c>
      <c r="Y1082" s="4">
        <v>545472694</v>
      </c>
      <c r="Z1082" s="4" t="s">
        <v>2191</v>
      </c>
      <c r="AA1082" s="4" t="s">
        <v>85</v>
      </c>
      <c r="AB1082" s="4" t="s">
        <v>4289</v>
      </c>
    </row>
    <row r="1083" spans="1:28">
      <c r="A1083" s="4">
        <v>1082</v>
      </c>
      <c r="B1083" s="5">
        <v>14373531</v>
      </c>
      <c r="C1083" s="5">
        <v>204373724</v>
      </c>
      <c r="D1083" s="115" t="s">
        <v>1761</v>
      </c>
      <c r="E1083" s="4" t="s">
        <v>1762</v>
      </c>
      <c r="F1083" s="7" t="s">
        <v>74</v>
      </c>
      <c r="G1083" s="7" t="s">
        <v>75</v>
      </c>
      <c r="H1083" s="7" t="s">
        <v>76</v>
      </c>
      <c r="I1083" s="6" t="s">
        <v>1790</v>
      </c>
      <c r="J1083" s="7" t="s">
        <v>5</v>
      </c>
      <c r="K1083" s="4" t="s">
        <v>10</v>
      </c>
      <c r="L1083" s="4" t="s">
        <v>20</v>
      </c>
      <c r="M1083" s="4" t="s">
        <v>3321</v>
      </c>
      <c r="N1083" s="4" t="s">
        <v>2584</v>
      </c>
      <c r="O1083" s="89"/>
      <c r="P1083" s="25">
        <v>45593</v>
      </c>
      <c r="Q1083" s="7" t="s">
        <v>1112</v>
      </c>
      <c r="R1083" s="90" t="s">
        <v>3257</v>
      </c>
      <c r="S1083" s="104" t="s">
        <v>1795</v>
      </c>
      <c r="T1083" s="4" t="s">
        <v>81</v>
      </c>
      <c r="U1083" s="4" t="s">
        <v>112</v>
      </c>
      <c r="V1083" s="4">
        <v>99</v>
      </c>
      <c r="W1083" s="85">
        <v>46323</v>
      </c>
      <c r="X1083" s="4" t="s">
        <v>3694</v>
      </c>
      <c r="Y1083" s="4">
        <v>501407749</v>
      </c>
      <c r="Z1083" s="4" t="s">
        <v>2192</v>
      </c>
      <c r="AA1083" s="4" t="s">
        <v>1194</v>
      </c>
      <c r="AB1083" s="4" t="s">
        <v>4289</v>
      </c>
    </row>
    <row r="1084" spans="1:28">
      <c r="A1084" s="4">
        <v>1083</v>
      </c>
      <c r="B1084" s="5">
        <v>11650837</v>
      </c>
      <c r="C1084" s="5">
        <v>203918123</v>
      </c>
      <c r="D1084" s="115" t="s">
        <v>1151</v>
      </c>
      <c r="E1084" s="4" t="s">
        <v>1152</v>
      </c>
      <c r="F1084" s="7" t="s">
        <v>82</v>
      </c>
      <c r="G1084" s="7" t="s">
        <v>90</v>
      </c>
      <c r="H1084" s="7" t="s">
        <v>87</v>
      </c>
      <c r="I1084" s="6" t="s">
        <v>1790</v>
      </c>
      <c r="J1084" s="7" t="s">
        <v>5</v>
      </c>
      <c r="K1084" s="4" t="s">
        <v>10</v>
      </c>
      <c r="L1084" s="4" t="s">
        <v>20</v>
      </c>
      <c r="M1084" s="4" t="s">
        <v>4361</v>
      </c>
      <c r="N1084" s="4" t="s">
        <v>2584</v>
      </c>
      <c r="O1084" s="89"/>
      <c r="P1084" s="25">
        <v>45537</v>
      </c>
      <c r="Q1084" s="7" t="s">
        <v>1112</v>
      </c>
      <c r="R1084" s="90" t="s">
        <v>3260</v>
      </c>
      <c r="S1084" s="104" t="s">
        <v>1795</v>
      </c>
      <c r="T1084" s="4" t="s">
        <v>81</v>
      </c>
      <c r="U1084" s="4" t="s">
        <v>103</v>
      </c>
      <c r="V1084" s="4">
        <v>99</v>
      </c>
      <c r="W1084" s="85">
        <v>46267</v>
      </c>
      <c r="X1084" s="4" t="s">
        <v>1215</v>
      </c>
      <c r="Y1084" s="4">
        <v>505329031</v>
      </c>
      <c r="Z1084" s="4" t="s">
        <v>2193</v>
      </c>
      <c r="AA1084" s="4" t="s">
        <v>1194</v>
      </c>
      <c r="AB1084" s="4" t="s">
        <v>4289</v>
      </c>
    </row>
    <row r="1085" spans="1:28">
      <c r="A1085" s="4">
        <v>1084</v>
      </c>
      <c r="B1085" s="5">
        <v>13931956</v>
      </c>
      <c r="C1085" s="5">
        <v>205199830</v>
      </c>
      <c r="D1085" s="116" t="s">
        <v>4071</v>
      </c>
      <c r="E1085" s="4" t="s">
        <v>4097</v>
      </c>
      <c r="F1085" s="7" t="s">
        <v>82</v>
      </c>
      <c r="G1085" s="7" t="s">
        <v>76</v>
      </c>
      <c r="H1085" s="7" t="s">
        <v>88</v>
      </c>
      <c r="I1085" s="7" t="s">
        <v>1788</v>
      </c>
      <c r="J1085" s="7" t="s">
        <v>5</v>
      </c>
      <c r="K1085" s="4" t="s">
        <v>10</v>
      </c>
      <c r="L1085" s="4" t="s">
        <v>23</v>
      </c>
      <c r="M1085" s="4" t="s">
        <v>4361</v>
      </c>
      <c r="N1085" s="4" t="s">
        <v>2584</v>
      </c>
      <c r="O1085" s="89"/>
      <c r="P1085" s="25">
        <v>46048</v>
      </c>
      <c r="Q1085" s="7" t="s">
        <v>1112</v>
      </c>
      <c r="R1085" s="4" t="s">
        <v>3252</v>
      </c>
      <c r="S1085" s="110" t="s">
        <v>1795</v>
      </c>
      <c r="T1085" s="4" t="s">
        <v>81</v>
      </c>
      <c r="U1085" s="4"/>
      <c r="V1085" s="4">
        <v>99</v>
      </c>
      <c r="W1085" s="85">
        <v>46104</v>
      </c>
      <c r="X1085" s="4"/>
      <c r="Y1085" s="4"/>
      <c r="Z1085" s="4"/>
      <c r="AA1085" s="4"/>
      <c r="AB1085" s="4" t="e">
        <v>#N/A</v>
      </c>
    </row>
    <row r="1086" spans="1:28">
      <c r="A1086" s="4">
        <v>1085</v>
      </c>
      <c r="B1086" s="5">
        <v>13458505</v>
      </c>
      <c r="C1086" s="5">
        <v>201264954</v>
      </c>
      <c r="D1086" s="115" t="s">
        <v>1538</v>
      </c>
      <c r="E1086" s="4" t="s">
        <v>1539</v>
      </c>
      <c r="F1086" s="7" t="s">
        <v>74</v>
      </c>
      <c r="G1086" s="7" t="s">
        <v>88</v>
      </c>
      <c r="H1086" s="7" t="s">
        <v>94</v>
      </c>
      <c r="I1086" s="6" t="s">
        <v>1790</v>
      </c>
      <c r="J1086" s="7" t="s">
        <v>5</v>
      </c>
      <c r="K1086" s="4" t="s">
        <v>10</v>
      </c>
      <c r="L1086" s="4" t="s">
        <v>27</v>
      </c>
      <c r="M1086" s="4" t="s">
        <v>3321</v>
      </c>
      <c r="N1086" s="4" t="s">
        <v>2584</v>
      </c>
      <c r="O1086" s="89"/>
      <c r="P1086" s="25">
        <v>45561</v>
      </c>
      <c r="Q1086" s="7" t="s">
        <v>1112</v>
      </c>
      <c r="R1086" s="90" t="s">
        <v>3258</v>
      </c>
      <c r="S1086" s="104" t="s">
        <v>1795</v>
      </c>
      <c r="T1086" s="4" t="s">
        <v>81</v>
      </c>
      <c r="U1086" s="4" t="s">
        <v>112</v>
      </c>
      <c r="V1086" s="4">
        <v>99</v>
      </c>
      <c r="W1086" s="85">
        <v>46291</v>
      </c>
      <c r="X1086" s="4" t="s">
        <v>3739</v>
      </c>
      <c r="Y1086" s="4">
        <v>522480697</v>
      </c>
      <c r="Z1086" s="4" t="s">
        <v>1543</v>
      </c>
      <c r="AA1086" s="4" t="s">
        <v>85</v>
      </c>
      <c r="AB1086" s="4" t="s">
        <v>4289</v>
      </c>
    </row>
    <row r="1087" spans="1:28">
      <c r="A1087" s="4">
        <v>1086</v>
      </c>
      <c r="B1087" s="5">
        <v>12016451</v>
      </c>
      <c r="C1087" s="5">
        <v>203468744</v>
      </c>
      <c r="D1087" s="115" t="s">
        <v>511</v>
      </c>
      <c r="E1087" s="4" t="s">
        <v>512</v>
      </c>
      <c r="F1087" s="7" t="s">
        <v>82</v>
      </c>
      <c r="G1087" s="7" t="s">
        <v>88</v>
      </c>
      <c r="H1087" s="7" t="s">
        <v>94</v>
      </c>
      <c r="I1087" s="6" t="s">
        <v>1788</v>
      </c>
      <c r="J1087" s="7" t="s">
        <v>5</v>
      </c>
      <c r="K1087" s="4" t="s">
        <v>10</v>
      </c>
      <c r="L1087" s="4" t="s">
        <v>24</v>
      </c>
      <c r="M1087" s="4" t="s">
        <v>390</v>
      </c>
      <c r="N1087" s="4" t="s">
        <v>2583</v>
      </c>
      <c r="O1087" s="89"/>
      <c r="P1087" s="25">
        <v>45456</v>
      </c>
      <c r="Q1087" s="7" t="s">
        <v>351</v>
      </c>
      <c r="R1087" s="90" t="s">
        <v>3258</v>
      </c>
      <c r="S1087" s="104" t="s">
        <v>1795</v>
      </c>
      <c r="T1087" s="4" t="s">
        <v>81</v>
      </c>
      <c r="U1087" s="4" t="s">
        <v>103</v>
      </c>
      <c r="V1087" s="4">
        <v>99</v>
      </c>
      <c r="W1087" s="85">
        <v>45821</v>
      </c>
      <c r="X1087" s="4" t="s">
        <v>3698</v>
      </c>
      <c r="Y1087" s="4">
        <v>547573315</v>
      </c>
      <c r="Z1087" s="4" t="s">
        <v>2194</v>
      </c>
      <c r="AA1087" s="4" t="s">
        <v>85</v>
      </c>
      <c r="AB1087" s="4" t="s">
        <v>4289</v>
      </c>
    </row>
    <row r="1088" spans="1:28">
      <c r="A1088" s="4">
        <v>1087</v>
      </c>
      <c r="B1088" s="106">
        <v>11140013</v>
      </c>
      <c r="C1088" s="5">
        <v>205127496</v>
      </c>
      <c r="D1088" s="115" t="s">
        <v>4093</v>
      </c>
      <c r="E1088" s="4" t="s">
        <v>4118</v>
      </c>
      <c r="F1088" s="7" t="s">
        <v>82</v>
      </c>
      <c r="G1088" s="7" t="s">
        <v>87</v>
      </c>
      <c r="H1088" s="7" t="s">
        <v>75</v>
      </c>
      <c r="I1088" s="7" t="s">
        <v>1789</v>
      </c>
      <c r="J1088" s="7" t="s">
        <v>5</v>
      </c>
      <c r="K1088" s="4" t="s">
        <v>10</v>
      </c>
      <c r="L1088" s="4" t="s">
        <v>23</v>
      </c>
      <c r="M1088" s="7" t="s">
        <v>2741</v>
      </c>
      <c r="N1088" s="4" t="s">
        <v>2584</v>
      </c>
      <c r="O1088" s="89"/>
      <c r="P1088" s="25">
        <v>46048</v>
      </c>
      <c r="Q1088" s="7" t="s">
        <v>1112</v>
      </c>
      <c r="R1088" s="90" t="s">
        <v>3256</v>
      </c>
      <c r="S1088" s="110" t="s">
        <v>1795</v>
      </c>
      <c r="T1088" s="4" t="s">
        <v>81</v>
      </c>
      <c r="U1088" s="4"/>
      <c r="V1088" s="4">
        <v>99</v>
      </c>
      <c r="W1088" s="85">
        <v>46104</v>
      </c>
      <c r="X1088" s="4"/>
      <c r="Y1088" s="4"/>
      <c r="Z1088" s="4"/>
      <c r="AA1088" s="4"/>
      <c r="AB1088" s="4" t="e">
        <v>#N/A</v>
      </c>
    </row>
    <row r="1089" spans="1:28">
      <c r="A1089" s="4">
        <v>1088</v>
      </c>
      <c r="B1089" s="5">
        <v>14710999</v>
      </c>
      <c r="C1089" s="5">
        <v>204009358</v>
      </c>
      <c r="D1089" s="115" t="s">
        <v>1358</v>
      </c>
      <c r="E1089" s="4" t="s">
        <v>1359</v>
      </c>
      <c r="F1089" s="7" t="s">
        <v>74</v>
      </c>
      <c r="G1089" s="7" t="s">
        <v>75</v>
      </c>
      <c r="H1089" s="7" t="s">
        <v>76</v>
      </c>
      <c r="I1089" s="6" t="s">
        <v>1790</v>
      </c>
      <c r="J1089" s="7" t="s">
        <v>5</v>
      </c>
      <c r="K1089" s="4" t="s">
        <v>10</v>
      </c>
      <c r="L1089" s="4" t="s">
        <v>22</v>
      </c>
      <c r="M1089" s="4" t="s">
        <v>3321</v>
      </c>
      <c r="N1089" s="4" t="s">
        <v>2583</v>
      </c>
      <c r="O1089" s="89"/>
      <c r="P1089" s="25">
        <v>45551</v>
      </c>
      <c r="Q1089" s="7" t="s">
        <v>1112</v>
      </c>
      <c r="R1089" s="90" t="s">
        <v>3260</v>
      </c>
      <c r="S1089" s="104" t="s">
        <v>1795</v>
      </c>
      <c r="T1089" s="4" t="s">
        <v>81</v>
      </c>
      <c r="U1089" s="4" t="s">
        <v>107</v>
      </c>
      <c r="V1089" s="4">
        <v>99</v>
      </c>
      <c r="W1089" s="85">
        <v>45607</v>
      </c>
      <c r="X1089" s="4" t="s">
        <v>1216</v>
      </c>
      <c r="Y1089" s="4">
        <v>557125580</v>
      </c>
      <c r="Z1089" s="4" t="s">
        <v>1418</v>
      </c>
      <c r="AA1089" s="4" t="s">
        <v>95</v>
      </c>
      <c r="AB1089" s="4" t="s">
        <v>4289</v>
      </c>
    </row>
    <row r="1090" spans="1:28">
      <c r="A1090" s="4">
        <v>1089</v>
      </c>
      <c r="B1090" s="106">
        <v>14127060</v>
      </c>
      <c r="C1090" s="106">
        <v>205845550</v>
      </c>
      <c r="D1090" s="5" t="s">
        <v>2650</v>
      </c>
      <c r="E1090" s="115" t="s">
        <v>2651</v>
      </c>
      <c r="F1090" s="7" t="s">
        <v>74</v>
      </c>
      <c r="G1090" s="7" t="s">
        <v>89</v>
      </c>
      <c r="H1090" s="7" t="s">
        <v>90</v>
      </c>
      <c r="I1090" s="7" t="s">
        <v>1789</v>
      </c>
      <c r="J1090" s="7" t="s">
        <v>5</v>
      </c>
      <c r="K1090" s="4" t="s">
        <v>10</v>
      </c>
      <c r="L1090" s="4" t="s">
        <v>22</v>
      </c>
      <c r="M1090" s="4" t="s">
        <v>4361</v>
      </c>
      <c r="N1090" s="4"/>
      <c r="O1090" s="25"/>
      <c r="P1090" s="25">
        <v>45894</v>
      </c>
      <c r="Q1090" s="7" t="s">
        <v>1112</v>
      </c>
      <c r="R1090" s="6" t="s">
        <v>3252</v>
      </c>
      <c r="S1090" s="104" t="s">
        <v>1795</v>
      </c>
      <c r="T1090" s="6" t="s">
        <v>81</v>
      </c>
      <c r="U1090" s="6" t="s">
        <v>103</v>
      </c>
      <c r="V1090" s="4">
        <v>99</v>
      </c>
      <c r="W1090" s="6">
        <v>45949</v>
      </c>
      <c r="X1090" s="6" t="s">
        <v>2758</v>
      </c>
      <c r="Y1090" s="4">
        <v>539213858</v>
      </c>
      <c r="Z1090" s="6" t="s">
        <v>4354</v>
      </c>
      <c r="AA1090" s="6" t="s">
        <v>95</v>
      </c>
      <c r="AB1090" s="4">
        <v>0</v>
      </c>
    </row>
    <row r="1091" spans="1:28">
      <c r="A1091" s="4">
        <v>1090</v>
      </c>
      <c r="B1091" s="5">
        <v>11453158</v>
      </c>
      <c r="C1091" s="5">
        <v>103776227</v>
      </c>
      <c r="D1091" s="115" t="s">
        <v>458</v>
      </c>
      <c r="E1091" s="4" t="s">
        <v>459</v>
      </c>
      <c r="F1091" s="7" t="s">
        <v>74</v>
      </c>
      <c r="G1091" s="7" t="s">
        <v>75</v>
      </c>
      <c r="H1091" s="7" t="s">
        <v>76</v>
      </c>
      <c r="I1091" s="6" t="s">
        <v>119</v>
      </c>
      <c r="J1091" s="7" t="s">
        <v>5</v>
      </c>
      <c r="K1091" s="4" t="s">
        <v>10</v>
      </c>
      <c r="L1091" s="4" t="s">
        <v>21</v>
      </c>
      <c r="M1091" s="4" t="s">
        <v>3321</v>
      </c>
      <c r="N1091" s="4" t="s">
        <v>2583</v>
      </c>
      <c r="O1091" s="89"/>
      <c r="P1091" s="25">
        <v>44782</v>
      </c>
      <c r="Q1091" s="7" t="s">
        <v>1112</v>
      </c>
      <c r="R1091" s="90" t="s">
        <v>2586</v>
      </c>
      <c r="S1091" s="104" t="s">
        <v>1795</v>
      </c>
      <c r="T1091" s="4" t="s">
        <v>81</v>
      </c>
      <c r="U1091" s="4" t="s">
        <v>103</v>
      </c>
      <c r="V1091" s="4">
        <v>1</v>
      </c>
      <c r="W1091" s="85"/>
      <c r="X1091" s="4" t="s">
        <v>3474</v>
      </c>
      <c r="Y1091" s="4">
        <v>0</v>
      </c>
      <c r="Z1091" s="4" t="e">
        <v>#N/A</v>
      </c>
      <c r="AA1091" s="4" t="s">
        <v>127</v>
      </c>
      <c r="AB1091" s="4" t="s">
        <v>4290</v>
      </c>
    </row>
    <row r="1092" spans="1:28">
      <c r="A1092" s="4">
        <v>1091</v>
      </c>
      <c r="B1092" s="5">
        <v>14840147</v>
      </c>
      <c r="C1092" s="5">
        <v>206230580</v>
      </c>
      <c r="D1092" s="115" t="s">
        <v>3102</v>
      </c>
      <c r="E1092" s="4" t="s">
        <v>3103</v>
      </c>
      <c r="F1092" s="7" t="s">
        <v>74</v>
      </c>
      <c r="G1092" s="7" t="s">
        <v>76</v>
      </c>
      <c r="H1092" s="7" t="s">
        <v>88</v>
      </c>
      <c r="I1092" s="7" t="s">
        <v>1789</v>
      </c>
      <c r="J1092" s="7" t="s">
        <v>5</v>
      </c>
      <c r="K1092" s="4" t="s">
        <v>10</v>
      </c>
      <c r="L1092" s="4" t="s">
        <v>23</v>
      </c>
      <c r="M1092" s="4" t="s">
        <v>4361</v>
      </c>
      <c r="N1092" s="4"/>
      <c r="O1092" s="89"/>
      <c r="P1092" s="25">
        <v>45943</v>
      </c>
      <c r="Q1092" s="7" t="s">
        <v>1192</v>
      </c>
      <c r="R1092" s="90" t="s">
        <v>3256</v>
      </c>
      <c r="S1092" s="104" t="s">
        <v>1795</v>
      </c>
      <c r="T1092" s="4" t="s">
        <v>92</v>
      </c>
      <c r="U1092" s="4" t="s">
        <v>349</v>
      </c>
      <c r="V1092" s="4">
        <v>99</v>
      </c>
      <c r="W1092" s="85"/>
      <c r="X1092" s="4"/>
      <c r="Y1092" s="4"/>
      <c r="Z1092" s="4"/>
      <c r="AA1092" s="4" t="s">
        <v>3016</v>
      </c>
      <c r="AB1092" s="4" t="s">
        <v>4290</v>
      </c>
    </row>
    <row r="1093" spans="1:28">
      <c r="A1093" s="4">
        <v>1092</v>
      </c>
      <c r="B1093" s="5">
        <v>11998421</v>
      </c>
      <c r="C1093" s="5">
        <v>205853886</v>
      </c>
      <c r="D1093" s="115" t="s">
        <v>2722</v>
      </c>
      <c r="E1093" s="4" t="s">
        <v>2723</v>
      </c>
      <c r="F1093" s="7" t="s">
        <v>74</v>
      </c>
      <c r="G1093" s="7" t="s">
        <v>76</v>
      </c>
      <c r="H1093" s="7" t="s">
        <v>88</v>
      </c>
      <c r="I1093" s="7" t="s">
        <v>1789</v>
      </c>
      <c r="J1093" s="7" t="s">
        <v>5</v>
      </c>
      <c r="K1093" s="4" t="s">
        <v>10</v>
      </c>
      <c r="L1093" s="4" t="s">
        <v>23</v>
      </c>
      <c r="M1093" s="4" t="s">
        <v>4361</v>
      </c>
      <c r="N1093" s="4"/>
      <c r="O1093" s="89"/>
      <c r="P1093" s="25">
        <v>45894</v>
      </c>
      <c r="Q1093" s="7" t="s">
        <v>1112</v>
      </c>
      <c r="R1093" s="90" t="s">
        <v>3253</v>
      </c>
      <c r="S1093" s="104" t="s">
        <v>1795</v>
      </c>
      <c r="T1093" s="4" t="s">
        <v>81</v>
      </c>
      <c r="U1093" s="4" t="s">
        <v>112</v>
      </c>
      <c r="V1093" s="4">
        <v>99</v>
      </c>
      <c r="W1093" s="85">
        <v>45949</v>
      </c>
      <c r="X1093" s="4" t="s">
        <v>3523</v>
      </c>
      <c r="Y1093" s="4" t="s">
        <v>2781</v>
      </c>
      <c r="Z1093" s="4" t="s">
        <v>2782</v>
      </c>
      <c r="AA1093" s="4" t="s">
        <v>95</v>
      </c>
      <c r="AB1093" s="4" t="s">
        <v>4290</v>
      </c>
    </row>
    <row r="1094" spans="1:28">
      <c r="A1094" s="4">
        <v>1093</v>
      </c>
      <c r="B1094" s="5">
        <v>12368238</v>
      </c>
      <c r="C1094" s="5">
        <v>203965456</v>
      </c>
      <c r="D1094" s="115" t="s">
        <v>1315</v>
      </c>
      <c r="E1094" s="4" t="s">
        <v>1316</v>
      </c>
      <c r="F1094" s="7" t="s">
        <v>82</v>
      </c>
      <c r="G1094" s="7" t="s">
        <v>76</v>
      </c>
      <c r="H1094" s="7" t="s">
        <v>88</v>
      </c>
      <c r="I1094" s="6" t="s">
        <v>1788</v>
      </c>
      <c r="J1094" s="7" t="s">
        <v>5</v>
      </c>
      <c r="K1094" s="4" t="s">
        <v>10</v>
      </c>
      <c r="L1094" s="4" t="s">
        <v>24</v>
      </c>
      <c r="M1094" s="4" t="s">
        <v>374</v>
      </c>
      <c r="N1094" s="4" t="s">
        <v>2584</v>
      </c>
      <c r="O1094" s="89"/>
      <c r="P1094" s="25">
        <v>45544</v>
      </c>
      <c r="Q1094" s="7" t="s">
        <v>1112</v>
      </c>
      <c r="R1094" s="90" t="s">
        <v>3258</v>
      </c>
      <c r="S1094" s="104" t="s">
        <v>1795</v>
      </c>
      <c r="T1094" s="4" t="s">
        <v>81</v>
      </c>
      <c r="U1094" s="4" t="s">
        <v>349</v>
      </c>
      <c r="V1094" s="4">
        <v>99</v>
      </c>
      <c r="W1094" s="85">
        <v>45909</v>
      </c>
      <c r="X1094" s="4" t="s">
        <v>3698</v>
      </c>
      <c r="Y1094" s="4">
        <v>569517954</v>
      </c>
      <c r="Z1094" s="4" t="s">
        <v>2195</v>
      </c>
      <c r="AA1094" s="4" t="s">
        <v>1201</v>
      </c>
      <c r="AB1094" s="4" t="s">
        <v>4289</v>
      </c>
    </row>
    <row r="1095" spans="1:28">
      <c r="A1095" s="4">
        <v>1094</v>
      </c>
      <c r="B1095" s="5">
        <v>13911739</v>
      </c>
      <c r="C1095" s="5">
        <v>206886644</v>
      </c>
      <c r="D1095" s="115" t="s">
        <v>3610</v>
      </c>
      <c r="E1095" s="4" t="s">
        <v>3548</v>
      </c>
      <c r="F1095" s="7" t="s">
        <v>82</v>
      </c>
      <c r="G1095" s="7" t="s">
        <v>87</v>
      </c>
      <c r="H1095" s="7" t="s">
        <v>75</v>
      </c>
      <c r="I1095" s="7" t="s">
        <v>1789</v>
      </c>
      <c r="J1095" s="7" t="s">
        <v>5</v>
      </c>
      <c r="K1095" s="4" t="s">
        <v>10</v>
      </c>
      <c r="L1095" s="4" t="s">
        <v>23</v>
      </c>
      <c r="M1095" s="4" t="s">
        <v>4314</v>
      </c>
      <c r="N1095" s="4" t="s">
        <v>2584</v>
      </c>
      <c r="O1095" s="89"/>
      <c r="P1095" s="25">
        <v>46027</v>
      </c>
      <c r="Q1095" s="7" t="s">
        <v>1112</v>
      </c>
      <c r="R1095" s="7" t="s">
        <v>3257</v>
      </c>
      <c r="S1095" s="4" t="s">
        <v>1795</v>
      </c>
      <c r="T1095" s="4" t="s">
        <v>92</v>
      </c>
      <c r="U1095" s="4"/>
      <c r="V1095" s="4">
        <v>99</v>
      </c>
      <c r="W1095" s="85">
        <v>46024</v>
      </c>
      <c r="X1095" s="95" t="s">
        <v>3553</v>
      </c>
      <c r="Y1095" s="4" t="s">
        <v>3571</v>
      </c>
      <c r="Z1095" s="4" t="s">
        <v>3588</v>
      </c>
      <c r="AA1095" s="4" t="s">
        <v>1204</v>
      </c>
      <c r="AB1095" s="4" t="s">
        <v>4289</v>
      </c>
    </row>
    <row r="1096" spans="1:28">
      <c r="A1096" s="4">
        <v>1095</v>
      </c>
      <c r="B1096" s="106">
        <v>13944068</v>
      </c>
      <c r="C1096" s="106">
        <v>205845549</v>
      </c>
      <c r="D1096" s="5" t="s">
        <v>2652</v>
      </c>
      <c r="E1096" s="115" t="s">
        <v>2653</v>
      </c>
      <c r="F1096" s="7" t="s">
        <v>74</v>
      </c>
      <c r="G1096" s="7" t="s">
        <v>90</v>
      </c>
      <c r="H1096" s="7" t="s">
        <v>87</v>
      </c>
      <c r="I1096" s="7" t="s">
        <v>1789</v>
      </c>
      <c r="J1096" s="7" t="s">
        <v>5</v>
      </c>
      <c r="K1096" s="4" t="s">
        <v>10</v>
      </c>
      <c r="L1096" s="4" t="s">
        <v>22</v>
      </c>
      <c r="M1096" s="4" t="s">
        <v>4361</v>
      </c>
      <c r="N1096" s="4"/>
      <c r="O1096" s="25"/>
      <c r="P1096" s="25">
        <v>45894</v>
      </c>
      <c r="Q1096" s="7" t="s">
        <v>1112</v>
      </c>
      <c r="R1096" s="90" t="s">
        <v>2586</v>
      </c>
      <c r="S1096" s="6" t="s">
        <v>1795</v>
      </c>
      <c r="T1096" s="6" t="s">
        <v>81</v>
      </c>
      <c r="U1096" s="6" t="s">
        <v>349</v>
      </c>
      <c r="V1096" s="4">
        <v>99</v>
      </c>
      <c r="W1096" s="6">
        <v>45949</v>
      </c>
      <c r="X1096" s="6" t="s">
        <v>2758</v>
      </c>
      <c r="Y1096" s="4">
        <v>539213858</v>
      </c>
      <c r="Z1096" s="6" t="s">
        <v>4355</v>
      </c>
      <c r="AA1096" s="6" t="s">
        <v>95</v>
      </c>
      <c r="AB1096" s="4">
        <v>0</v>
      </c>
    </row>
    <row r="1097" spans="1:28">
      <c r="A1097" s="4">
        <v>1096</v>
      </c>
      <c r="B1097" s="5">
        <v>14531574</v>
      </c>
      <c r="C1097" s="5">
        <v>206192239</v>
      </c>
      <c r="D1097" s="115" t="s">
        <v>3028</v>
      </c>
      <c r="E1097" s="4" t="s">
        <v>3029</v>
      </c>
      <c r="F1097" s="7" t="s">
        <v>82</v>
      </c>
      <c r="G1097" s="7" t="s">
        <v>76</v>
      </c>
      <c r="H1097" s="7" t="s">
        <v>88</v>
      </c>
      <c r="I1097" s="7" t="s">
        <v>1788</v>
      </c>
      <c r="J1097" s="7" t="s">
        <v>5</v>
      </c>
      <c r="K1097" s="4" t="s">
        <v>10</v>
      </c>
      <c r="L1097" s="4" t="s">
        <v>23</v>
      </c>
      <c r="M1097" s="4" t="s">
        <v>390</v>
      </c>
      <c r="N1097" s="4" t="s">
        <v>2584</v>
      </c>
      <c r="O1097" s="89"/>
      <c r="P1097" s="25">
        <v>45936</v>
      </c>
      <c r="Q1097" s="7" t="s">
        <v>1112</v>
      </c>
      <c r="R1097" s="4" t="s">
        <v>3262</v>
      </c>
      <c r="S1097" s="6" t="s">
        <v>1795</v>
      </c>
      <c r="T1097" s="4" t="s">
        <v>92</v>
      </c>
      <c r="U1097" s="4" t="s">
        <v>103</v>
      </c>
      <c r="V1097" s="4">
        <v>99</v>
      </c>
      <c r="W1097" s="85">
        <v>45996</v>
      </c>
      <c r="X1097" s="4" t="s">
        <v>3013</v>
      </c>
      <c r="Y1097" s="4" t="s">
        <v>3048</v>
      </c>
      <c r="Z1097" s="4" t="s">
        <v>3049</v>
      </c>
      <c r="AA1097" s="4" t="s">
        <v>1204</v>
      </c>
      <c r="AB1097" s="4" t="s">
        <v>4289</v>
      </c>
    </row>
    <row r="1098" spans="1:28">
      <c r="A1098" s="4">
        <v>1097</v>
      </c>
      <c r="B1098" s="5">
        <v>13963506</v>
      </c>
      <c r="C1098" s="5">
        <v>203512943</v>
      </c>
      <c r="D1098" s="115" t="s">
        <v>533</v>
      </c>
      <c r="E1098" s="4" t="s">
        <v>534</v>
      </c>
      <c r="F1098" s="7" t="s">
        <v>82</v>
      </c>
      <c r="G1098" s="7" t="s">
        <v>90</v>
      </c>
      <c r="H1098" s="7" t="s">
        <v>87</v>
      </c>
      <c r="I1098" s="6" t="s">
        <v>1788</v>
      </c>
      <c r="J1098" s="7" t="s">
        <v>5</v>
      </c>
      <c r="K1098" s="4" t="s">
        <v>10</v>
      </c>
      <c r="L1098" s="4" t="s">
        <v>24</v>
      </c>
      <c r="M1098" s="4" t="s">
        <v>3321</v>
      </c>
      <c r="N1098" s="4" t="s">
        <v>2583</v>
      </c>
      <c r="O1098" s="89"/>
      <c r="P1098" s="25">
        <v>45463</v>
      </c>
      <c r="Q1098" s="7" t="s">
        <v>1112</v>
      </c>
      <c r="R1098" s="90" t="s">
        <v>2586</v>
      </c>
      <c r="S1098" s="6" t="s">
        <v>1795</v>
      </c>
      <c r="T1098" s="4" t="s">
        <v>81</v>
      </c>
      <c r="U1098" s="4" t="s">
        <v>103</v>
      </c>
      <c r="V1098" s="4">
        <v>99</v>
      </c>
      <c r="W1098" s="85">
        <v>45828</v>
      </c>
      <c r="X1098" s="4" t="s">
        <v>3690</v>
      </c>
      <c r="Y1098" s="4">
        <v>558841026</v>
      </c>
      <c r="Z1098" s="4" t="s">
        <v>2196</v>
      </c>
      <c r="AA1098" s="4" t="s">
        <v>1198</v>
      </c>
      <c r="AB1098" s="4" t="s">
        <v>4289</v>
      </c>
    </row>
    <row r="1099" spans="1:28" ht="14.5" customHeight="1">
      <c r="A1099" s="4">
        <v>1098</v>
      </c>
      <c r="B1099" s="5">
        <v>13177384</v>
      </c>
      <c r="C1099" s="5">
        <v>204009949</v>
      </c>
      <c r="D1099" s="115" t="s">
        <v>1390</v>
      </c>
      <c r="E1099" s="4" t="s">
        <v>2490</v>
      </c>
      <c r="F1099" s="7" t="s">
        <v>74</v>
      </c>
      <c r="G1099" s="7" t="s">
        <v>94</v>
      </c>
      <c r="H1099" s="7" t="s">
        <v>89</v>
      </c>
      <c r="I1099" s="6" t="s">
        <v>1790</v>
      </c>
      <c r="J1099" s="7" t="s">
        <v>5</v>
      </c>
      <c r="K1099" s="4" t="s">
        <v>10</v>
      </c>
      <c r="L1099" s="4" t="s">
        <v>22</v>
      </c>
      <c r="M1099" s="4" t="s">
        <v>393</v>
      </c>
      <c r="N1099" s="4" t="s">
        <v>2584</v>
      </c>
      <c r="O1099" s="89"/>
      <c r="P1099" s="25">
        <v>45789</v>
      </c>
      <c r="Q1099" s="7" t="s">
        <v>1112</v>
      </c>
      <c r="R1099" s="90" t="s">
        <v>3255</v>
      </c>
      <c r="S1099" s="6" t="s">
        <v>1795</v>
      </c>
      <c r="T1099" s="4" t="s">
        <v>81</v>
      </c>
      <c r="U1099" s="4" t="s">
        <v>3263</v>
      </c>
      <c r="V1099" s="4">
        <v>99</v>
      </c>
      <c r="W1099" s="85">
        <v>45831</v>
      </c>
      <c r="X1099" s="4" t="s">
        <v>1216</v>
      </c>
      <c r="Y1099" s="4">
        <v>556594690</v>
      </c>
      <c r="Z1099" s="4" t="s">
        <v>2511</v>
      </c>
      <c r="AA1099" s="4" t="s">
        <v>1202</v>
      </c>
      <c r="AB1099" s="4" t="s">
        <v>4289</v>
      </c>
    </row>
    <row r="1100" spans="1:28" ht="14.5" customHeight="1">
      <c r="A1100" s="4">
        <v>1099</v>
      </c>
      <c r="B1100" s="5">
        <v>14272115</v>
      </c>
      <c r="C1100" s="5">
        <v>203964990</v>
      </c>
      <c r="D1100" s="115" t="s">
        <v>1289</v>
      </c>
      <c r="E1100" s="4" t="s">
        <v>1290</v>
      </c>
      <c r="F1100" s="7" t="s">
        <v>74</v>
      </c>
      <c r="G1100" s="7" t="s">
        <v>94</v>
      </c>
      <c r="H1100" s="7" t="s">
        <v>89</v>
      </c>
      <c r="I1100" s="6" t="s">
        <v>1790</v>
      </c>
      <c r="J1100" s="7" t="s">
        <v>5</v>
      </c>
      <c r="K1100" s="4" t="s">
        <v>10</v>
      </c>
      <c r="L1100" s="4" t="s">
        <v>20</v>
      </c>
      <c r="M1100" s="4" t="s">
        <v>3321</v>
      </c>
      <c r="N1100" s="4" t="s">
        <v>2584</v>
      </c>
      <c r="O1100" s="89"/>
      <c r="P1100" s="25">
        <v>45544</v>
      </c>
      <c r="Q1100" s="99" t="s">
        <v>1112</v>
      </c>
      <c r="R1100" s="105" t="s">
        <v>2586</v>
      </c>
      <c r="S1100" s="98" t="s">
        <v>1795</v>
      </c>
      <c r="T1100" s="97" t="s">
        <v>81</v>
      </c>
      <c r="U1100" s="97" t="s">
        <v>132</v>
      </c>
      <c r="V1100" s="4">
        <v>99</v>
      </c>
      <c r="W1100" s="85">
        <v>46274</v>
      </c>
      <c r="X1100" s="4" t="s">
        <v>2356</v>
      </c>
      <c r="Y1100" s="4">
        <v>553532569</v>
      </c>
      <c r="Z1100" s="4" t="s">
        <v>2197</v>
      </c>
      <c r="AA1100" s="4" t="s">
        <v>1194</v>
      </c>
      <c r="AB1100" s="4" t="s">
        <v>4289</v>
      </c>
    </row>
    <row r="1101" spans="1:28" ht="14.5" customHeight="1">
      <c r="A1101" s="4">
        <v>1100</v>
      </c>
      <c r="B1101" s="5">
        <v>12825863</v>
      </c>
      <c r="C1101" s="5">
        <v>204117685</v>
      </c>
      <c r="D1101" s="115" t="s">
        <v>1521</v>
      </c>
      <c r="E1101" s="4" t="s">
        <v>1522</v>
      </c>
      <c r="F1101" s="7" t="s">
        <v>82</v>
      </c>
      <c r="G1101" s="7" t="s">
        <v>87</v>
      </c>
      <c r="H1101" s="7" t="s">
        <v>75</v>
      </c>
      <c r="I1101" s="6" t="s">
        <v>1790</v>
      </c>
      <c r="J1101" s="7" t="s">
        <v>5</v>
      </c>
      <c r="K1101" s="4" t="s">
        <v>10</v>
      </c>
      <c r="L1101" s="4" t="s">
        <v>27</v>
      </c>
      <c r="M1101" s="4" t="s">
        <v>390</v>
      </c>
      <c r="N1101" s="4" t="s">
        <v>2584</v>
      </c>
      <c r="O1101" s="89"/>
      <c r="P1101" s="25">
        <v>45561</v>
      </c>
      <c r="Q1101" s="7" t="s">
        <v>1112</v>
      </c>
      <c r="R1101" s="90" t="s">
        <v>3264</v>
      </c>
      <c r="S1101" s="6" t="s">
        <v>1795</v>
      </c>
      <c r="T1101" s="4" t="s">
        <v>92</v>
      </c>
      <c r="U1101" s="4" t="s">
        <v>103</v>
      </c>
      <c r="V1101" s="100">
        <v>99</v>
      </c>
      <c r="W1101" s="85">
        <v>46291</v>
      </c>
      <c r="X1101" s="4" t="s">
        <v>3703</v>
      </c>
      <c r="Y1101" s="4">
        <v>563521997</v>
      </c>
      <c r="Z1101" s="4" t="s">
        <v>2198</v>
      </c>
      <c r="AA1101" s="4" t="s">
        <v>1203</v>
      </c>
      <c r="AB1101" s="4" t="s">
        <v>4289</v>
      </c>
    </row>
    <row r="1102" spans="1:28" ht="14.5" customHeight="1">
      <c r="A1102" s="4">
        <v>1101</v>
      </c>
      <c r="B1102" s="106">
        <v>12300869</v>
      </c>
      <c r="C1102" s="106">
        <v>205845546</v>
      </c>
      <c r="D1102" s="5" t="s">
        <v>2654</v>
      </c>
      <c r="E1102" s="115" t="s">
        <v>2655</v>
      </c>
      <c r="F1102" s="7" t="s">
        <v>74</v>
      </c>
      <c r="G1102" s="7" t="s">
        <v>87</v>
      </c>
      <c r="H1102" s="7" t="s">
        <v>75</v>
      </c>
      <c r="I1102" s="6" t="s">
        <v>1790</v>
      </c>
      <c r="J1102" s="7" t="s">
        <v>5</v>
      </c>
      <c r="K1102" s="4" t="s">
        <v>10</v>
      </c>
      <c r="L1102" s="4" t="s">
        <v>22</v>
      </c>
      <c r="M1102" s="4" t="s">
        <v>4361</v>
      </c>
      <c r="N1102" s="4"/>
      <c r="O1102" s="25"/>
      <c r="P1102" s="25">
        <v>45894</v>
      </c>
      <c r="Q1102" s="7" t="s">
        <v>1112</v>
      </c>
      <c r="R1102" s="6" t="s">
        <v>3264</v>
      </c>
      <c r="S1102" s="6" t="s">
        <v>1795</v>
      </c>
      <c r="T1102" s="6" t="s">
        <v>81</v>
      </c>
      <c r="U1102" s="6" t="s">
        <v>103</v>
      </c>
      <c r="V1102" s="100">
        <v>99</v>
      </c>
      <c r="W1102" s="6">
        <v>45949</v>
      </c>
      <c r="X1102" s="6" t="s">
        <v>2758</v>
      </c>
      <c r="Y1102" s="4">
        <v>567450136</v>
      </c>
      <c r="Z1102" s="6" t="s">
        <v>4356</v>
      </c>
      <c r="AA1102" s="6" t="s">
        <v>95</v>
      </c>
      <c r="AB1102" s="4">
        <v>0</v>
      </c>
    </row>
    <row r="1103" spans="1:28">
      <c r="A1103" s="4">
        <v>1102</v>
      </c>
      <c r="B1103" s="5">
        <v>13151336</v>
      </c>
      <c r="C1103" s="5">
        <v>203908332</v>
      </c>
      <c r="D1103" s="115" t="s">
        <v>1155</v>
      </c>
      <c r="E1103" s="4" t="s">
        <v>1156</v>
      </c>
      <c r="F1103" s="7" t="s">
        <v>82</v>
      </c>
      <c r="G1103" s="7" t="s">
        <v>88</v>
      </c>
      <c r="H1103" s="7" t="s">
        <v>94</v>
      </c>
      <c r="I1103" s="6" t="s">
        <v>1790</v>
      </c>
      <c r="J1103" s="7" t="s">
        <v>5</v>
      </c>
      <c r="K1103" s="4" t="s">
        <v>10</v>
      </c>
      <c r="L1103" s="4" t="s">
        <v>22</v>
      </c>
      <c r="M1103" s="4" t="s">
        <v>390</v>
      </c>
      <c r="N1103" s="4" t="s">
        <v>2584</v>
      </c>
      <c r="O1103" s="89"/>
      <c r="P1103" s="25">
        <v>45537</v>
      </c>
      <c r="Q1103" s="7" t="s">
        <v>1113</v>
      </c>
      <c r="R1103" s="90" t="s">
        <v>3253</v>
      </c>
      <c r="S1103" s="6" t="s">
        <v>1795</v>
      </c>
      <c r="T1103" s="4" t="s">
        <v>81</v>
      </c>
      <c r="U1103" s="4" t="s">
        <v>103</v>
      </c>
      <c r="V1103" s="100">
        <v>99</v>
      </c>
      <c r="W1103" s="85">
        <v>45593</v>
      </c>
      <c r="X1103" s="4" t="s">
        <v>1216</v>
      </c>
      <c r="Y1103" s="4">
        <v>553655831</v>
      </c>
      <c r="Z1103" s="4" t="s">
        <v>2199</v>
      </c>
      <c r="AA1103" s="4" t="s">
        <v>95</v>
      </c>
      <c r="AB1103" s="4" t="s">
        <v>4289</v>
      </c>
    </row>
    <row r="1104" spans="1:28">
      <c r="A1104" s="4">
        <v>1103</v>
      </c>
      <c r="B1104" s="5">
        <v>12597651</v>
      </c>
      <c r="C1104" s="5">
        <v>206604522</v>
      </c>
      <c r="D1104" s="115" t="s">
        <v>4072</v>
      </c>
      <c r="E1104" s="4" t="s">
        <v>4098</v>
      </c>
      <c r="F1104" s="7" t="s">
        <v>82</v>
      </c>
      <c r="G1104" s="7" t="s">
        <v>89</v>
      </c>
      <c r="H1104" s="7" t="s">
        <v>90</v>
      </c>
      <c r="I1104" s="7" t="s">
        <v>1789</v>
      </c>
      <c r="J1104" s="7" t="s">
        <v>5</v>
      </c>
      <c r="K1104" s="4" t="s">
        <v>10</v>
      </c>
      <c r="L1104" s="4" t="s">
        <v>23</v>
      </c>
      <c r="M1104" s="7" t="s">
        <v>2741</v>
      </c>
      <c r="N1104" s="4" t="s">
        <v>2584</v>
      </c>
      <c r="O1104" s="89"/>
      <c r="P1104" s="25">
        <v>46048</v>
      </c>
      <c r="Q1104" s="7" t="s">
        <v>1112</v>
      </c>
      <c r="R1104" s="90" t="s">
        <v>2586</v>
      </c>
      <c r="S1104" s="7" t="s">
        <v>1795</v>
      </c>
      <c r="T1104" s="4" t="s">
        <v>81</v>
      </c>
      <c r="U1104" s="4"/>
      <c r="V1104" s="100">
        <v>99</v>
      </c>
      <c r="W1104" s="85">
        <v>46104</v>
      </c>
      <c r="X1104" s="4"/>
      <c r="Y1104" s="4"/>
      <c r="Z1104" s="4"/>
      <c r="AA1104" s="4"/>
      <c r="AB1104" s="4" t="e">
        <v>#N/A</v>
      </c>
    </row>
    <row r="1105" spans="1:28">
      <c r="A1105" s="4">
        <v>1104</v>
      </c>
      <c r="B1105" s="5">
        <v>11166914</v>
      </c>
      <c r="C1105" s="5">
        <v>206851164</v>
      </c>
      <c r="D1105" s="115" t="s">
        <v>3619</v>
      </c>
      <c r="E1105" s="4" t="s">
        <v>3640</v>
      </c>
      <c r="F1105" s="7" t="s">
        <v>82</v>
      </c>
      <c r="G1105" s="7" t="s">
        <v>90</v>
      </c>
      <c r="H1105" s="7" t="s">
        <v>87</v>
      </c>
      <c r="I1105" s="7" t="s">
        <v>1789</v>
      </c>
      <c r="J1105" s="6" t="s">
        <v>5</v>
      </c>
      <c r="K1105" s="6" t="s">
        <v>10</v>
      </c>
      <c r="L1105" s="4" t="s">
        <v>22</v>
      </c>
      <c r="M1105" s="4" t="s">
        <v>3321</v>
      </c>
      <c r="N1105" s="4" t="s">
        <v>2584</v>
      </c>
      <c r="O1105" s="89"/>
      <c r="P1105" s="25">
        <v>46030</v>
      </c>
      <c r="Q1105" s="7" t="s">
        <v>1112</v>
      </c>
      <c r="R1105" s="90" t="s">
        <v>3256</v>
      </c>
      <c r="S1105" s="6" t="s">
        <v>1795</v>
      </c>
      <c r="T1105" s="4" t="s">
        <v>81</v>
      </c>
      <c r="U1105" s="4"/>
      <c r="V1105" s="100">
        <v>99</v>
      </c>
      <c r="W1105" s="85">
        <v>46395</v>
      </c>
      <c r="X1105" s="4" t="s">
        <v>3290</v>
      </c>
      <c r="Y1105" s="4">
        <v>563468795</v>
      </c>
      <c r="Z1105" s="4" t="s">
        <v>3662</v>
      </c>
      <c r="AA1105" s="4" t="s">
        <v>3016</v>
      </c>
      <c r="AB1105" s="4" t="e">
        <v>#N/A</v>
      </c>
    </row>
    <row r="1106" spans="1:28">
      <c r="A1106" s="4">
        <v>1105</v>
      </c>
      <c r="B1106" s="5">
        <v>15299934</v>
      </c>
      <c r="C1106" s="5">
        <v>203908334</v>
      </c>
      <c r="D1106" s="115" t="s">
        <v>1153</v>
      </c>
      <c r="E1106" s="4" t="s">
        <v>1154</v>
      </c>
      <c r="F1106" s="7" t="s">
        <v>82</v>
      </c>
      <c r="G1106" s="7" t="s">
        <v>94</v>
      </c>
      <c r="H1106" s="7" t="s">
        <v>89</v>
      </c>
      <c r="I1106" s="6" t="s">
        <v>1790</v>
      </c>
      <c r="J1106" s="7" t="s">
        <v>5</v>
      </c>
      <c r="K1106" s="4" t="s">
        <v>10</v>
      </c>
      <c r="L1106" s="4" t="s">
        <v>22</v>
      </c>
      <c r="M1106" s="4" t="s">
        <v>374</v>
      </c>
      <c r="N1106" s="4" t="s">
        <v>2584</v>
      </c>
      <c r="O1106" s="89"/>
      <c r="P1106" s="25">
        <v>45537</v>
      </c>
      <c r="Q1106" s="7" t="s">
        <v>1113</v>
      </c>
      <c r="R1106" s="90" t="s">
        <v>3264</v>
      </c>
      <c r="S1106" s="6" t="s">
        <v>1795</v>
      </c>
      <c r="T1106" s="4" t="s">
        <v>81</v>
      </c>
      <c r="U1106" s="4" t="s">
        <v>103</v>
      </c>
      <c r="V1106" s="100">
        <v>99</v>
      </c>
      <c r="W1106" s="85">
        <v>45593</v>
      </c>
      <c r="X1106" s="4" t="s">
        <v>1216</v>
      </c>
      <c r="Y1106" s="4">
        <v>501758408</v>
      </c>
      <c r="Z1106" s="4" t="s">
        <v>2200</v>
      </c>
      <c r="AA1106" s="4" t="s">
        <v>95</v>
      </c>
      <c r="AB1106" s="4" t="s">
        <v>4289</v>
      </c>
    </row>
    <row r="1107" spans="1:28">
      <c r="A1107" s="4">
        <v>1106</v>
      </c>
      <c r="B1107" s="5">
        <v>14302980</v>
      </c>
      <c r="C1107" s="5">
        <v>206129263</v>
      </c>
      <c r="D1107" s="115" t="s">
        <v>2949</v>
      </c>
      <c r="E1107" s="4" t="s">
        <v>2950</v>
      </c>
      <c r="F1107" s="7" t="s">
        <v>74</v>
      </c>
      <c r="G1107" s="7" t="s">
        <v>94</v>
      </c>
      <c r="H1107" s="7" t="s">
        <v>89</v>
      </c>
      <c r="I1107" s="6" t="s">
        <v>1788</v>
      </c>
      <c r="J1107" s="7" t="s">
        <v>5</v>
      </c>
      <c r="K1107" s="4" t="s">
        <v>10</v>
      </c>
      <c r="L1107" s="4" t="s">
        <v>24</v>
      </c>
      <c r="M1107" s="4" t="s">
        <v>3321</v>
      </c>
      <c r="N1107" s="4"/>
      <c r="O1107" s="89"/>
      <c r="P1107" s="25">
        <v>45929</v>
      </c>
      <c r="Q1107" s="7" t="s">
        <v>1112</v>
      </c>
      <c r="R1107" s="90" t="s">
        <v>2586</v>
      </c>
      <c r="S1107" s="6" t="s">
        <v>1795</v>
      </c>
      <c r="T1107" s="4" t="s">
        <v>81</v>
      </c>
      <c r="U1107" s="4" t="s">
        <v>107</v>
      </c>
      <c r="V1107" s="100">
        <v>99</v>
      </c>
      <c r="W1107" s="85"/>
      <c r="X1107" s="4"/>
      <c r="Y1107" s="4"/>
      <c r="Z1107" s="4"/>
      <c r="AA1107" s="4" t="s">
        <v>85</v>
      </c>
      <c r="AB1107" s="4" t="s">
        <v>4289</v>
      </c>
    </row>
    <row r="1108" spans="1:28">
      <c r="A1108" s="4">
        <v>1107</v>
      </c>
      <c r="B1108" s="5">
        <v>14394550</v>
      </c>
      <c r="C1108" s="5">
        <v>204013685</v>
      </c>
      <c r="D1108" s="115" t="s">
        <v>1374</v>
      </c>
      <c r="E1108" s="4" t="s">
        <v>1375</v>
      </c>
      <c r="F1108" s="7" t="s">
        <v>82</v>
      </c>
      <c r="G1108" s="7" t="s">
        <v>89</v>
      </c>
      <c r="H1108" s="7" t="s">
        <v>90</v>
      </c>
      <c r="I1108" s="6" t="s">
        <v>1788</v>
      </c>
      <c r="J1108" s="7" t="s">
        <v>5</v>
      </c>
      <c r="K1108" s="4" t="s">
        <v>10</v>
      </c>
      <c r="L1108" s="4" t="s">
        <v>24</v>
      </c>
      <c r="M1108" s="4" t="s">
        <v>390</v>
      </c>
      <c r="N1108" s="4" t="s">
        <v>2584</v>
      </c>
      <c r="O1108" s="89"/>
      <c r="P1108" s="25">
        <v>45551</v>
      </c>
      <c r="Q1108" s="7" t="s">
        <v>1192</v>
      </c>
      <c r="R1108" s="90" t="s">
        <v>2586</v>
      </c>
      <c r="S1108" s="6" t="s">
        <v>1795</v>
      </c>
      <c r="T1108" s="4" t="s">
        <v>81</v>
      </c>
      <c r="U1108" s="4" t="s">
        <v>349</v>
      </c>
      <c r="V1108" s="100">
        <v>99</v>
      </c>
      <c r="W1108" s="85">
        <v>45916</v>
      </c>
      <c r="X1108" s="4" t="s">
        <v>1197</v>
      </c>
      <c r="Y1108" s="4">
        <v>586352639</v>
      </c>
      <c r="Z1108" s="4" t="s">
        <v>2201</v>
      </c>
      <c r="AA1108" s="4" t="s">
        <v>85</v>
      </c>
      <c r="AB1108" s="4" t="s">
        <v>4289</v>
      </c>
    </row>
    <row r="1109" spans="1:28">
      <c r="A1109" s="4">
        <v>1108</v>
      </c>
      <c r="B1109" s="4">
        <v>109162</v>
      </c>
      <c r="C1109" s="5">
        <v>205199356</v>
      </c>
      <c r="D1109" s="115" t="s">
        <v>4082</v>
      </c>
      <c r="E1109" s="4" t="s">
        <v>4390</v>
      </c>
      <c r="F1109" s="7" t="s">
        <v>82</v>
      </c>
      <c r="G1109" s="7" t="s">
        <v>90</v>
      </c>
      <c r="H1109" s="7" t="s">
        <v>87</v>
      </c>
      <c r="I1109" s="4" t="s">
        <v>1789</v>
      </c>
      <c r="J1109" s="4" t="s">
        <v>5</v>
      </c>
      <c r="K1109" s="4" t="s">
        <v>10</v>
      </c>
      <c r="L1109" s="4" t="s">
        <v>23</v>
      </c>
      <c r="M1109" s="4" t="s">
        <v>4314</v>
      </c>
      <c r="N1109" s="4"/>
      <c r="O1109" s="4"/>
      <c r="P1109" s="25">
        <v>46238</v>
      </c>
      <c r="Q1109" s="4" t="s">
        <v>1112</v>
      </c>
      <c r="R1109" s="4"/>
      <c r="S1109" s="6" t="s">
        <v>1796</v>
      </c>
      <c r="T1109" s="4" t="s">
        <v>81</v>
      </c>
      <c r="U1109" s="4"/>
      <c r="V1109" s="100">
        <v>99</v>
      </c>
      <c r="W1109" s="4"/>
      <c r="X1109" s="4"/>
      <c r="Y1109" s="4"/>
      <c r="Z1109" s="4"/>
      <c r="AA1109" s="4"/>
      <c r="AB1109" s="4"/>
    </row>
    <row r="1110" spans="1:28">
      <c r="A1110" s="4">
        <v>1109</v>
      </c>
      <c r="B1110" s="5">
        <v>11043570</v>
      </c>
      <c r="C1110" s="5">
        <v>206200800</v>
      </c>
      <c r="D1110" s="115" t="s">
        <v>3010</v>
      </c>
      <c r="E1110" s="4" t="s">
        <v>3011</v>
      </c>
      <c r="F1110" s="7" t="s">
        <v>74</v>
      </c>
      <c r="G1110" s="7" t="s">
        <v>88</v>
      </c>
      <c r="H1110" s="7" t="s">
        <v>94</v>
      </c>
      <c r="I1110" s="7" t="s">
        <v>1789</v>
      </c>
      <c r="J1110" s="7" t="s">
        <v>5</v>
      </c>
      <c r="K1110" s="4" t="s">
        <v>10</v>
      </c>
      <c r="L1110" s="4" t="s">
        <v>24</v>
      </c>
      <c r="M1110" s="4" t="s">
        <v>2741</v>
      </c>
      <c r="N1110" s="4" t="s">
        <v>2584</v>
      </c>
      <c r="O1110" s="89"/>
      <c r="P1110" s="25">
        <v>45936</v>
      </c>
      <c r="Q1110" s="7" t="s">
        <v>1112</v>
      </c>
      <c r="R1110" s="4" t="s">
        <v>3258</v>
      </c>
      <c r="S1110" s="6" t="s">
        <v>3012</v>
      </c>
      <c r="T1110" s="4" t="s">
        <v>81</v>
      </c>
      <c r="U1110" s="4" t="s">
        <v>349</v>
      </c>
      <c r="V1110" s="100">
        <v>99</v>
      </c>
      <c r="W1110" s="85">
        <v>45996</v>
      </c>
      <c r="X1110" s="4" t="s">
        <v>3014</v>
      </c>
      <c r="Y1110" s="4">
        <v>525030157</v>
      </c>
      <c r="Z1110" s="4" t="s">
        <v>3046</v>
      </c>
      <c r="AA1110" s="4" t="s">
        <v>3016</v>
      </c>
      <c r="AB1110" s="4" t="s">
        <v>4289</v>
      </c>
    </row>
    <row r="1111" spans="1:28">
      <c r="A1111" s="4">
        <v>1110</v>
      </c>
      <c r="B1111" s="5">
        <v>14254410</v>
      </c>
      <c r="C1111" s="5">
        <v>205845555</v>
      </c>
      <c r="D1111" s="115" t="s">
        <v>2656</v>
      </c>
      <c r="E1111" s="4" t="s">
        <v>2657</v>
      </c>
      <c r="F1111" s="7" t="s">
        <v>74</v>
      </c>
      <c r="G1111" s="7" t="s">
        <v>89</v>
      </c>
      <c r="H1111" s="7" t="s">
        <v>90</v>
      </c>
      <c r="I1111" s="7" t="s">
        <v>1789</v>
      </c>
      <c r="J1111" s="7" t="s">
        <v>5</v>
      </c>
      <c r="K1111" s="4" t="s">
        <v>10</v>
      </c>
      <c r="L1111" s="4" t="s">
        <v>22</v>
      </c>
      <c r="M1111" s="4" t="s">
        <v>3321</v>
      </c>
      <c r="N1111" s="4"/>
      <c r="O1111" s="89"/>
      <c r="P1111" s="25">
        <v>45894</v>
      </c>
      <c r="Q1111" s="7" t="s">
        <v>1112</v>
      </c>
      <c r="R1111" s="4" t="s">
        <v>3255</v>
      </c>
      <c r="S1111" s="6" t="s">
        <v>1795</v>
      </c>
      <c r="T1111" s="4" t="s">
        <v>81</v>
      </c>
      <c r="U1111" s="4" t="s">
        <v>349</v>
      </c>
      <c r="V1111" s="100">
        <v>99</v>
      </c>
      <c r="W1111" s="85">
        <v>45949</v>
      </c>
      <c r="X1111" s="4" t="s">
        <v>2758</v>
      </c>
      <c r="Y1111" s="4">
        <v>567411459</v>
      </c>
      <c r="Z1111" s="4" t="s">
        <v>2760</v>
      </c>
      <c r="AA1111" s="4" t="s">
        <v>95</v>
      </c>
      <c r="AB1111" s="4" t="s">
        <v>4289</v>
      </c>
    </row>
    <row r="1112" spans="1:28">
      <c r="A1112" s="4">
        <v>1111</v>
      </c>
      <c r="B1112" s="5">
        <v>13651560</v>
      </c>
      <c r="C1112" s="5">
        <v>108019725</v>
      </c>
      <c r="D1112" s="115" t="s">
        <v>451</v>
      </c>
      <c r="E1112" s="4" t="s">
        <v>452</v>
      </c>
      <c r="F1112" s="7" t="s">
        <v>82</v>
      </c>
      <c r="G1112" s="7" t="s">
        <v>90</v>
      </c>
      <c r="H1112" s="7" t="s">
        <v>87</v>
      </c>
      <c r="I1112" s="6" t="s">
        <v>244</v>
      </c>
      <c r="J1112" s="7" t="s">
        <v>5</v>
      </c>
      <c r="K1112" s="4" t="s">
        <v>10</v>
      </c>
      <c r="L1112" s="4" t="s">
        <v>21</v>
      </c>
      <c r="M1112" s="4" t="s">
        <v>374</v>
      </c>
      <c r="N1112" s="4" t="s">
        <v>2583</v>
      </c>
      <c r="O1112" s="89"/>
      <c r="P1112" s="25">
        <v>44757</v>
      </c>
      <c r="Q1112" s="7" t="s">
        <v>1112</v>
      </c>
      <c r="R1112" s="90" t="s">
        <v>3252</v>
      </c>
      <c r="S1112" s="6" t="s">
        <v>1795</v>
      </c>
      <c r="T1112" s="4" t="s">
        <v>92</v>
      </c>
      <c r="U1112" s="4" t="s">
        <v>103</v>
      </c>
      <c r="V1112" s="100">
        <v>3</v>
      </c>
      <c r="W1112" s="85"/>
      <c r="X1112" s="4" t="s">
        <v>3492</v>
      </c>
      <c r="Y1112" s="4">
        <v>0</v>
      </c>
      <c r="Z1112" s="4" t="e">
        <v>#N/A</v>
      </c>
      <c r="AA1112" s="4" t="s">
        <v>1196</v>
      </c>
      <c r="AB1112" s="4" t="s">
        <v>4289</v>
      </c>
    </row>
    <row r="1113" spans="1:28">
      <c r="A1113" s="4">
        <v>1112</v>
      </c>
      <c r="B1113" s="5">
        <v>14597714</v>
      </c>
      <c r="C1113" s="5">
        <v>203908914</v>
      </c>
      <c r="D1113" s="115" t="s">
        <v>1158</v>
      </c>
      <c r="E1113" s="4" t="s">
        <v>1159</v>
      </c>
      <c r="F1113" s="7" t="s">
        <v>82</v>
      </c>
      <c r="G1113" s="7" t="s">
        <v>75</v>
      </c>
      <c r="H1113" s="7" t="s">
        <v>76</v>
      </c>
      <c r="I1113" s="6" t="s">
        <v>1790</v>
      </c>
      <c r="J1113" s="7" t="s">
        <v>5</v>
      </c>
      <c r="K1113" s="4" t="s">
        <v>10</v>
      </c>
      <c r="L1113" s="4" t="s">
        <v>22</v>
      </c>
      <c r="M1113" s="4" t="s">
        <v>3321</v>
      </c>
      <c r="N1113" s="4" t="s">
        <v>2584</v>
      </c>
      <c r="O1113" s="89"/>
      <c r="P1113" s="25">
        <v>45537</v>
      </c>
      <c r="Q1113" s="7" t="s">
        <v>1112</v>
      </c>
      <c r="R1113" s="90" t="s">
        <v>3254</v>
      </c>
      <c r="S1113" s="6" t="s">
        <v>1795</v>
      </c>
      <c r="T1113" s="4" t="s">
        <v>81</v>
      </c>
      <c r="U1113" s="4" t="s">
        <v>107</v>
      </c>
      <c r="V1113" s="100">
        <v>99</v>
      </c>
      <c r="W1113" s="85">
        <v>45593</v>
      </c>
      <c r="X1113" s="4" t="s">
        <v>1216</v>
      </c>
      <c r="Y1113" s="4">
        <v>553354025</v>
      </c>
      <c r="Z1113" s="4" t="s">
        <v>2202</v>
      </c>
      <c r="AA1113" s="4" t="s">
        <v>95</v>
      </c>
      <c r="AB1113" s="4" t="s">
        <v>4289</v>
      </c>
    </row>
    <row r="1114" spans="1:28">
      <c r="A1114" s="4">
        <v>1113</v>
      </c>
      <c r="B1114" s="5">
        <v>12275585</v>
      </c>
      <c r="C1114" s="5">
        <v>204951311</v>
      </c>
      <c r="D1114" s="115" t="s">
        <v>2429</v>
      </c>
      <c r="E1114" s="4" t="s">
        <v>2430</v>
      </c>
      <c r="F1114" s="7" t="s">
        <v>74</v>
      </c>
      <c r="G1114" s="7" t="s">
        <v>89</v>
      </c>
      <c r="H1114" s="7" t="s">
        <v>90</v>
      </c>
      <c r="I1114" s="6" t="s">
        <v>1790</v>
      </c>
      <c r="J1114" s="7" t="s">
        <v>5</v>
      </c>
      <c r="K1114" s="4" t="s">
        <v>10</v>
      </c>
      <c r="L1114" s="4" t="s">
        <v>22</v>
      </c>
      <c r="M1114" s="4" t="s">
        <v>3321</v>
      </c>
      <c r="N1114" s="4" t="s">
        <v>2584</v>
      </c>
      <c r="O1114" s="89"/>
      <c r="P1114" s="25">
        <v>45719</v>
      </c>
      <c r="Q1114" s="7" t="s">
        <v>1112</v>
      </c>
      <c r="R1114" s="90" t="s">
        <v>3254</v>
      </c>
      <c r="S1114" s="6" t="s">
        <v>1795</v>
      </c>
      <c r="T1114" s="4" t="s">
        <v>81</v>
      </c>
      <c r="U1114" s="4" t="s">
        <v>112</v>
      </c>
      <c r="V1114" s="100">
        <v>99</v>
      </c>
      <c r="W1114" s="85">
        <v>45775</v>
      </c>
      <c r="X1114" s="4" t="s">
        <v>1216</v>
      </c>
      <c r="Y1114" s="4">
        <v>558193252</v>
      </c>
      <c r="Z1114" s="4" t="s">
        <v>2445</v>
      </c>
      <c r="AA1114" s="4" t="s">
        <v>1203</v>
      </c>
      <c r="AB1114" s="4" t="s">
        <v>4290</v>
      </c>
    </row>
    <row r="1115" spans="1:28">
      <c r="A1115" s="4">
        <v>1114</v>
      </c>
      <c r="B1115" s="5">
        <v>14253477</v>
      </c>
      <c r="C1115" s="5">
        <v>206137337</v>
      </c>
      <c r="D1115" s="115" t="s">
        <v>2982</v>
      </c>
      <c r="E1115" s="4" t="s">
        <v>2983</v>
      </c>
      <c r="F1115" s="7" t="s">
        <v>82</v>
      </c>
      <c r="G1115" s="7" t="s">
        <v>90</v>
      </c>
      <c r="H1115" s="7" t="s">
        <v>87</v>
      </c>
      <c r="I1115" s="6" t="s">
        <v>1788</v>
      </c>
      <c r="J1115" s="7" t="s">
        <v>5</v>
      </c>
      <c r="K1115" s="4" t="s">
        <v>10</v>
      </c>
      <c r="L1115" s="4" t="s">
        <v>24</v>
      </c>
      <c r="M1115" s="4" t="s">
        <v>390</v>
      </c>
      <c r="N1115" s="4"/>
      <c r="O1115" s="89"/>
      <c r="P1115" s="25">
        <v>45929</v>
      </c>
      <c r="Q1115" s="7" t="s">
        <v>1112</v>
      </c>
      <c r="R1115" s="90" t="s">
        <v>3256</v>
      </c>
      <c r="S1115" s="6" t="s">
        <v>1795</v>
      </c>
      <c r="T1115" s="4" t="s">
        <v>81</v>
      </c>
      <c r="U1115" s="4" t="s">
        <v>107</v>
      </c>
      <c r="V1115" s="100">
        <v>99</v>
      </c>
      <c r="W1115" s="85"/>
      <c r="X1115" s="4"/>
      <c r="Y1115" s="4"/>
      <c r="Z1115" s="4"/>
      <c r="AA1115" s="4" t="s">
        <v>1206</v>
      </c>
      <c r="AB1115" s="4" t="s">
        <v>4290</v>
      </c>
    </row>
    <row r="1116" spans="1:28">
      <c r="A1116" s="4">
        <v>1115</v>
      </c>
      <c r="B1116" s="5">
        <v>12462970</v>
      </c>
      <c r="C1116" s="5">
        <v>203512964</v>
      </c>
      <c r="D1116" s="115" t="s">
        <v>535</v>
      </c>
      <c r="E1116" s="4" t="s">
        <v>536</v>
      </c>
      <c r="F1116" s="7" t="s">
        <v>82</v>
      </c>
      <c r="G1116" s="7" t="s">
        <v>76</v>
      </c>
      <c r="H1116" s="7" t="s">
        <v>88</v>
      </c>
      <c r="I1116" s="6" t="s">
        <v>1788</v>
      </c>
      <c r="J1116" s="7" t="s">
        <v>5</v>
      </c>
      <c r="K1116" s="4" t="s">
        <v>10</v>
      </c>
      <c r="L1116" s="4" t="s">
        <v>24</v>
      </c>
      <c r="M1116" s="4" t="s">
        <v>4314</v>
      </c>
      <c r="N1116" s="4" t="s">
        <v>2584</v>
      </c>
      <c r="O1116" s="89"/>
      <c r="P1116" s="25">
        <v>45463</v>
      </c>
      <c r="Q1116" s="7" t="s">
        <v>1112</v>
      </c>
      <c r="R1116" s="90" t="s">
        <v>3252</v>
      </c>
      <c r="S1116" s="6" t="s">
        <v>1795</v>
      </c>
      <c r="T1116" s="4" t="s">
        <v>92</v>
      </c>
      <c r="U1116" s="4" t="s">
        <v>132</v>
      </c>
      <c r="V1116" s="100">
        <v>99</v>
      </c>
      <c r="W1116" s="85">
        <v>45828</v>
      </c>
      <c r="X1116" s="4" t="s">
        <v>3694</v>
      </c>
      <c r="Y1116" s="4">
        <v>586607430</v>
      </c>
      <c r="Z1116" s="4" t="s">
        <v>2203</v>
      </c>
      <c r="AA1116" s="4" t="s">
        <v>85</v>
      </c>
      <c r="AB1116" s="4" t="s">
        <v>4289</v>
      </c>
    </row>
    <row r="1117" spans="1:28">
      <c r="A1117" s="4">
        <v>1116</v>
      </c>
      <c r="B1117" s="5">
        <v>11429278</v>
      </c>
      <c r="C1117" s="5">
        <v>203908343</v>
      </c>
      <c r="D1117" s="115" t="s">
        <v>1160</v>
      </c>
      <c r="E1117" s="4" t="s">
        <v>1161</v>
      </c>
      <c r="F1117" s="7" t="s">
        <v>82</v>
      </c>
      <c r="G1117" s="7" t="s">
        <v>87</v>
      </c>
      <c r="H1117" s="7" t="s">
        <v>75</v>
      </c>
      <c r="I1117" s="6" t="s">
        <v>1790</v>
      </c>
      <c r="J1117" s="7" t="s">
        <v>5</v>
      </c>
      <c r="K1117" s="4" t="s">
        <v>10</v>
      </c>
      <c r="L1117" s="4" t="s">
        <v>22</v>
      </c>
      <c r="M1117" s="4" t="s">
        <v>374</v>
      </c>
      <c r="N1117" s="4" t="s">
        <v>2584</v>
      </c>
      <c r="O1117" s="89"/>
      <c r="P1117" s="25">
        <v>45537</v>
      </c>
      <c r="Q1117" s="7" t="s">
        <v>1112</v>
      </c>
      <c r="R1117" s="90" t="s">
        <v>3256</v>
      </c>
      <c r="S1117" s="6" t="s">
        <v>1795</v>
      </c>
      <c r="T1117" s="4" t="s">
        <v>81</v>
      </c>
      <c r="U1117" s="4" t="s">
        <v>107</v>
      </c>
      <c r="V1117" s="100">
        <v>99</v>
      </c>
      <c r="W1117" s="85">
        <v>45593</v>
      </c>
      <c r="X1117" s="4" t="s">
        <v>1216</v>
      </c>
      <c r="Y1117" s="4">
        <v>507294617</v>
      </c>
      <c r="Z1117" s="4" t="s">
        <v>2204</v>
      </c>
      <c r="AA1117" s="4" t="s">
        <v>95</v>
      </c>
      <c r="AB1117" s="4" t="s">
        <v>4289</v>
      </c>
    </row>
    <row r="1118" spans="1:28">
      <c r="A1118" s="4">
        <v>1117</v>
      </c>
      <c r="B1118" s="5">
        <v>14836986</v>
      </c>
      <c r="C1118" s="5">
        <v>203881713</v>
      </c>
      <c r="D1118" s="115" t="s">
        <v>1094</v>
      </c>
      <c r="E1118" s="4" t="s">
        <v>1066</v>
      </c>
      <c r="F1118" s="7" t="s">
        <v>74</v>
      </c>
      <c r="G1118" s="7" t="s">
        <v>90</v>
      </c>
      <c r="H1118" s="7" t="s">
        <v>87</v>
      </c>
      <c r="I1118" s="6" t="s">
        <v>1788</v>
      </c>
      <c r="J1118" s="7" t="s">
        <v>5</v>
      </c>
      <c r="K1118" s="4" t="s">
        <v>10</v>
      </c>
      <c r="L1118" s="4" t="s">
        <v>24</v>
      </c>
      <c r="M1118" s="4" t="s">
        <v>3321</v>
      </c>
      <c r="N1118" s="4" t="s">
        <v>2584</v>
      </c>
      <c r="O1118" s="89"/>
      <c r="P1118" s="25">
        <v>45530</v>
      </c>
      <c r="Q1118" s="7" t="s">
        <v>1112</v>
      </c>
      <c r="R1118" s="90" t="s">
        <v>3262</v>
      </c>
      <c r="S1118" s="6" t="s">
        <v>1795</v>
      </c>
      <c r="T1118" s="4" t="s">
        <v>81</v>
      </c>
      <c r="U1118" s="4" t="s">
        <v>349</v>
      </c>
      <c r="V1118" s="100">
        <v>99</v>
      </c>
      <c r="W1118" s="85">
        <v>45895</v>
      </c>
      <c r="X1118" s="4" t="s">
        <v>3690</v>
      </c>
      <c r="Y1118" s="4">
        <v>581375593</v>
      </c>
      <c r="Z1118" s="4" t="s">
        <v>2255</v>
      </c>
      <c r="AA1118" s="4" t="s">
        <v>1198</v>
      </c>
      <c r="AB1118" s="4" t="s">
        <v>4289</v>
      </c>
    </row>
    <row r="1119" spans="1:28">
      <c r="A1119" s="4">
        <v>1118</v>
      </c>
      <c r="B1119" s="4">
        <v>14920034</v>
      </c>
      <c r="C1119" s="5">
        <v>206136735</v>
      </c>
      <c r="D1119" s="115" t="s">
        <v>2928</v>
      </c>
      <c r="E1119" s="4" t="s">
        <v>4382</v>
      </c>
      <c r="F1119" s="7" t="s">
        <v>82</v>
      </c>
      <c r="G1119" s="7" t="s">
        <v>89</v>
      </c>
      <c r="H1119" s="7" t="s">
        <v>90</v>
      </c>
      <c r="I1119" s="4" t="s">
        <v>1789</v>
      </c>
      <c r="J1119" s="4" t="s">
        <v>5</v>
      </c>
      <c r="K1119" s="4" t="s">
        <v>10</v>
      </c>
      <c r="L1119" s="4" t="s">
        <v>23</v>
      </c>
      <c r="M1119" s="4" t="s">
        <v>4314</v>
      </c>
      <c r="N1119" s="4"/>
      <c r="O1119" s="4"/>
      <c r="P1119" s="25">
        <v>46238</v>
      </c>
      <c r="Q1119" s="4" t="s">
        <v>351</v>
      </c>
      <c r="R1119" s="4"/>
      <c r="S1119" s="6" t="s">
        <v>1796</v>
      </c>
      <c r="T1119" s="4" t="s">
        <v>92</v>
      </c>
      <c r="U1119" s="4"/>
      <c r="V1119" s="100">
        <v>99</v>
      </c>
      <c r="W1119" s="4"/>
      <c r="X1119" s="4"/>
      <c r="Y1119" s="4"/>
      <c r="Z1119" s="4"/>
      <c r="AA1119" s="4"/>
      <c r="AB1119" s="4"/>
    </row>
    <row r="1120" spans="1:28">
      <c r="A1120" s="4">
        <v>1119</v>
      </c>
      <c r="B1120" s="5">
        <v>12169788</v>
      </c>
      <c r="C1120" s="5">
        <v>203341958</v>
      </c>
      <c r="D1120" s="115" t="s">
        <v>3054</v>
      </c>
      <c r="E1120" s="4" t="s">
        <v>419</v>
      </c>
      <c r="F1120" s="7" t="s">
        <v>74</v>
      </c>
      <c r="G1120" s="7" t="s">
        <v>76</v>
      </c>
      <c r="H1120" s="7" t="s">
        <v>88</v>
      </c>
      <c r="I1120" s="6" t="s">
        <v>1790</v>
      </c>
      <c r="J1120" s="7" t="s">
        <v>5</v>
      </c>
      <c r="K1120" s="4" t="s">
        <v>10</v>
      </c>
      <c r="L1120" s="4" t="s">
        <v>20</v>
      </c>
      <c r="M1120" s="4" t="s">
        <v>374</v>
      </c>
      <c r="N1120" s="4" t="s">
        <v>2583</v>
      </c>
      <c r="O1120" s="89"/>
      <c r="P1120" s="25">
        <v>45432</v>
      </c>
      <c r="Q1120" s="7" t="s">
        <v>1113</v>
      </c>
      <c r="R1120" s="90" t="s">
        <v>3258</v>
      </c>
      <c r="S1120" s="6" t="s">
        <v>1795</v>
      </c>
      <c r="T1120" s="4" t="s">
        <v>81</v>
      </c>
      <c r="U1120" s="4" t="s">
        <v>349</v>
      </c>
      <c r="V1120" s="100">
        <v>99</v>
      </c>
      <c r="W1120" s="85">
        <v>46162</v>
      </c>
      <c r="X1120" s="4" t="s">
        <v>3474</v>
      </c>
      <c r="Y1120" s="4">
        <v>529199317</v>
      </c>
      <c r="Z1120" s="4" t="s">
        <v>2205</v>
      </c>
      <c r="AA1120" s="4" t="s">
        <v>127</v>
      </c>
      <c r="AB1120" s="4" t="s">
        <v>4290</v>
      </c>
    </row>
    <row r="1121" spans="1:28">
      <c r="A1121" s="4">
        <v>1120</v>
      </c>
      <c r="B1121" s="5">
        <v>11590499</v>
      </c>
      <c r="C1121" s="5">
        <v>203965408</v>
      </c>
      <c r="D1121" s="115" t="s">
        <v>1261</v>
      </c>
      <c r="E1121" s="4" t="s">
        <v>1262</v>
      </c>
      <c r="F1121" s="7" t="s">
        <v>82</v>
      </c>
      <c r="G1121" s="7" t="s">
        <v>89</v>
      </c>
      <c r="H1121" s="7" t="s">
        <v>90</v>
      </c>
      <c r="I1121" s="6" t="s">
        <v>1788</v>
      </c>
      <c r="J1121" s="7" t="s">
        <v>5</v>
      </c>
      <c r="K1121" s="4" t="s">
        <v>10</v>
      </c>
      <c r="L1121" s="4" t="s">
        <v>24</v>
      </c>
      <c r="M1121" s="4" t="s">
        <v>393</v>
      </c>
      <c r="N1121" s="4" t="s">
        <v>2584</v>
      </c>
      <c r="O1121" s="89"/>
      <c r="P1121" s="25">
        <v>45544</v>
      </c>
      <c r="Q1121" s="7" t="s">
        <v>1112</v>
      </c>
      <c r="R1121" s="90" t="s">
        <v>3254</v>
      </c>
      <c r="S1121" s="6" t="s">
        <v>1795</v>
      </c>
      <c r="T1121" s="4" t="s">
        <v>81</v>
      </c>
      <c r="U1121" s="4" t="s">
        <v>3263</v>
      </c>
      <c r="V1121" s="100">
        <v>99</v>
      </c>
      <c r="W1121" s="85">
        <v>45909</v>
      </c>
      <c r="X1121" s="4" t="s">
        <v>3703</v>
      </c>
      <c r="Y1121" s="4">
        <v>506303824</v>
      </c>
      <c r="Z1121" s="4" t="s">
        <v>2206</v>
      </c>
      <c r="AA1121" s="4" t="s">
        <v>1198</v>
      </c>
      <c r="AB1121" s="4" t="s">
        <v>4289</v>
      </c>
    </row>
    <row r="1122" spans="1:28">
      <c r="A1122" s="4">
        <v>1121</v>
      </c>
      <c r="B1122" s="106">
        <v>11903296</v>
      </c>
      <c r="C1122" s="106">
        <v>203993454</v>
      </c>
      <c r="D1122" s="5" t="s">
        <v>1352</v>
      </c>
      <c r="E1122" s="115" t="s">
        <v>1353</v>
      </c>
      <c r="F1122" s="7" t="s">
        <v>82</v>
      </c>
      <c r="G1122" s="7" t="s">
        <v>75</v>
      </c>
      <c r="H1122" s="7" t="s">
        <v>76</v>
      </c>
      <c r="I1122" s="6" t="s">
        <v>1790</v>
      </c>
      <c r="J1122" s="7" t="s">
        <v>5</v>
      </c>
      <c r="K1122" s="4" t="s">
        <v>10</v>
      </c>
      <c r="L1122" s="4" t="s">
        <v>22</v>
      </c>
      <c r="M1122" s="4" t="s">
        <v>4361</v>
      </c>
      <c r="N1122" s="4" t="s">
        <v>2584</v>
      </c>
      <c r="O1122" s="25"/>
      <c r="P1122" s="25">
        <v>45551</v>
      </c>
      <c r="Q1122" s="7" t="s">
        <v>1112</v>
      </c>
      <c r="R1122" s="6" t="s">
        <v>3261</v>
      </c>
      <c r="S1122" s="6" t="s">
        <v>1795</v>
      </c>
      <c r="T1122" s="6" t="s">
        <v>81</v>
      </c>
      <c r="U1122" s="6" t="s">
        <v>107</v>
      </c>
      <c r="V1122" s="100">
        <v>99</v>
      </c>
      <c r="W1122" s="6">
        <v>45607</v>
      </c>
      <c r="X1122" s="6" t="s">
        <v>1216</v>
      </c>
      <c r="Y1122" s="4">
        <v>504248543</v>
      </c>
      <c r="Z1122" s="6" t="s">
        <v>4357</v>
      </c>
      <c r="AA1122" s="6" t="s">
        <v>95</v>
      </c>
      <c r="AB1122" s="4">
        <v>0</v>
      </c>
    </row>
    <row r="1123" spans="1:28">
      <c r="A1123" s="4">
        <v>1122</v>
      </c>
      <c r="B1123" s="5">
        <v>12293274</v>
      </c>
      <c r="C1123" s="5">
        <v>203965497</v>
      </c>
      <c r="D1123" s="115" t="s">
        <v>1273</v>
      </c>
      <c r="E1123" s="4" t="s">
        <v>1274</v>
      </c>
      <c r="F1123" s="7" t="s">
        <v>74</v>
      </c>
      <c r="G1123" s="7" t="s">
        <v>94</v>
      </c>
      <c r="H1123" s="7" t="s">
        <v>89</v>
      </c>
      <c r="I1123" s="6" t="s">
        <v>1788</v>
      </c>
      <c r="J1123" s="7" t="s">
        <v>5</v>
      </c>
      <c r="K1123" s="4" t="s">
        <v>10</v>
      </c>
      <c r="L1123" s="4" t="s">
        <v>24</v>
      </c>
      <c r="M1123" s="4" t="s">
        <v>4314</v>
      </c>
      <c r="N1123" s="4" t="s">
        <v>2584</v>
      </c>
      <c r="O1123" s="89"/>
      <c r="P1123" s="25">
        <v>45544</v>
      </c>
      <c r="Q1123" s="7" t="s">
        <v>1112</v>
      </c>
      <c r="R1123" s="90" t="s">
        <v>3256</v>
      </c>
      <c r="S1123" s="6" t="s">
        <v>1795</v>
      </c>
      <c r="T1123" s="4" t="s">
        <v>81</v>
      </c>
      <c r="U1123" s="4" t="s">
        <v>349</v>
      </c>
      <c r="V1123" s="100">
        <v>99</v>
      </c>
      <c r="W1123" s="85">
        <v>45909</v>
      </c>
      <c r="X1123" s="4" t="s">
        <v>3694</v>
      </c>
      <c r="Y1123" s="4">
        <v>547802326</v>
      </c>
      <c r="Z1123" s="4" t="s">
        <v>2207</v>
      </c>
      <c r="AA1123" s="4" t="s">
        <v>1207</v>
      </c>
      <c r="AB1123" s="4" t="s">
        <v>4289</v>
      </c>
    </row>
    <row r="1124" spans="1:28">
      <c r="A1124" s="4">
        <v>1123</v>
      </c>
      <c r="B1124" s="5">
        <v>15399597</v>
      </c>
      <c r="C1124" s="5">
        <v>204116445</v>
      </c>
      <c r="D1124" s="115" t="s">
        <v>1523</v>
      </c>
      <c r="E1124" s="4" t="s">
        <v>1524</v>
      </c>
      <c r="F1124" s="7" t="s">
        <v>82</v>
      </c>
      <c r="G1124" s="7" t="s">
        <v>94</v>
      </c>
      <c r="H1124" s="7" t="s">
        <v>89</v>
      </c>
      <c r="I1124" s="6" t="s">
        <v>1790</v>
      </c>
      <c r="J1124" s="7" t="s">
        <v>5</v>
      </c>
      <c r="K1124" s="4" t="s">
        <v>10</v>
      </c>
      <c r="L1124" s="4" t="s">
        <v>27</v>
      </c>
      <c r="M1124" s="4" t="s">
        <v>4314</v>
      </c>
      <c r="N1124" s="4" t="s">
        <v>2584</v>
      </c>
      <c r="O1124" s="89"/>
      <c r="P1124" s="25">
        <v>45561</v>
      </c>
      <c r="Q1124" s="7" t="s">
        <v>1192</v>
      </c>
      <c r="R1124" s="90" t="s">
        <v>3255</v>
      </c>
      <c r="S1124" s="6" t="s">
        <v>1795</v>
      </c>
      <c r="T1124" s="4" t="s">
        <v>92</v>
      </c>
      <c r="U1124" s="4" t="s">
        <v>107</v>
      </c>
      <c r="V1124" s="100">
        <v>99</v>
      </c>
      <c r="W1124" s="85">
        <v>46291</v>
      </c>
      <c r="X1124" s="4" t="s">
        <v>3473</v>
      </c>
      <c r="Y1124" s="4">
        <v>558383946</v>
      </c>
      <c r="Z1124" s="4" t="s">
        <v>2208</v>
      </c>
      <c r="AA1124" s="4" t="s">
        <v>85</v>
      </c>
      <c r="AB1124" s="4" t="s">
        <v>4289</v>
      </c>
    </row>
    <row r="1125" spans="1:28">
      <c r="A1125" s="4">
        <v>1124</v>
      </c>
      <c r="B1125" s="5">
        <v>160183</v>
      </c>
      <c r="C1125" s="5">
        <v>204095447</v>
      </c>
      <c r="D1125" s="115" t="s">
        <v>1525</v>
      </c>
      <c r="E1125" s="4" t="s">
        <v>1526</v>
      </c>
      <c r="F1125" s="7" t="s">
        <v>82</v>
      </c>
      <c r="G1125" s="7" t="s">
        <v>89</v>
      </c>
      <c r="H1125" s="7" t="s">
        <v>90</v>
      </c>
      <c r="I1125" s="6" t="s">
        <v>1790</v>
      </c>
      <c r="J1125" s="7" t="s">
        <v>5</v>
      </c>
      <c r="K1125" s="4" t="s">
        <v>10</v>
      </c>
      <c r="L1125" s="4" t="s">
        <v>27</v>
      </c>
      <c r="M1125" s="4" t="s">
        <v>4314</v>
      </c>
      <c r="N1125" s="4" t="s">
        <v>2584</v>
      </c>
      <c r="O1125" s="89"/>
      <c r="P1125" s="25">
        <v>45561</v>
      </c>
      <c r="Q1125" s="7" t="s">
        <v>1113</v>
      </c>
      <c r="R1125" s="90" t="s">
        <v>3255</v>
      </c>
      <c r="S1125" s="6" t="s">
        <v>1795</v>
      </c>
      <c r="T1125" s="4" t="s">
        <v>92</v>
      </c>
      <c r="U1125" s="4" t="s">
        <v>103</v>
      </c>
      <c r="V1125" s="4">
        <v>99</v>
      </c>
      <c r="W1125" s="85">
        <v>46291</v>
      </c>
      <c r="X1125" s="4" t="s">
        <v>3694</v>
      </c>
      <c r="Y1125" s="4">
        <v>582011962</v>
      </c>
      <c r="Z1125" s="4" t="s">
        <v>2209</v>
      </c>
      <c r="AA1125" s="4" t="s">
        <v>85</v>
      </c>
      <c r="AB1125" s="4" t="s">
        <v>4289</v>
      </c>
    </row>
    <row r="1126" spans="1:28">
      <c r="A1126" s="4">
        <v>1125</v>
      </c>
      <c r="B1126" s="5">
        <v>13692594</v>
      </c>
      <c r="C1126" s="5">
        <v>206137339</v>
      </c>
      <c r="D1126" s="115" t="s">
        <v>2984</v>
      </c>
      <c r="E1126" s="4" t="s">
        <v>2985</v>
      </c>
      <c r="F1126" s="7" t="s">
        <v>82</v>
      </c>
      <c r="G1126" s="7" t="s">
        <v>87</v>
      </c>
      <c r="H1126" s="7" t="s">
        <v>75</v>
      </c>
      <c r="I1126" s="6" t="s">
        <v>1788</v>
      </c>
      <c r="J1126" s="7" t="s">
        <v>5</v>
      </c>
      <c r="K1126" s="4" t="s">
        <v>10</v>
      </c>
      <c r="L1126" s="4" t="s">
        <v>24</v>
      </c>
      <c r="M1126" s="4" t="s">
        <v>390</v>
      </c>
      <c r="N1126" s="4"/>
      <c r="O1126" s="89"/>
      <c r="P1126" s="25">
        <v>45929</v>
      </c>
      <c r="Q1126" s="7" t="s">
        <v>1112</v>
      </c>
      <c r="R1126" s="4" t="s">
        <v>3260</v>
      </c>
      <c r="S1126" s="6" t="s">
        <v>1795</v>
      </c>
      <c r="T1126" s="4" t="s">
        <v>92</v>
      </c>
      <c r="U1126" s="4" t="s">
        <v>349</v>
      </c>
      <c r="V1126" s="4">
        <v>99</v>
      </c>
      <c r="W1126" s="85"/>
      <c r="X1126" s="4"/>
      <c r="Y1126" s="4"/>
      <c r="Z1126" s="4"/>
      <c r="AA1126" s="4" t="s">
        <v>1198</v>
      </c>
      <c r="AB1126" s="4" t="s">
        <v>4289</v>
      </c>
    </row>
    <row r="1127" spans="1:28">
      <c r="A1127" s="4">
        <v>1126</v>
      </c>
      <c r="B1127" s="5">
        <v>15232397</v>
      </c>
      <c r="C1127" s="5">
        <v>204052514</v>
      </c>
      <c r="D1127" s="115" t="s">
        <v>1474</v>
      </c>
      <c r="E1127" s="4" t="s">
        <v>1450</v>
      </c>
      <c r="F1127" s="7" t="s">
        <v>74</v>
      </c>
      <c r="G1127" s="7" t="s">
        <v>94</v>
      </c>
      <c r="H1127" s="7" t="s">
        <v>89</v>
      </c>
      <c r="I1127" s="6" t="s">
        <v>1790</v>
      </c>
      <c r="J1127" s="7" t="s">
        <v>5</v>
      </c>
      <c r="K1127" s="4" t="s">
        <v>10</v>
      </c>
      <c r="L1127" s="4" t="s">
        <v>20</v>
      </c>
      <c r="M1127" s="4" t="s">
        <v>3321</v>
      </c>
      <c r="N1127" s="4" t="s">
        <v>2584</v>
      </c>
      <c r="O1127" s="89"/>
      <c r="P1127" s="25">
        <v>45558</v>
      </c>
      <c r="Q1127" s="7" t="s">
        <v>1192</v>
      </c>
      <c r="R1127" s="90" t="s">
        <v>3256</v>
      </c>
      <c r="S1127" s="6" t="s">
        <v>1795</v>
      </c>
      <c r="T1127" s="4" t="s">
        <v>81</v>
      </c>
      <c r="U1127" s="4" t="s">
        <v>107</v>
      </c>
      <c r="V1127" s="4">
        <v>99</v>
      </c>
      <c r="W1127" s="85">
        <v>46288</v>
      </c>
      <c r="X1127" s="4" t="s">
        <v>1215</v>
      </c>
      <c r="Y1127" s="4">
        <v>502305587</v>
      </c>
      <c r="Z1127" s="4" t="s">
        <v>2210</v>
      </c>
      <c r="AA1127" s="4" t="s">
        <v>1194</v>
      </c>
      <c r="AB1127" s="4" t="s">
        <v>4289</v>
      </c>
    </row>
    <row r="1128" spans="1:28">
      <c r="A1128" s="4">
        <v>1127</v>
      </c>
      <c r="B1128" s="106">
        <v>13687491</v>
      </c>
      <c r="C1128" s="106">
        <v>204072899</v>
      </c>
      <c r="D1128" s="5" t="s">
        <v>1466</v>
      </c>
      <c r="E1128" s="115" t="s">
        <v>1443</v>
      </c>
      <c r="F1128" s="7" t="s">
        <v>82</v>
      </c>
      <c r="G1128" s="7" t="s">
        <v>76</v>
      </c>
      <c r="H1128" s="7" t="s">
        <v>88</v>
      </c>
      <c r="I1128" s="6" t="s">
        <v>1790</v>
      </c>
      <c r="J1128" s="7" t="s">
        <v>5</v>
      </c>
      <c r="K1128" s="4" t="s">
        <v>10</v>
      </c>
      <c r="L1128" s="4" t="s">
        <v>22</v>
      </c>
      <c r="M1128" s="4" t="s">
        <v>4361</v>
      </c>
      <c r="N1128" s="4" t="s">
        <v>2584</v>
      </c>
      <c r="O1128" s="25"/>
      <c r="P1128" s="25">
        <v>45558</v>
      </c>
      <c r="Q1128" s="7" t="s">
        <v>1112</v>
      </c>
      <c r="R1128" s="6" t="s">
        <v>3253</v>
      </c>
      <c r="S1128" s="6" t="s">
        <v>1795</v>
      </c>
      <c r="T1128" s="6" t="s">
        <v>81</v>
      </c>
      <c r="U1128" s="6" t="s">
        <v>132</v>
      </c>
      <c r="V1128" s="4">
        <v>99</v>
      </c>
      <c r="W1128" s="6">
        <v>45614</v>
      </c>
      <c r="X1128" s="6" t="s">
        <v>1216</v>
      </c>
      <c r="Y1128" s="4">
        <v>542286470</v>
      </c>
      <c r="Z1128" s="6" t="s">
        <v>4358</v>
      </c>
      <c r="AA1128" s="6" t="s">
        <v>95</v>
      </c>
      <c r="AB1128" s="4">
        <v>0</v>
      </c>
    </row>
    <row r="1129" spans="1:28">
      <c r="A1129" s="4">
        <v>1128</v>
      </c>
      <c r="B1129" s="5">
        <v>13388805</v>
      </c>
      <c r="C1129" s="5">
        <v>106262687</v>
      </c>
      <c r="D1129" s="115" t="s">
        <v>464</v>
      </c>
      <c r="E1129" s="4" t="s">
        <v>465</v>
      </c>
      <c r="F1129" s="7" t="s">
        <v>74</v>
      </c>
      <c r="G1129" s="7" t="s">
        <v>94</v>
      </c>
      <c r="H1129" s="7" t="s">
        <v>89</v>
      </c>
      <c r="I1129" s="6" t="s">
        <v>244</v>
      </c>
      <c r="J1129" s="7" t="s">
        <v>5</v>
      </c>
      <c r="K1129" s="4" t="s">
        <v>10</v>
      </c>
      <c r="L1129" s="4" t="s">
        <v>21</v>
      </c>
      <c r="M1129" s="4" t="s">
        <v>2741</v>
      </c>
      <c r="N1129" s="4" t="s">
        <v>2583</v>
      </c>
      <c r="O1129" s="89"/>
      <c r="P1129" s="25">
        <v>44757</v>
      </c>
      <c r="Q1129" s="7" t="s">
        <v>1113</v>
      </c>
      <c r="R1129" s="90" t="s">
        <v>3254</v>
      </c>
      <c r="S1129" s="6" t="s">
        <v>1795</v>
      </c>
      <c r="T1129" s="4" t="s">
        <v>81</v>
      </c>
      <c r="U1129" s="4" t="s">
        <v>112</v>
      </c>
      <c r="V1129" s="4">
        <v>3</v>
      </c>
      <c r="W1129" s="85"/>
      <c r="X1129" s="4" t="s">
        <v>3473</v>
      </c>
      <c r="Y1129" s="4">
        <v>0</v>
      </c>
      <c r="Z1129" s="4" t="e">
        <v>#N/A</v>
      </c>
      <c r="AA1129" s="4" t="s">
        <v>1194</v>
      </c>
      <c r="AB1129" s="4" t="s">
        <v>4289</v>
      </c>
    </row>
    <row r="1130" spans="1:28">
      <c r="A1130" s="4">
        <v>1129</v>
      </c>
      <c r="B1130" s="5">
        <v>11954398</v>
      </c>
      <c r="C1130" s="5">
        <v>203964997</v>
      </c>
      <c r="D1130" s="115" t="s">
        <v>1297</v>
      </c>
      <c r="E1130" s="4" t="s">
        <v>1298</v>
      </c>
      <c r="F1130" s="7" t="s">
        <v>74</v>
      </c>
      <c r="G1130" s="7" t="s">
        <v>90</v>
      </c>
      <c r="H1130" s="7" t="s">
        <v>87</v>
      </c>
      <c r="I1130" s="6" t="s">
        <v>1790</v>
      </c>
      <c r="J1130" s="7" t="s">
        <v>5</v>
      </c>
      <c r="K1130" s="4" t="s">
        <v>10</v>
      </c>
      <c r="L1130" s="4" t="s">
        <v>20</v>
      </c>
      <c r="M1130" s="4" t="s">
        <v>3321</v>
      </c>
      <c r="N1130" s="4" t="s">
        <v>2584</v>
      </c>
      <c r="O1130" s="89"/>
      <c r="P1130" s="25">
        <v>45544</v>
      </c>
      <c r="Q1130" s="7" t="s">
        <v>1112</v>
      </c>
      <c r="R1130" s="90" t="s">
        <v>3260</v>
      </c>
      <c r="S1130" s="6" t="s">
        <v>1795</v>
      </c>
      <c r="T1130" s="4" t="s">
        <v>81</v>
      </c>
      <c r="U1130" s="4" t="s">
        <v>103</v>
      </c>
      <c r="V1130" s="4">
        <v>99</v>
      </c>
      <c r="W1130" s="85">
        <v>46274</v>
      </c>
      <c r="X1130" s="4" t="s">
        <v>3739</v>
      </c>
      <c r="Y1130" s="4">
        <v>555779091</v>
      </c>
      <c r="Z1130" s="4" t="s">
        <v>2211</v>
      </c>
      <c r="AA1130" s="4" t="s">
        <v>1194</v>
      </c>
      <c r="AB1130" s="4" t="s">
        <v>4289</v>
      </c>
    </row>
    <row r="1131" spans="1:28">
      <c r="A1131" s="4">
        <v>1130</v>
      </c>
      <c r="B1131" s="5">
        <v>14517691</v>
      </c>
      <c r="C1131" s="5">
        <v>205845561</v>
      </c>
      <c r="D1131" s="115" t="s">
        <v>2658</v>
      </c>
      <c r="E1131" s="4" t="s">
        <v>2659</v>
      </c>
      <c r="F1131" s="7" t="s">
        <v>74</v>
      </c>
      <c r="G1131" s="7" t="s">
        <v>88</v>
      </c>
      <c r="H1131" s="7" t="s">
        <v>94</v>
      </c>
      <c r="I1131" s="6" t="s">
        <v>1790</v>
      </c>
      <c r="J1131" s="7" t="s">
        <v>5</v>
      </c>
      <c r="K1131" s="4" t="s">
        <v>10</v>
      </c>
      <c r="L1131" s="4" t="s">
        <v>22</v>
      </c>
      <c r="M1131" s="4" t="s">
        <v>4361</v>
      </c>
      <c r="N1131" s="4"/>
      <c r="O1131" s="89"/>
      <c r="P1131" s="25">
        <v>45894</v>
      </c>
      <c r="Q1131" s="7" t="s">
        <v>1112</v>
      </c>
      <c r="R1131" s="90" t="s">
        <v>3256</v>
      </c>
      <c r="S1131" s="6" t="s">
        <v>1795</v>
      </c>
      <c r="T1131" s="4" t="s">
        <v>81</v>
      </c>
      <c r="U1131" s="4" t="s">
        <v>103</v>
      </c>
      <c r="V1131" s="4">
        <v>99</v>
      </c>
      <c r="W1131" s="85">
        <v>45949</v>
      </c>
      <c r="X1131" s="4" t="s">
        <v>2758</v>
      </c>
      <c r="Y1131" s="4">
        <v>567066805</v>
      </c>
      <c r="Z1131" s="4" t="s">
        <v>2761</v>
      </c>
      <c r="AA1131" s="4" t="s">
        <v>95</v>
      </c>
      <c r="AB1131" s="4" t="s">
        <v>4289</v>
      </c>
    </row>
    <row r="1132" spans="1:28">
      <c r="A1132" s="4">
        <v>1131</v>
      </c>
      <c r="B1132" s="5">
        <v>125939</v>
      </c>
      <c r="C1132" s="5">
        <v>206073368</v>
      </c>
      <c r="D1132" s="115" t="s">
        <v>2880</v>
      </c>
      <c r="E1132" s="4" t="s">
        <v>2901</v>
      </c>
      <c r="F1132" s="7" t="s">
        <v>82</v>
      </c>
      <c r="G1132" s="7" t="s">
        <v>87</v>
      </c>
      <c r="H1132" s="7" t="s">
        <v>75</v>
      </c>
      <c r="I1132" s="6" t="s">
        <v>1788</v>
      </c>
      <c r="J1132" s="7" t="s">
        <v>5</v>
      </c>
      <c r="K1132" s="4" t="s">
        <v>10</v>
      </c>
      <c r="L1132" s="4" t="s">
        <v>24</v>
      </c>
      <c r="M1132" s="4" t="s">
        <v>2741</v>
      </c>
      <c r="N1132" s="4" t="s">
        <v>2584</v>
      </c>
      <c r="O1132" s="89"/>
      <c r="P1132" s="25">
        <v>45922</v>
      </c>
      <c r="Q1132" s="7" t="s">
        <v>1112</v>
      </c>
      <c r="R1132" s="4" t="s">
        <v>3264</v>
      </c>
      <c r="S1132" s="6" t="s">
        <v>1795</v>
      </c>
      <c r="T1132" s="4" t="s">
        <v>81</v>
      </c>
      <c r="U1132" s="4" t="s">
        <v>349</v>
      </c>
      <c r="V1132" s="4">
        <v>99</v>
      </c>
      <c r="W1132" s="85">
        <v>45983</v>
      </c>
      <c r="X1132" s="4" t="s">
        <v>3688</v>
      </c>
      <c r="Y1132" s="4"/>
      <c r="Z1132" s="4"/>
      <c r="AA1132" s="4" t="s">
        <v>85</v>
      </c>
      <c r="AB1132" s="4" t="s">
        <v>4289</v>
      </c>
    </row>
    <row r="1133" spans="1:28" ht="14.5" customHeight="1">
      <c r="A1133" s="4">
        <v>1132</v>
      </c>
      <c r="B1133" s="5">
        <v>12259946</v>
      </c>
      <c r="C1133" s="5">
        <v>206846535</v>
      </c>
      <c r="D1133" s="115" t="s">
        <v>3326</v>
      </c>
      <c r="E1133" s="5" t="s">
        <v>3327</v>
      </c>
      <c r="F1133" s="7" t="s">
        <v>74</v>
      </c>
      <c r="G1133" s="7" t="s">
        <v>76</v>
      </c>
      <c r="H1133" s="7" t="s">
        <v>88</v>
      </c>
      <c r="I1133" s="7" t="s">
        <v>1789</v>
      </c>
      <c r="J1133" s="7" t="s">
        <v>5</v>
      </c>
      <c r="K1133" s="4" t="s">
        <v>10</v>
      </c>
      <c r="L1133" s="5" t="s">
        <v>22</v>
      </c>
      <c r="M1133" s="5" t="s">
        <v>2741</v>
      </c>
      <c r="N1133" s="5" t="s">
        <v>3289</v>
      </c>
      <c r="O1133" s="89"/>
      <c r="P1133" s="25">
        <v>46013</v>
      </c>
      <c r="Q1133" s="7" t="s">
        <v>1112</v>
      </c>
      <c r="R1133" s="90" t="s">
        <v>3254</v>
      </c>
      <c r="S1133" s="5" t="s">
        <v>1795</v>
      </c>
      <c r="T1133" s="5" t="s">
        <v>81</v>
      </c>
      <c r="U1133" s="5"/>
      <c r="V1133" s="5">
        <v>99</v>
      </c>
      <c r="W1133" s="91">
        <v>45648</v>
      </c>
      <c r="X1133" s="5" t="s">
        <v>3290</v>
      </c>
      <c r="Y1133" s="5" t="s">
        <v>3338</v>
      </c>
      <c r="Z1133" s="5" t="s">
        <v>3339</v>
      </c>
      <c r="AA1133" s="4" t="s">
        <v>95</v>
      </c>
      <c r="AB1133" s="4" t="s">
        <v>4289</v>
      </c>
    </row>
    <row r="1134" spans="1:28" ht="14.5" customHeight="1">
      <c r="A1134" s="4">
        <v>1133</v>
      </c>
      <c r="B1134" s="5">
        <v>12546659</v>
      </c>
      <c r="C1134" s="5">
        <v>103868662</v>
      </c>
      <c r="D1134" s="115" t="s">
        <v>468</v>
      </c>
      <c r="E1134" s="4" t="s">
        <v>469</v>
      </c>
      <c r="F1134" s="7" t="s">
        <v>82</v>
      </c>
      <c r="G1134" s="7" t="s">
        <v>76</v>
      </c>
      <c r="H1134" s="7" t="s">
        <v>88</v>
      </c>
      <c r="I1134" s="6" t="s">
        <v>119</v>
      </c>
      <c r="J1134" s="7" t="s">
        <v>5</v>
      </c>
      <c r="K1134" s="4" t="s">
        <v>10</v>
      </c>
      <c r="L1134" s="4" t="s">
        <v>21</v>
      </c>
      <c r="M1134" s="4" t="s">
        <v>4361</v>
      </c>
      <c r="N1134" s="4" t="s">
        <v>2583</v>
      </c>
      <c r="O1134" s="89"/>
      <c r="P1134" s="25">
        <v>44839</v>
      </c>
      <c r="Q1134" s="7" t="s">
        <v>351</v>
      </c>
      <c r="R1134" s="90" t="s">
        <v>3261</v>
      </c>
      <c r="S1134" s="6" t="s">
        <v>1795</v>
      </c>
      <c r="T1134" s="4" t="s">
        <v>81</v>
      </c>
      <c r="U1134" s="4" t="s">
        <v>103</v>
      </c>
      <c r="V1134" s="4">
        <v>1</v>
      </c>
      <c r="W1134" s="85"/>
      <c r="X1134" s="4" t="s">
        <v>3698</v>
      </c>
      <c r="Y1134" s="4">
        <v>0</v>
      </c>
      <c r="Z1134" s="4" t="e">
        <v>#N/A</v>
      </c>
      <c r="AA1134" s="4" t="s">
        <v>127</v>
      </c>
      <c r="AB1134" s="4" t="s">
        <v>4290</v>
      </c>
    </row>
    <row r="1135" spans="1:28" ht="14.5" customHeight="1">
      <c r="A1135" s="4">
        <v>1134</v>
      </c>
      <c r="B1135" s="5">
        <v>11956975</v>
      </c>
      <c r="C1135" s="5">
        <v>106301312</v>
      </c>
      <c r="D1135" s="115" t="s">
        <v>449</v>
      </c>
      <c r="E1135" s="4" t="s">
        <v>450</v>
      </c>
      <c r="F1135" s="7" t="s">
        <v>74</v>
      </c>
      <c r="G1135" s="7" t="s">
        <v>76</v>
      </c>
      <c r="H1135" s="7" t="s">
        <v>88</v>
      </c>
      <c r="I1135" s="6" t="s">
        <v>119</v>
      </c>
      <c r="J1135" s="7" t="s">
        <v>5</v>
      </c>
      <c r="K1135" s="4" t="s">
        <v>10</v>
      </c>
      <c r="L1135" s="4" t="s">
        <v>21</v>
      </c>
      <c r="M1135" s="4" t="s">
        <v>390</v>
      </c>
      <c r="N1135" s="4" t="s">
        <v>2583</v>
      </c>
      <c r="O1135" s="89"/>
      <c r="P1135" s="25">
        <v>44757</v>
      </c>
      <c r="Q1135" s="7" t="s">
        <v>1112</v>
      </c>
      <c r="R1135" s="90" t="s">
        <v>3255</v>
      </c>
      <c r="S1135" s="6" t="s">
        <v>1795</v>
      </c>
      <c r="T1135" s="4" t="s">
        <v>81</v>
      </c>
      <c r="U1135" s="4" t="s">
        <v>107</v>
      </c>
      <c r="V1135" s="4">
        <v>1</v>
      </c>
      <c r="W1135" s="85"/>
      <c r="X1135" s="4" t="s">
        <v>3474</v>
      </c>
      <c r="Y1135" s="4">
        <v>0</v>
      </c>
      <c r="Z1135" s="4" t="e">
        <v>#N/A</v>
      </c>
      <c r="AA1135" s="4" t="s">
        <v>127</v>
      </c>
      <c r="AB1135" s="4" t="s">
        <v>4290</v>
      </c>
    </row>
    <row r="1136" spans="1:28">
      <c r="A1136" s="4">
        <v>1135</v>
      </c>
      <c r="B1136" s="5">
        <v>11329828</v>
      </c>
      <c r="C1136" s="5">
        <v>203965011</v>
      </c>
      <c r="D1136" s="115" t="s">
        <v>1229</v>
      </c>
      <c r="E1136" s="4" t="s">
        <v>1230</v>
      </c>
      <c r="F1136" s="7" t="s">
        <v>82</v>
      </c>
      <c r="G1136" s="7" t="s">
        <v>88</v>
      </c>
      <c r="H1136" s="7" t="s">
        <v>94</v>
      </c>
      <c r="I1136" s="6" t="s">
        <v>1790</v>
      </c>
      <c r="J1136" s="7" t="s">
        <v>5</v>
      </c>
      <c r="K1136" s="4" t="s">
        <v>10</v>
      </c>
      <c r="L1136" s="4" t="s">
        <v>20</v>
      </c>
      <c r="M1136" s="4" t="s">
        <v>4314</v>
      </c>
      <c r="N1136" s="4" t="s">
        <v>2583</v>
      </c>
      <c r="O1136" s="89"/>
      <c r="P1136" s="25">
        <v>45544</v>
      </c>
      <c r="Q1136" s="7" t="s">
        <v>1112</v>
      </c>
      <c r="R1136" s="90" t="s">
        <v>3264</v>
      </c>
      <c r="S1136" s="6" t="s">
        <v>1795</v>
      </c>
      <c r="T1136" s="4" t="s">
        <v>81</v>
      </c>
      <c r="U1136" s="4" t="s">
        <v>349</v>
      </c>
      <c r="V1136" s="4">
        <v>99</v>
      </c>
      <c r="W1136" s="85">
        <v>46274</v>
      </c>
      <c r="X1136" s="4" t="s">
        <v>1215</v>
      </c>
      <c r="Y1136" s="4">
        <v>566218723</v>
      </c>
      <c r="Z1136" s="4" t="s">
        <v>2212</v>
      </c>
      <c r="AA1136" s="4" t="s">
        <v>1194</v>
      </c>
      <c r="AB1136" s="4" t="s">
        <v>4289</v>
      </c>
    </row>
    <row r="1137" spans="1:28">
      <c r="A1137" s="4">
        <v>1136</v>
      </c>
      <c r="B1137" s="5">
        <v>11809094</v>
      </c>
      <c r="C1137" s="5">
        <v>205845557</v>
      </c>
      <c r="D1137" s="115" t="s">
        <v>2660</v>
      </c>
      <c r="E1137" s="4" t="s">
        <v>2661</v>
      </c>
      <c r="F1137" s="7" t="s">
        <v>74</v>
      </c>
      <c r="G1137" s="7" t="s">
        <v>87</v>
      </c>
      <c r="H1137" s="7" t="s">
        <v>75</v>
      </c>
      <c r="I1137" s="7" t="s">
        <v>1789</v>
      </c>
      <c r="J1137" s="7" t="s">
        <v>5</v>
      </c>
      <c r="K1137" s="4" t="s">
        <v>10</v>
      </c>
      <c r="L1137" s="4" t="s">
        <v>22</v>
      </c>
      <c r="M1137" s="4" t="s">
        <v>390</v>
      </c>
      <c r="N1137" s="4"/>
      <c r="O1137" s="89"/>
      <c r="P1137" s="25">
        <v>45894</v>
      </c>
      <c r="Q1137" s="7" t="s">
        <v>1192</v>
      </c>
      <c r="R1137" s="7" t="s">
        <v>3257</v>
      </c>
      <c r="S1137" s="6" t="s">
        <v>1795</v>
      </c>
      <c r="T1137" s="4" t="s">
        <v>81</v>
      </c>
      <c r="U1137" s="4" t="s">
        <v>349</v>
      </c>
      <c r="V1137" s="4">
        <v>99</v>
      </c>
      <c r="W1137" s="85">
        <v>45949</v>
      </c>
      <c r="X1137" s="4" t="s">
        <v>2758</v>
      </c>
      <c r="Y1137" s="4">
        <v>567520028</v>
      </c>
      <c r="Z1137" s="4" t="s">
        <v>2762</v>
      </c>
      <c r="AA1137" s="4" t="s">
        <v>95</v>
      </c>
      <c r="AB1137" s="4" t="s">
        <v>4289</v>
      </c>
    </row>
    <row r="1138" spans="1:28">
      <c r="A1138" s="4">
        <v>1137</v>
      </c>
      <c r="B1138" s="5">
        <v>11319311</v>
      </c>
      <c r="C1138" s="5">
        <v>203993451</v>
      </c>
      <c r="D1138" s="115" t="s">
        <v>1341</v>
      </c>
      <c r="E1138" s="4" t="s">
        <v>1342</v>
      </c>
      <c r="F1138" s="7" t="s">
        <v>82</v>
      </c>
      <c r="G1138" s="7" t="s">
        <v>87</v>
      </c>
      <c r="H1138" s="7" t="s">
        <v>75</v>
      </c>
      <c r="I1138" s="6" t="s">
        <v>1790</v>
      </c>
      <c r="J1138" s="7" t="s">
        <v>5</v>
      </c>
      <c r="K1138" s="4" t="s">
        <v>10</v>
      </c>
      <c r="L1138" s="4" t="s">
        <v>22</v>
      </c>
      <c r="M1138" s="4" t="s">
        <v>3321</v>
      </c>
      <c r="N1138" s="4"/>
      <c r="O1138" s="89"/>
      <c r="P1138" s="25">
        <v>45894</v>
      </c>
      <c r="Q1138" s="7" t="s">
        <v>1112</v>
      </c>
      <c r="R1138" s="90" t="s">
        <v>2586</v>
      </c>
      <c r="S1138" s="6" t="s">
        <v>1795</v>
      </c>
      <c r="T1138" s="4" t="s">
        <v>81</v>
      </c>
      <c r="U1138" s="4" t="s">
        <v>349</v>
      </c>
      <c r="V1138" s="4">
        <v>99</v>
      </c>
      <c r="W1138" s="85">
        <v>45949</v>
      </c>
      <c r="X1138" s="4" t="s">
        <v>2758</v>
      </c>
      <c r="Y1138" s="4">
        <v>557339975</v>
      </c>
      <c r="Z1138" s="4" t="s">
        <v>2788</v>
      </c>
      <c r="AA1138" s="4" t="s">
        <v>95</v>
      </c>
      <c r="AB1138" s="4" t="s">
        <v>4289</v>
      </c>
    </row>
    <row r="1139" spans="1:28">
      <c r="A1139" s="4">
        <v>1138</v>
      </c>
      <c r="B1139" s="5">
        <v>13132902</v>
      </c>
      <c r="C1139" s="5">
        <v>205854086</v>
      </c>
      <c r="D1139" s="115" t="s">
        <v>2720</v>
      </c>
      <c r="E1139" s="4" t="s">
        <v>2721</v>
      </c>
      <c r="F1139" s="7" t="s">
        <v>74</v>
      </c>
      <c r="G1139" s="7" t="s">
        <v>89</v>
      </c>
      <c r="H1139" s="7" t="s">
        <v>90</v>
      </c>
      <c r="I1139" s="7" t="s">
        <v>1789</v>
      </c>
      <c r="J1139" s="7" t="s">
        <v>5</v>
      </c>
      <c r="K1139" s="4" t="s">
        <v>10</v>
      </c>
      <c r="L1139" s="4" t="s">
        <v>23</v>
      </c>
      <c r="M1139" s="4" t="s">
        <v>3321</v>
      </c>
      <c r="N1139" s="4"/>
      <c r="O1139" s="89"/>
      <c r="P1139" s="25">
        <v>45894</v>
      </c>
      <c r="Q1139" s="7" t="s">
        <v>1112</v>
      </c>
      <c r="R1139" s="90" t="s">
        <v>3260</v>
      </c>
      <c r="S1139" s="6" t="s">
        <v>1795</v>
      </c>
      <c r="T1139" s="4" t="s">
        <v>92</v>
      </c>
      <c r="U1139" s="4" t="s">
        <v>349</v>
      </c>
      <c r="V1139" s="4">
        <v>99</v>
      </c>
      <c r="W1139" s="85">
        <v>45949</v>
      </c>
      <c r="X1139" s="4" t="s">
        <v>3527</v>
      </c>
      <c r="Y1139" s="4">
        <v>971509652194</v>
      </c>
      <c r="Z1139" s="4" t="s">
        <v>2780</v>
      </c>
      <c r="AA1139" s="4" t="s">
        <v>85</v>
      </c>
      <c r="AB1139" s="4" t="s">
        <v>4289</v>
      </c>
    </row>
    <row r="1140" spans="1:28">
      <c r="A1140" s="4">
        <v>1139</v>
      </c>
      <c r="B1140" s="5">
        <v>12552714</v>
      </c>
      <c r="C1140" s="5">
        <v>206915790</v>
      </c>
      <c r="D1140" s="115" t="s">
        <v>3853</v>
      </c>
      <c r="E1140" s="4" t="s">
        <v>3676</v>
      </c>
      <c r="F1140" s="7" t="s">
        <v>74</v>
      </c>
      <c r="G1140" s="7" t="s">
        <v>75</v>
      </c>
      <c r="H1140" s="7" t="s">
        <v>76</v>
      </c>
      <c r="I1140" s="7" t="s">
        <v>1789</v>
      </c>
      <c r="J1140" s="7" t="s">
        <v>5</v>
      </c>
      <c r="K1140" s="4" t="s">
        <v>10</v>
      </c>
      <c r="L1140" s="4" t="s">
        <v>22</v>
      </c>
      <c r="M1140" s="4" t="s">
        <v>2741</v>
      </c>
      <c r="N1140" s="4" t="s">
        <v>2584</v>
      </c>
      <c r="O1140" s="89"/>
      <c r="P1140" s="25">
        <v>46034</v>
      </c>
      <c r="Q1140" s="7" t="s">
        <v>1112</v>
      </c>
      <c r="R1140" s="4" t="s">
        <v>3262</v>
      </c>
      <c r="S1140" s="6" t="s">
        <v>1795</v>
      </c>
      <c r="T1140" s="4" t="s">
        <v>81</v>
      </c>
      <c r="U1140" s="4"/>
      <c r="V1140" s="4">
        <v>99</v>
      </c>
      <c r="W1140" s="85">
        <v>46408</v>
      </c>
      <c r="X1140" s="4" t="s">
        <v>3290</v>
      </c>
      <c r="Y1140" s="4">
        <v>525422493</v>
      </c>
      <c r="Z1140" s="4" t="s">
        <v>3682</v>
      </c>
      <c r="AA1140" s="4" t="s">
        <v>3168</v>
      </c>
      <c r="AB1140" s="4" t="s">
        <v>4289</v>
      </c>
    </row>
    <row r="1141" spans="1:28">
      <c r="A1141" s="4">
        <v>1140</v>
      </c>
      <c r="B1141" s="5">
        <v>14392027</v>
      </c>
      <c r="C1141" s="5">
        <v>206915794</v>
      </c>
      <c r="D1141" s="115" t="s">
        <v>3865</v>
      </c>
      <c r="E1141" s="4" t="s">
        <v>3866</v>
      </c>
      <c r="F1141" s="7" t="s">
        <v>82</v>
      </c>
      <c r="G1141" s="7" t="s">
        <v>89</v>
      </c>
      <c r="H1141" s="7" t="s">
        <v>90</v>
      </c>
      <c r="I1141" s="7" t="s">
        <v>1789</v>
      </c>
      <c r="J1141" s="7" t="s">
        <v>5</v>
      </c>
      <c r="K1141" s="7" t="s">
        <v>10</v>
      </c>
      <c r="L1141" s="7" t="s">
        <v>22</v>
      </c>
      <c r="M1141" s="7" t="s">
        <v>3321</v>
      </c>
      <c r="N1141" s="4" t="s">
        <v>2584</v>
      </c>
      <c r="O1141" s="89"/>
      <c r="P1141" s="25">
        <v>46034</v>
      </c>
      <c r="Q1141" s="7" t="s">
        <v>1192</v>
      </c>
      <c r="R1141" s="7" t="s">
        <v>3257</v>
      </c>
      <c r="S1141" s="6" t="s">
        <v>1795</v>
      </c>
      <c r="T1141" s="4" t="s">
        <v>81</v>
      </c>
      <c r="U1141" s="4"/>
      <c r="V1141" s="4">
        <v>99</v>
      </c>
      <c r="W1141" s="85">
        <v>46444</v>
      </c>
      <c r="X1141" s="4" t="s">
        <v>3290</v>
      </c>
      <c r="Y1141" s="4">
        <v>575422452</v>
      </c>
      <c r="Z1141" s="4" t="s">
        <v>3874</v>
      </c>
      <c r="AA1141" s="4" t="s">
        <v>3658</v>
      </c>
      <c r="AB1141" s="4" t="e">
        <v>#N/A</v>
      </c>
    </row>
    <row r="1142" spans="1:28">
      <c r="A1142" s="4">
        <v>1141</v>
      </c>
      <c r="B1142" s="5">
        <v>15146378</v>
      </c>
      <c r="C1142" s="5">
        <v>203555845</v>
      </c>
      <c r="D1142" s="115" t="s">
        <v>430</v>
      </c>
      <c r="E1142" s="4" t="s">
        <v>431</v>
      </c>
      <c r="F1142" s="7" t="s">
        <v>82</v>
      </c>
      <c r="G1142" s="7" t="s">
        <v>87</v>
      </c>
      <c r="H1142" s="7" t="s">
        <v>75</v>
      </c>
      <c r="I1142" s="6" t="s">
        <v>1790</v>
      </c>
      <c r="J1142" s="7" t="s">
        <v>5</v>
      </c>
      <c r="K1142" s="4" t="s">
        <v>10</v>
      </c>
      <c r="L1142" s="4" t="s">
        <v>20</v>
      </c>
      <c r="M1142" s="4" t="s">
        <v>4314</v>
      </c>
      <c r="N1142" s="4" t="s">
        <v>2583</v>
      </c>
      <c r="O1142" s="89"/>
      <c r="P1142" s="25">
        <v>45470</v>
      </c>
      <c r="Q1142" s="7" t="s">
        <v>1112</v>
      </c>
      <c r="R1142" s="90" t="s">
        <v>3261</v>
      </c>
      <c r="S1142" s="6" t="s">
        <v>1795</v>
      </c>
      <c r="T1142" s="4" t="s">
        <v>81</v>
      </c>
      <c r="U1142" s="4" t="s">
        <v>103</v>
      </c>
      <c r="V1142" s="4">
        <v>99</v>
      </c>
      <c r="W1142" s="85">
        <v>46200</v>
      </c>
      <c r="X1142" s="4" t="s">
        <v>3657</v>
      </c>
      <c r="Y1142" s="4">
        <v>589786465</v>
      </c>
      <c r="Z1142" s="4" t="s">
        <v>2213</v>
      </c>
      <c r="AA1142" s="4" t="s">
        <v>1194</v>
      </c>
      <c r="AB1142" s="4" t="s">
        <v>4289</v>
      </c>
    </row>
    <row r="1143" spans="1:28">
      <c r="A1143" s="4">
        <v>1142</v>
      </c>
      <c r="B1143" s="5">
        <v>15085744</v>
      </c>
      <c r="C1143" s="5">
        <v>203964988</v>
      </c>
      <c r="D1143" s="115" t="s">
        <v>1293</v>
      </c>
      <c r="E1143" s="4" t="s">
        <v>1294</v>
      </c>
      <c r="F1143" s="7" t="s">
        <v>74</v>
      </c>
      <c r="G1143" s="7" t="s">
        <v>94</v>
      </c>
      <c r="H1143" s="7" t="s">
        <v>89</v>
      </c>
      <c r="I1143" s="6" t="s">
        <v>1790</v>
      </c>
      <c r="J1143" s="7" t="s">
        <v>5</v>
      </c>
      <c r="K1143" s="4" t="s">
        <v>10</v>
      </c>
      <c r="L1143" s="4" t="s">
        <v>20</v>
      </c>
      <c r="M1143" s="4" t="s">
        <v>3321</v>
      </c>
      <c r="N1143" s="4" t="s">
        <v>2584</v>
      </c>
      <c r="O1143" s="89"/>
      <c r="P1143" s="25">
        <v>45544</v>
      </c>
      <c r="Q1143" s="7" t="s">
        <v>1112</v>
      </c>
      <c r="R1143" s="90" t="s">
        <v>3253</v>
      </c>
      <c r="S1143" s="6" t="s">
        <v>1795</v>
      </c>
      <c r="T1143" s="4" t="s">
        <v>81</v>
      </c>
      <c r="U1143" s="4" t="s">
        <v>107</v>
      </c>
      <c r="V1143" s="4">
        <v>99</v>
      </c>
      <c r="W1143" s="85">
        <v>46274</v>
      </c>
      <c r="X1143" s="4" t="s">
        <v>1215</v>
      </c>
      <c r="Y1143" s="4">
        <v>553023629</v>
      </c>
      <c r="Z1143" s="4" t="s">
        <v>2214</v>
      </c>
      <c r="AA1143" s="4" t="s">
        <v>1194</v>
      </c>
      <c r="AB1143" s="4" t="s">
        <v>4289</v>
      </c>
    </row>
    <row r="1144" spans="1:28">
      <c r="A1144" s="4">
        <v>1143</v>
      </c>
      <c r="B1144" s="5">
        <v>13907352</v>
      </c>
      <c r="C1144" s="5">
        <v>204137704</v>
      </c>
      <c r="D1144" s="115" t="s">
        <v>1583</v>
      </c>
      <c r="E1144" s="4" t="s">
        <v>1549</v>
      </c>
      <c r="F1144" s="7" t="s">
        <v>82</v>
      </c>
      <c r="G1144" s="7" t="s">
        <v>94</v>
      </c>
      <c r="H1144" s="7" t="s">
        <v>89</v>
      </c>
      <c r="I1144" s="6" t="s">
        <v>1790</v>
      </c>
      <c r="J1144" s="7" t="s">
        <v>5</v>
      </c>
      <c r="K1144" s="4" t="s">
        <v>10</v>
      </c>
      <c r="L1144" s="4" t="s">
        <v>27</v>
      </c>
      <c r="M1144" s="4" t="s">
        <v>3321</v>
      </c>
      <c r="N1144" s="4" t="s">
        <v>2583</v>
      </c>
      <c r="O1144" s="89"/>
      <c r="P1144" s="25">
        <v>45565</v>
      </c>
      <c r="Q1144" s="7" t="s">
        <v>1112</v>
      </c>
      <c r="R1144" s="90" t="s">
        <v>3252</v>
      </c>
      <c r="S1144" s="6" t="s">
        <v>1795</v>
      </c>
      <c r="T1144" s="4" t="s">
        <v>81</v>
      </c>
      <c r="U1144" s="4" t="s">
        <v>112</v>
      </c>
      <c r="V1144" s="4">
        <v>99</v>
      </c>
      <c r="W1144" s="85">
        <v>46295</v>
      </c>
      <c r="X1144" s="4" t="s">
        <v>3739</v>
      </c>
      <c r="Y1144" s="4">
        <v>547468434</v>
      </c>
      <c r="Z1144" s="4" t="s">
        <v>1566</v>
      </c>
      <c r="AA1144" s="4" t="s">
        <v>85</v>
      </c>
      <c r="AB1144" s="4" t="s">
        <v>4289</v>
      </c>
    </row>
    <row r="1145" spans="1:28">
      <c r="A1145" s="4">
        <v>1144</v>
      </c>
      <c r="B1145" s="4">
        <v>14679945</v>
      </c>
      <c r="C1145" s="5">
        <v>206136722</v>
      </c>
      <c r="D1145" s="115" t="s">
        <v>2951</v>
      </c>
      <c r="E1145" s="4" t="s">
        <v>2952</v>
      </c>
      <c r="F1145" s="7" t="s">
        <v>82</v>
      </c>
      <c r="G1145" s="7" t="s">
        <v>87</v>
      </c>
      <c r="H1145" s="7" t="s">
        <v>75</v>
      </c>
      <c r="I1145" s="4" t="s">
        <v>1789</v>
      </c>
      <c r="J1145" s="4" t="s">
        <v>5</v>
      </c>
      <c r="K1145" s="4" t="s">
        <v>10</v>
      </c>
      <c r="L1145" s="4" t="s">
        <v>23</v>
      </c>
      <c r="M1145" s="4" t="s">
        <v>4314</v>
      </c>
      <c r="N1145" s="4"/>
      <c r="O1145" s="4"/>
      <c r="P1145" s="25">
        <v>46238</v>
      </c>
      <c r="Q1145" s="4" t="s">
        <v>1113</v>
      </c>
      <c r="R1145" s="4"/>
      <c r="S1145" s="6" t="s">
        <v>1796</v>
      </c>
      <c r="T1145" s="4" t="s">
        <v>92</v>
      </c>
      <c r="U1145" s="4"/>
      <c r="V1145" s="4">
        <v>99</v>
      </c>
      <c r="W1145" s="4"/>
      <c r="X1145" s="4"/>
      <c r="Y1145" s="4"/>
      <c r="Z1145" s="4"/>
      <c r="AA1145" s="4"/>
      <c r="AB1145" s="4"/>
    </row>
    <row r="1146" spans="1:28">
      <c r="A1146" s="4">
        <v>1145</v>
      </c>
      <c r="B1146" s="5">
        <v>13643493</v>
      </c>
      <c r="C1146" s="5">
        <v>206239215</v>
      </c>
      <c r="D1146" s="115" t="s">
        <v>3120</v>
      </c>
      <c r="E1146" s="4" t="s">
        <v>3060</v>
      </c>
      <c r="F1146" s="7" t="s">
        <v>74</v>
      </c>
      <c r="G1146" s="7" t="s">
        <v>90</v>
      </c>
      <c r="H1146" s="7" t="s">
        <v>87</v>
      </c>
      <c r="I1146" s="6" t="s">
        <v>1788</v>
      </c>
      <c r="J1146" s="7" t="s">
        <v>5</v>
      </c>
      <c r="K1146" s="4" t="s">
        <v>10</v>
      </c>
      <c r="L1146" s="4" t="s">
        <v>24</v>
      </c>
      <c r="M1146" s="4" t="s">
        <v>4314</v>
      </c>
      <c r="N1146" s="4" t="s">
        <v>2584</v>
      </c>
      <c r="O1146" s="89"/>
      <c r="P1146" s="25">
        <v>45943</v>
      </c>
      <c r="Q1146" s="7" t="s">
        <v>1112</v>
      </c>
      <c r="R1146" s="4" t="s">
        <v>3258</v>
      </c>
      <c r="S1146" s="6" t="s">
        <v>3012</v>
      </c>
      <c r="T1146" s="4" t="s">
        <v>92</v>
      </c>
      <c r="U1146" s="4" t="s">
        <v>349</v>
      </c>
      <c r="V1146" s="4">
        <v>99</v>
      </c>
      <c r="W1146" s="85" t="s">
        <v>3072</v>
      </c>
      <c r="X1146" s="4" t="s">
        <v>3474</v>
      </c>
      <c r="Y1146" s="4">
        <v>583024243</v>
      </c>
      <c r="Z1146" s="4" t="s">
        <v>3075</v>
      </c>
      <c r="AA1146" s="4" t="s">
        <v>85</v>
      </c>
      <c r="AB1146" s="4" t="s">
        <v>4289</v>
      </c>
    </row>
    <row r="1147" spans="1:28">
      <c r="A1147" s="4">
        <v>1146</v>
      </c>
      <c r="B1147" s="5">
        <v>943</v>
      </c>
      <c r="C1147" s="5">
        <v>206902844</v>
      </c>
      <c r="D1147" s="115" t="s">
        <v>3626</v>
      </c>
      <c r="E1147" s="4" t="s">
        <v>3647</v>
      </c>
      <c r="F1147" s="7" t="s">
        <v>82</v>
      </c>
      <c r="G1147" s="7" t="s">
        <v>89</v>
      </c>
      <c r="H1147" s="7" t="s">
        <v>90</v>
      </c>
      <c r="I1147" s="7" t="s">
        <v>1789</v>
      </c>
      <c r="J1147" s="6" t="s">
        <v>5</v>
      </c>
      <c r="K1147" s="6" t="s">
        <v>10</v>
      </c>
      <c r="L1147" s="4" t="s">
        <v>22</v>
      </c>
      <c r="M1147" s="4" t="s">
        <v>3321</v>
      </c>
      <c r="N1147" s="4" t="s">
        <v>2584</v>
      </c>
      <c r="O1147" s="89"/>
      <c r="P1147" s="25">
        <v>46030</v>
      </c>
      <c r="Q1147" s="7" t="s">
        <v>1112</v>
      </c>
      <c r="R1147" s="4" t="s">
        <v>3261</v>
      </c>
      <c r="S1147" s="6" t="s">
        <v>1795</v>
      </c>
      <c r="T1147" s="4" t="s">
        <v>81</v>
      </c>
      <c r="U1147" s="4"/>
      <c r="V1147" s="4">
        <v>99</v>
      </c>
      <c r="W1147" s="85">
        <v>46395</v>
      </c>
      <c r="X1147" s="4" t="s">
        <v>3290</v>
      </c>
      <c r="Y1147" s="4">
        <v>553164587</v>
      </c>
      <c r="Z1147" s="4" t="s">
        <v>3669</v>
      </c>
      <c r="AA1147" s="4" t="s">
        <v>3658</v>
      </c>
      <c r="AB1147" s="4" t="e">
        <v>#N/A</v>
      </c>
    </row>
    <row r="1148" spans="1:28">
      <c r="A1148" s="4">
        <v>1147</v>
      </c>
      <c r="B1148" s="5">
        <v>14129080</v>
      </c>
      <c r="C1148" s="5">
        <v>203911200</v>
      </c>
      <c r="D1148" s="115" t="s">
        <v>1162</v>
      </c>
      <c r="E1148" s="4" t="s">
        <v>1163</v>
      </c>
      <c r="F1148" s="7" t="s">
        <v>82</v>
      </c>
      <c r="G1148" s="7" t="s">
        <v>94</v>
      </c>
      <c r="H1148" s="7" t="s">
        <v>89</v>
      </c>
      <c r="I1148" s="6" t="s">
        <v>1790</v>
      </c>
      <c r="J1148" s="7" t="s">
        <v>5</v>
      </c>
      <c r="K1148" s="4" t="s">
        <v>10</v>
      </c>
      <c r="L1148" s="4" t="s">
        <v>20</v>
      </c>
      <c r="M1148" s="4" t="s">
        <v>3321</v>
      </c>
      <c r="N1148" s="4" t="s">
        <v>2584</v>
      </c>
      <c r="O1148" s="89"/>
      <c r="P1148" s="25">
        <v>45537</v>
      </c>
      <c r="Q1148" s="7" t="s">
        <v>1113</v>
      </c>
      <c r="R1148" s="90" t="s">
        <v>3258</v>
      </c>
      <c r="S1148" s="6" t="s">
        <v>1795</v>
      </c>
      <c r="T1148" s="4" t="s">
        <v>81</v>
      </c>
      <c r="U1148" s="4" t="s">
        <v>103</v>
      </c>
      <c r="V1148" s="4">
        <v>99</v>
      </c>
      <c r="W1148" s="85">
        <v>46267</v>
      </c>
      <c r="X1148" s="4" t="s">
        <v>1215</v>
      </c>
      <c r="Y1148" s="4">
        <v>501845798</v>
      </c>
      <c r="Z1148" s="4" t="s">
        <v>2215</v>
      </c>
      <c r="AA1148" s="4" t="s">
        <v>1194</v>
      </c>
      <c r="AB1148" s="4" t="s">
        <v>4289</v>
      </c>
    </row>
    <row r="1149" spans="1:28" ht="14.5" customHeight="1">
      <c r="A1149" s="4">
        <v>1148</v>
      </c>
      <c r="B1149" s="106">
        <v>13486574</v>
      </c>
      <c r="C1149" s="106">
        <v>205845559</v>
      </c>
      <c r="D1149" s="5" t="s">
        <v>2744</v>
      </c>
      <c r="E1149" s="115" t="s">
        <v>2745</v>
      </c>
      <c r="F1149" s="7" t="s">
        <v>82</v>
      </c>
      <c r="G1149" s="7" t="s">
        <v>87</v>
      </c>
      <c r="H1149" s="7" t="s">
        <v>75</v>
      </c>
      <c r="I1149" s="6" t="s">
        <v>1790</v>
      </c>
      <c r="J1149" s="7" t="s">
        <v>5</v>
      </c>
      <c r="K1149" s="4" t="s">
        <v>10</v>
      </c>
      <c r="L1149" s="4" t="s">
        <v>22</v>
      </c>
      <c r="M1149" s="4" t="s">
        <v>2741</v>
      </c>
      <c r="N1149" s="4"/>
      <c r="O1149" s="25"/>
      <c r="P1149" s="25">
        <v>45894</v>
      </c>
      <c r="Q1149" s="7" t="s">
        <v>1112</v>
      </c>
      <c r="R1149" s="6" t="s">
        <v>3256</v>
      </c>
      <c r="S1149" s="6" t="s">
        <v>1795</v>
      </c>
      <c r="T1149" s="6" t="s">
        <v>81</v>
      </c>
      <c r="U1149" s="6" t="s">
        <v>103</v>
      </c>
      <c r="V1149" s="4">
        <v>99</v>
      </c>
      <c r="W1149" s="6">
        <v>45949</v>
      </c>
      <c r="X1149" s="6" t="s">
        <v>2758</v>
      </c>
      <c r="Y1149" s="4">
        <v>567875800</v>
      </c>
      <c r="Z1149" s="6" t="s">
        <v>4359</v>
      </c>
      <c r="AA1149" s="6" t="s">
        <v>95</v>
      </c>
      <c r="AB1149" s="4">
        <v>0</v>
      </c>
    </row>
    <row r="1150" spans="1:28">
      <c r="A1150" s="4">
        <v>1149</v>
      </c>
      <c r="B1150" s="106">
        <v>11853770</v>
      </c>
      <c r="C1150" s="106">
        <v>204009364</v>
      </c>
      <c r="D1150" s="5" t="s">
        <v>1356</v>
      </c>
      <c r="E1150" s="115" t="s">
        <v>1357</v>
      </c>
      <c r="F1150" s="7" t="s">
        <v>82</v>
      </c>
      <c r="G1150" s="7" t="s">
        <v>90</v>
      </c>
      <c r="H1150" s="7" t="s">
        <v>87</v>
      </c>
      <c r="I1150" s="7" t="s">
        <v>1789</v>
      </c>
      <c r="J1150" s="7" t="s">
        <v>5</v>
      </c>
      <c r="K1150" s="4" t="s">
        <v>10</v>
      </c>
      <c r="L1150" s="4" t="s">
        <v>22</v>
      </c>
      <c r="M1150" s="4" t="s">
        <v>4361</v>
      </c>
      <c r="N1150" s="4" t="s">
        <v>2584</v>
      </c>
      <c r="O1150" s="25"/>
      <c r="P1150" s="25">
        <v>45551</v>
      </c>
      <c r="Q1150" s="7" t="s">
        <v>1112</v>
      </c>
      <c r="R1150" s="6" t="s">
        <v>3257</v>
      </c>
      <c r="S1150" s="6" t="s">
        <v>1795</v>
      </c>
      <c r="T1150" s="6" t="s">
        <v>81</v>
      </c>
      <c r="U1150" s="6" t="s">
        <v>103</v>
      </c>
      <c r="V1150" s="4">
        <v>99</v>
      </c>
      <c r="W1150" s="6">
        <v>45607</v>
      </c>
      <c r="X1150" s="6" t="s">
        <v>1216</v>
      </c>
      <c r="Y1150" s="4">
        <v>585242199</v>
      </c>
      <c r="Z1150" s="6" t="s">
        <v>4360</v>
      </c>
      <c r="AA1150" s="6" t="s">
        <v>95</v>
      </c>
      <c r="AB1150" s="4">
        <v>0</v>
      </c>
    </row>
    <row r="1151" spans="1:28">
      <c r="A1151" s="4">
        <v>1150</v>
      </c>
      <c r="B1151" s="4">
        <v>12120262</v>
      </c>
      <c r="C1151" s="4">
        <v>206192237</v>
      </c>
      <c r="D1151" s="115" t="s">
        <v>3030</v>
      </c>
      <c r="E1151" s="4" t="s">
        <v>3031</v>
      </c>
      <c r="F1151" s="7" t="s">
        <v>82</v>
      </c>
      <c r="G1151" s="7" t="s">
        <v>89</v>
      </c>
      <c r="H1151" s="7" t="s">
        <v>90</v>
      </c>
      <c r="I1151" s="4" t="s">
        <v>1789</v>
      </c>
      <c r="J1151" s="4" t="s">
        <v>5</v>
      </c>
      <c r="K1151" s="4" t="s">
        <v>10</v>
      </c>
      <c r="L1151" s="4" t="s">
        <v>23</v>
      </c>
      <c r="M1151" s="4" t="s">
        <v>390</v>
      </c>
      <c r="N1151" s="4"/>
      <c r="O1151" s="4"/>
      <c r="P1151" s="25">
        <v>46226</v>
      </c>
      <c r="Q1151" s="4" t="s">
        <v>1112</v>
      </c>
      <c r="R1151" s="90" t="s">
        <v>3254</v>
      </c>
      <c r="S1151" s="6" t="s">
        <v>1796</v>
      </c>
      <c r="T1151" s="4" t="s">
        <v>92</v>
      </c>
      <c r="U1151" s="4"/>
      <c r="V1151" s="4">
        <v>99</v>
      </c>
      <c r="W1151" s="4"/>
      <c r="X1151" s="4" t="s">
        <v>3979</v>
      </c>
      <c r="Y1151" s="4" t="s">
        <v>4367</v>
      </c>
      <c r="Z1151" s="4" t="s">
        <v>4368</v>
      </c>
      <c r="AA1151" s="4" t="s">
        <v>1204</v>
      </c>
      <c r="AB1151" s="4"/>
    </row>
    <row r="1152" spans="1:28">
      <c r="A1152" s="4">
        <v>1151</v>
      </c>
      <c r="B1152" s="5">
        <v>14997356</v>
      </c>
      <c r="C1152" s="5">
        <v>203881697</v>
      </c>
      <c r="D1152" s="115" t="s">
        <v>1070</v>
      </c>
      <c r="E1152" s="4" t="s">
        <v>1071</v>
      </c>
      <c r="F1152" s="7" t="s">
        <v>82</v>
      </c>
      <c r="G1152" s="7" t="s">
        <v>87</v>
      </c>
      <c r="H1152" s="7" t="s">
        <v>75</v>
      </c>
      <c r="I1152" s="6" t="s">
        <v>1788</v>
      </c>
      <c r="J1152" s="7" t="s">
        <v>5</v>
      </c>
      <c r="K1152" s="4" t="s">
        <v>10</v>
      </c>
      <c r="L1152" s="4" t="s">
        <v>24</v>
      </c>
      <c r="M1152" s="4" t="s">
        <v>393</v>
      </c>
      <c r="N1152" s="4" t="s">
        <v>2584</v>
      </c>
      <c r="O1152" s="89"/>
      <c r="P1152" s="25">
        <v>45530</v>
      </c>
      <c r="Q1152" s="7" t="s">
        <v>351</v>
      </c>
      <c r="R1152" s="90" t="s">
        <v>3254</v>
      </c>
      <c r="S1152" s="6" t="s">
        <v>1795</v>
      </c>
      <c r="T1152" s="4" t="s">
        <v>81</v>
      </c>
      <c r="U1152" s="4" t="s">
        <v>112</v>
      </c>
      <c r="V1152" s="4">
        <v>99</v>
      </c>
      <c r="W1152" s="85">
        <v>45895</v>
      </c>
      <c r="X1152" s="4" t="s">
        <v>3690</v>
      </c>
      <c r="Y1152" s="4">
        <v>529495166</v>
      </c>
      <c r="Z1152" s="4" t="s">
        <v>2216</v>
      </c>
      <c r="AA1152" s="4" t="s">
        <v>1203</v>
      </c>
      <c r="AB1152" s="4" t="s">
        <v>4289</v>
      </c>
    </row>
    <row r="1153" spans="1:28">
      <c r="A1153" s="4">
        <v>1152</v>
      </c>
      <c r="B1153" s="4">
        <v>12707739</v>
      </c>
      <c r="C1153" s="5">
        <v>206897671</v>
      </c>
      <c r="D1153" s="115" t="s">
        <v>3631</v>
      </c>
      <c r="E1153" s="4" t="s">
        <v>4380</v>
      </c>
      <c r="F1153" s="7" t="s">
        <v>82</v>
      </c>
      <c r="G1153" s="7" t="s">
        <v>89</v>
      </c>
      <c r="H1153" s="7" t="s">
        <v>90</v>
      </c>
      <c r="I1153" s="4" t="s">
        <v>1789</v>
      </c>
      <c r="J1153" s="4" t="s">
        <v>5</v>
      </c>
      <c r="K1153" s="4" t="s">
        <v>10</v>
      </c>
      <c r="L1153" s="4" t="s">
        <v>24</v>
      </c>
      <c r="M1153" s="4" t="s">
        <v>374</v>
      </c>
      <c r="N1153" s="4"/>
      <c r="O1153" s="4"/>
      <c r="P1153" s="25">
        <v>46238</v>
      </c>
      <c r="Q1153" s="4" t="s">
        <v>351</v>
      </c>
      <c r="R1153" s="4"/>
      <c r="S1153" s="6" t="s">
        <v>1796</v>
      </c>
      <c r="T1153" s="4" t="s">
        <v>81</v>
      </c>
      <c r="U1153" s="4"/>
      <c r="V1153" s="4">
        <v>99</v>
      </c>
      <c r="W1153" s="4"/>
      <c r="X1153" s="4"/>
      <c r="Y1153" s="4"/>
      <c r="Z1153" s="4"/>
      <c r="AA1153" s="4"/>
      <c r="AB1153" s="4"/>
    </row>
    <row r="1154" spans="1:28">
      <c r="A1154" s="4">
        <v>1153</v>
      </c>
      <c r="B1154" s="5">
        <v>12849070</v>
      </c>
      <c r="C1154" s="5">
        <v>206902847</v>
      </c>
      <c r="D1154" s="115" t="s">
        <v>3625</v>
      </c>
      <c r="E1154" s="4" t="s">
        <v>3646</v>
      </c>
      <c r="F1154" s="7" t="s">
        <v>74</v>
      </c>
      <c r="G1154" s="7" t="s">
        <v>89</v>
      </c>
      <c r="H1154" s="7" t="s">
        <v>90</v>
      </c>
      <c r="I1154" s="7" t="s">
        <v>1789</v>
      </c>
      <c r="J1154" s="6" t="s">
        <v>5</v>
      </c>
      <c r="K1154" s="6" t="s">
        <v>10</v>
      </c>
      <c r="L1154" s="4" t="s">
        <v>22</v>
      </c>
      <c r="M1154" s="4" t="s">
        <v>3321</v>
      </c>
      <c r="N1154" s="4" t="s">
        <v>2584</v>
      </c>
      <c r="O1154" s="89"/>
      <c r="P1154" s="25">
        <v>46030</v>
      </c>
      <c r="Q1154" s="7" t="s">
        <v>1112</v>
      </c>
      <c r="R1154" s="90" t="s">
        <v>3254</v>
      </c>
      <c r="S1154" s="6" t="s">
        <v>1795</v>
      </c>
      <c r="T1154" s="4" t="s">
        <v>81</v>
      </c>
      <c r="U1154" s="4"/>
      <c r="V1154" s="4">
        <v>99</v>
      </c>
      <c r="W1154" s="85">
        <v>46395</v>
      </c>
      <c r="X1154" s="4" t="s">
        <v>3290</v>
      </c>
      <c r="Y1154" s="4">
        <v>562134658</v>
      </c>
      <c r="Z1154" s="4" t="s">
        <v>3668</v>
      </c>
      <c r="AA1154" s="4" t="s">
        <v>3658</v>
      </c>
      <c r="AB1154" s="4" t="e">
        <v>#N/A</v>
      </c>
    </row>
    <row r="1155" spans="1:28">
      <c r="A1155" s="4">
        <v>1154</v>
      </c>
      <c r="B1155" s="5">
        <v>14686079</v>
      </c>
      <c r="C1155" s="5">
        <v>203908342</v>
      </c>
      <c r="D1155" s="115" t="s">
        <v>1164</v>
      </c>
      <c r="E1155" s="4" t="s">
        <v>1165</v>
      </c>
      <c r="F1155" s="7" t="s">
        <v>82</v>
      </c>
      <c r="G1155" s="7" t="s">
        <v>88</v>
      </c>
      <c r="H1155" s="7" t="s">
        <v>94</v>
      </c>
      <c r="I1155" s="6" t="s">
        <v>1790</v>
      </c>
      <c r="J1155" s="7" t="s">
        <v>5</v>
      </c>
      <c r="K1155" s="4" t="s">
        <v>10</v>
      </c>
      <c r="L1155" s="4" t="s">
        <v>22</v>
      </c>
      <c r="M1155" s="4" t="s">
        <v>4314</v>
      </c>
      <c r="N1155" s="4" t="s">
        <v>2584</v>
      </c>
      <c r="O1155" s="89"/>
      <c r="P1155" s="25">
        <v>45537</v>
      </c>
      <c r="Q1155" s="7" t="s">
        <v>1112</v>
      </c>
      <c r="R1155" s="90" t="s">
        <v>3262</v>
      </c>
      <c r="S1155" s="6" t="s">
        <v>1795</v>
      </c>
      <c r="T1155" s="4" t="s">
        <v>81</v>
      </c>
      <c r="U1155" s="4" t="s">
        <v>112</v>
      </c>
      <c r="V1155" s="4">
        <v>99</v>
      </c>
      <c r="W1155" s="85">
        <v>45593</v>
      </c>
      <c r="X1155" s="4" t="s">
        <v>1216</v>
      </c>
      <c r="Y1155" s="4">
        <v>558766832</v>
      </c>
      <c r="Z1155" s="4" t="s">
        <v>2217</v>
      </c>
      <c r="AA1155" s="4" t="s">
        <v>95</v>
      </c>
      <c r="AB1155" s="4" t="s">
        <v>4290</v>
      </c>
    </row>
    <row r="1156" spans="1:28">
      <c r="A1156" s="4">
        <v>1155</v>
      </c>
      <c r="B1156" s="5">
        <v>12201194</v>
      </c>
      <c r="C1156" s="5">
        <v>204095810</v>
      </c>
      <c r="D1156" s="115" t="s">
        <v>1535</v>
      </c>
      <c r="E1156" s="4" t="s">
        <v>1536</v>
      </c>
      <c r="F1156" s="7" t="s">
        <v>82</v>
      </c>
      <c r="G1156" s="7" t="s">
        <v>94</v>
      </c>
      <c r="H1156" s="7" t="s">
        <v>89</v>
      </c>
      <c r="I1156" s="6" t="s">
        <v>1790</v>
      </c>
      <c r="J1156" s="7" t="s">
        <v>5</v>
      </c>
      <c r="K1156" s="4" t="s">
        <v>10</v>
      </c>
      <c r="L1156" s="4" t="s">
        <v>27</v>
      </c>
      <c r="M1156" s="4" t="s">
        <v>374</v>
      </c>
      <c r="N1156" s="4" t="s">
        <v>2584</v>
      </c>
      <c r="O1156" s="89"/>
      <c r="P1156" s="25">
        <v>45561</v>
      </c>
      <c r="Q1156" s="7" t="s">
        <v>351</v>
      </c>
      <c r="R1156" s="90" t="s">
        <v>3260</v>
      </c>
      <c r="S1156" s="6" t="s">
        <v>1795</v>
      </c>
      <c r="T1156" s="4" t="s">
        <v>81</v>
      </c>
      <c r="U1156" s="4" t="s">
        <v>103</v>
      </c>
      <c r="V1156" s="4">
        <v>99</v>
      </c>
      <c r="W1156" s="85">
        <v>46291</v>
      </c>
      <c r="X1156" s="4" t="s">
        <v>3703</v>
      </c>
      <c r="Y1156" s="4">
        <v>529446140</v>
      </c>
      <c r="Z1156" s="4" t="s">
        <v>2218</v>
      </c>
      <c r="AA1156" s="4" t="s">
        <v>2270</v>
      </c>
      <c r="AB1156" s="4" t="s">
        <v>4289</v>
      </c>
    </row>
    <row r="1157" spans="1:28">
      <c r="A1157" s="4">
        <v>1156</v>
      </c>
      <c r="B1157" s="5">
        <v>11763</v>
      </c>
      <c r="C1157" s="5">
        <v>206902848</v>
      </c>
      <c r="D1157" s="115" t="s">
        <v>3623</v>
      </c>
      <c r="E1157" s="4" t="s">
        <v>3644</v>
      </c>
      <c r="F1157" s="7" t="s">
        <v>82</v>
      </c>
      <c r="G1157" s="7" t="s">
        <v>89</v>
      </c>
      <c r="H1157" s="7" t="s">
        <v>90</v>
      </c>
      <c r="I1157" s="7" t="s">
        <v>1789</v>
      </c>
      <c r="J1157" s="6" t="s">
        <v>5</v>
      </c>
      <c r="K1157" s="6" t="s">
        <v>10</v>
      </c>
      <c r="L1157" s="4" t="s">
        <v>22</v>
      </c>
      <c r="M1157" s="4" t="s">
        <v>3321</v>
      </c>
      <c r="N1157" s="4" t="s">
        <v>2584</v>
      </c>
      <c r="O1157" s="89"/>
      <c r="P1157" s="25">
        <v>46030</v>
      </c>
      <c r="Q1157" s="7" t="s">
        <v>1112</v>
      </c>
      <c r="R1157" s="4" t="s">
        <v>3255</v>
      </c>
      <c r="S1157" s="6" t="s">
        <v>1795</v>
      </c>
      <c r="T1157" s="4" t="s">
        <v>81</v>
      </c>
      <c r="U1157" s="4"/>
      <c r="V1157" s="4">
        <v>99</v>
      </c>
      <c r="W1157" s="85">
        <v>46395</v>
      </c>
      <c r="X1157" s="4" t="s">
        <v>3290</v>
      </c>
      <c r="Y1157" s="4">
        <v>562346879</v>
      </c>
      <c r="Z1157" s="4" t="s">
        <v>3666</v>
      </c>
      <c r="AA1157" s="4" t="s">
        <v>3658</v>
      </c>
      <c r="AB1157" s="4" t="e">
        <v>#N/A</v>
      </c>
    </row>
    <row r="1158" spans="1:28">
      <c r="A1158" s="4">
        <v>1157</v>
      </c>
      <c r="B1158" s="5">
        <v>14491832</v>
      </c>
      <c r="C1158" s="5">
        <v>205845554</v>
      </c>
      <c r="D1158" s="115" t="s">
        <v>2662</v>
      </c>
      <c r="E1158" s="4" t="s">
        <v>2663</v>
      </c>
      <c r="F1158" s="7" t="s">
        <v>74</v>
      </c>
      <c r="G1158" s="7" t="s">
        <v>87</v>
      </c>
      <c r="H1158" s="7" t="s">
        <v>75</v>
      </c>
      <c r="I1158" s="6" t="s">
        <v>1790</v>
      </c>
      <c r="J1158" s="7" t="s">
        <v>5</v>
      </c>
      <c r="K1158" s="4" t="s">
        <v>10</v>
      </c>
      <c r="L1158" s="4" t="s">
        <v>22</v>
      </c>
      <c r="M1158" s="4" t="s">
        <v>390</v>
      </c>
      <c r="N1158" s="4"/>
      <c r="O1158" s="89"/>
      <c r="P1158" s="25">
        <v>45894</v>
      </c>
      <c r="Q1158" s="7" t="s">
        <v>1192</v>
      </c>
      <c r="R1158" s="90" t="s">
        <v>3264</v>
      </c>
      <c r="S1158" s="6" t="s">
        <v>1795</v>
      </c>
      <c r="T1158" s="4" t="s">
        <v>81</v>
      </c>
      <c r="U1158" s="4" t="s">
        <v>112</v>
      </c>
      <c r="V1158" s="4">
        <v>99</v>
      </c>
      <c r="W1158" s="85">
        <v>45949</v>
      </c>
      <c r="X1158" s="4" t="s">
        <v>2758</v>
      </c>
      <c r="Y1158" s="4">
        <v>567372832</v>
      </c>
      <c r="Z1158" s="4" t="s">
        <v>2763</v>
      </c>
      <c r="AA1158" s="4" t="s">
        <v>95</v>
      </c>
      <c r="AB1158" s="4" t="s">
        <v>4290</v>
      </c>
    </row>
    <row r="1159" spans="1:28">
      <c r="A1159" s="4">
        <v>1158</v>
      </c>
      <c r="B1159" s="5">
        <v>12768178</v>
      </c>
      <c r="C1159" s="5">
        <v>104033277</v>
      </c>
      <c r="D1159" s="115" t="s">
        <v>437</v>
      </c>
      <c r="E1159" s="4" t="s">
        <v>438</v>
      </c>
      <c r="F1159" s="7" t="s">
        <v>74</v>
      </c>
      <c r="G1159" s="7" t="s">
        <v>88</v>
      </c>
      <c r="H1159" s="7" t="s">
        <v>94</v>
      </c>
      <c r="I1159" s="6" t="s">
        <v>119</v>
      </c>
      <c r="J1159" s="7" t="s">
        <v>5</v>
      </c>
      <c r="K1159" s="4" t="s">
        <v>10</v>
      </c>
      <c r="L1159" s="4" t="s">
        <v>21</v>
      </c>
      <c r="M1159" s="4" t="s">
        <v>3321</v>
      </c>
      <c r="N1159" s="4" t="s">
        <v>2583</v>
      </c>
      <c r="O1159" s="89"/>
      <c r="P1159" s="25">
        <v>44839</v>
      </c>
      <c r="Q1159" s="7" t="s">
        <v>1112</v>
      </c>
      <c r="R1159" s="90" t="s">
        <v>3252</v>
      </c>
      <c r="S1159" s="6" t="s">
        <v>1795</v>
      </c>
      <c r="T1159" s="4" t="s">
        <v>81</v>
      </c>
      <c r="U1159" s="4" t="s">
        <v>107</v>
      </c>
      <c r="V1159" s="4">
        <v>1</v>
      </c>
      <c r="W1159" s="85"/>
      <c r="X1159" s="4" t="s">
        <v>3657</v>
      </c>
      <c r="Y1159" s="4">
        <v>0</v>
      </c>
      <c r="Z1159" s="4" t="e">
        <v>#N/A</v>
      </c>
      <c r="AA1159" s="4" t="s">
        <v>127</v>
      </c>
      <c r="AB1159" s="4" t="s">
        <v>4290</v>
      </c>
    </row>
    <row r="1160" spans="1:28">
      <c r="A1160" s="4">
        <v>1159</v>
      </c>
      <c r="B1160" s="5">
        <v>11161522</v>
      </c>
      <c r="C1160" s="5">
        <v>204246155</v>
      </c>
      <c r="D1160" s="115" t="s">
        <v>1715</v>
      </c>
      <c r="E1160" s="4" t="s">
        <v>3885</v>
      </c>
      <c r="F1160" s="7" t="s">
        <v>74</v>
      </c>
      <c r="G1160" s="7" t="s">
        <v>90</v>
      </c>
      <c r="H1160" s="7" t="s">
        <v>87</v>
      </c>
      <c r="I1160" s="6" t="s">
        <v>1790</v>
      </c>
      <c r="J1160" s="7" t="s">
        <v>7</v>
      </c>
      <c r="K1160" s="4" t="s">
        <v>10</v>
      </c>
      <c r="L1160" s="4" t="s">
        <v>27</v>
      </c>
      <c r="M1160" s="4" t="s">
        <v>386</v>
      </c>
      <c r="N1160" s="4" t="s">
        <v>2583</v>
      </c>
      <c r="O1160" s="89"/>
      <c r="P1160" s="25">
        <v>45579</v>
      </c>
      <c r="Q1160" s="7" t="s">
        <v>7</v>
      </c>
      <c r="R1160" s="90" t="s">
        <v>3253</v>
      </c>
      <c r="S1160" s="6" t="s">
        <v>1795</v>
      </c>
      <c r="T1160" s="4" t="s">
        <v>81</v>
      </c>
      <c r="U1160" s="4" t="s">
        <v>107</v>
      </c>
      <c r="V1160" s="4">
        <v>99</v>
      </c>
      <c r="W1160" s="85">
        <v>46309</v>
      </c>
      <c r="X1160" s="4" t="s">
        <v>3688</v>
      </c>
      <c r="Y1160" s="4">
        <v>523820898</v>
      </c>
      <c r="Z1160" s="4" t="s">
        <v>1646</v>
      </c>
      <c r="AA1160" s="4" t="s">
        <v>2274</v>
      </c>
      <c r="AB1160" s="4" t="s">
        <v>4290</v>
      </c>
    </row>
    <row r="1161" spans="1:28">
      <c r="A1161" s="4">
        <v>1160</v>
      </c>
      <c r="B1161" s="106">
        <v>13356248</v>
      </c>
      <c r="C1161" s="5">
        <v>203555218</v>
      </c>
      <c r="D1161" s="115" t="s">
        <v>561</v>
      </c>
      <c r="E1161" s="4" t="s">
        <v>562</v>
      </c>
      <c r="F1161" s="7" t="s">
        <v>82</v>
      </c>
      <c r="G1161" s="7" t="s">
        <v>76</v>
      </c>
      <c r="H1161" s="7" t="s">
        <v>88</v>
      </c>
      <c r="I1161" s="6" t="s">
        <v>1788</v>
      </c>
      <c r="J1161" s="7" t="s">
        <v>7</v>
      </c>
      <c r="K1161" s="4" t="s">
        <v>10</v>
      </c>
      <c r="L1161" s="4" t="s">
        <v>24</v>
      </c>
      <c r="M1161" s="4" t="s">
        <v>4315</v>
      </c>
      <c r="N1161" s="4" t="s">
        <v>2583</v>
      </c>
      <c r="O1161" s="89"/>
      <c r="P1161" s="25">
        <v>45470</v>
      </c>
      <c r="Q1161" s="7" t="s">
        <v>7</v>
      </c>
      <c r="R1161" s="90" t="s">
        <v>3264</v>
      </c>
      <c r="S1161" s="6" t="s">
        <v>1795</v>
      </c>
      <c r="T1161" s="4" t="s">
        <v>92</v>
      </c>
      <c r="U1161" s="4" t="s">
        <v>103</v>
      </c>
      <c r="V1161" s="4">
        <v>99</v>
      </c>
      <c r="W1161" s="85">
        <v>45835</v>
      </c>
      <c r="X1161" s="4" t="s">
        <v>3703</v>
      </c>
      <c r="Y1161" s="4">
        <v>553154968</v>
      </c>
      <c r="Z1161" s="4" t="s">
        <v>2219</v>
      </c>
      <c r="AA1161" s="4" t="s">
        <v>85</v>
      </c>
      <c r="AB1161" s="4" t="s">
        <v>4289</v>
      </c>
    </row>
    <row r="1162" spans="1:28">
      <c r="A1162" s="4">
        <v>1161</v>
      </c>
      <c r="B1162" s="106">
        <v>12373648</v>
      </c>
      <c r="C1162" s="5">
        <v>202137760</v>
      </c>
      <c r="D1162" s="115" t="s">
        <v>1748</v>
      </c>
      <c r="E1162" s="4" t="s">
        <v>1707</v>
      </c>
      <c r="F1162" s="7" t="s">
        <v>82</v>
      </c>
      <c r="G1162" s="7" t="s">
        <v>76</v>
      </c>
      <c r="H1162" s="7" t="s">
        <v>88</v>
      </c>
      <c r="I1162" s="6" t="s">
        <v>1790</v>
      </c>
      <c r="J1162" s="7" t="s">
        <v>7</v>
      </c>
      <c r="K1162" s="4" t="s">
        <v>10</v>
      </c>
      <c r="L1162" s="4" t="s">
        <v>27</v>
      </c>
      <c r="M1162" s="4" t="s">
        <v>4315</v>
      </c>
      <c r="N1162" s="4" t="s">
        <v>2583</v>
      </c>
      <c r="O1162" s="89"/>
      <c r="P1162" s="25">
        <v>45589</v>
      </c>
      <c r="Q1162" s="7" t="s">
        <v>7</v>
      </c>
      <c r="R1162" s="129" t="s">
        <v>3255</v>
      </c>
      <c r="S1162" s="6" t="s">
        <v>1795</v>
      </c>
      <c r="T1162" s="4" t="s">
        <v>81</v>
      </c>
      <c r="U1162" s="4" t="s">
        <v>107</v>
      </c>
      <c r="V1162" s="4">
        <v>99</v>
      </c>
      <c r="W1162" s="85">
        <v>46319</v>
      </c>
      <c r="X1162" s="4" t="s">
        <v>3694</v>
      </c>
      <c r="Y1162" s="4">
        <v>553911357</v>
      </c>
      <c r="Z1162" s="4" t="s">
        <v>2220</v>
      </c>
      <c r="AA1162" s="4" t="s">
        <v>1203</v>
      </c>
      <c r="AB1162" s="4" t="s">
        <v>4290</v>
      </c>
    </row>
    <row r="1163" spans="1:28">
      <c r="A1163" s="4">
        <v>1162</v>
      </c>
      <c r="B1163" s="106">
        <v>11279073</v>
      </c>
      <c r="C1163" s="5">
        <v>203635598</v>
      </c>
      <c r="D1163" s="115" t="s">
        <v>567</v>
      </c>
      <c r="E1163" s="4" t="s">
        <v>568</v>
      </c>
      <c r="F1163" s="7" t="s">
        <v>74</v>
      </c>
      <c r="G1163" s="7" t="s">
        <v>88</v>
      </c>
      <c r="H1163" s="7" t="s">
        <v>94</v>
      </c>
      <c r="I1163" s="6" t="s">
        <v>1788</v>
      </c>
      <c r="J1163" s="7" t="s">
        <v>7</v>
      </c>
      <c r="K1163" s="4" t="s">
        <v>10</v>
      </c>
      <c r="L1163" s="4" t="s">
        <v>24</v>
      </c>
      <c r="M1163" s="4" t="s">
        <v>386</v>
      </c>
      <c r="N1163" s="4" t="s">
        <v>2584</v>
      </c>
      <c r="O1163" s="89"/>
      <c r="P1163" s="25">
        <v>45481</v>
      </c>
      <c r="Q1163" s="7" t="s">
        <v>7</v>
      </c>
      <c r="R1163" s="90" t="s">
        <v>3258</v>
      </c>
      <c r="S1163" s="6" t="s">
        <v>1795</v>
      </c>
      <c r="T1163" s="4" t="s">
        <v>81</v>
      </c>
      <c r="U1163" s="4" t="s">
        <v>349</v>
      </c>
      <c r="V1163" s="4">
        <v>99</v>
      </c>
      <c r="W1163" s="85">
        <v>45846</v>
      </c>
      <c r="X1163" s="4" t="s">
        <v>3703</v>
      </c>
      <c r="Y1163" s="4">
        <v>552058701</v>
      </c>
      <c r="Z1163" s="4" t="s">
        <v>2221</v>
      </c>
      <c r="AA1163" s="4" t="s">
        <v>85</v>
      </c>
      <c r="AB1163" s="4" t="s">
        <v>4289</v>
      </c>
    </row>
    <row r="1164" spans="1:28">
      <c r="A1164" s="4">
        <v>1163</v>
      </c>
      <c r="B1164" s="106">
        <v>14760459</v>
      </c>
      <c r="C1164" s="5">
        <v>206361774</v>
      </c>
      <c r="D1164" s="115" t="s">
        <v>3200</v>
      </c>
      <c r="E1164" s="4" t="s">
        <v>3189</v>
      </c>
      <c r="F1164" s="7" t="s">
        <v>82</v>
      </c>
      <c r="G1164" s="7" t="s">
        <v>87</v>
      </c>
      <c r="H1164" s="7" t="s">
        <v>75</v>
      </c>
      <c r="I1164" s="7" t="s">
        <v>1789</v>
      </c>
      <c r="J1164" s="7" t="s">
        <v>7</v>
      </c>
      <c r="K1164" s="4" t="s">
        <v>10</v>
      </c>
      <c r="L1164" s="4" t="s">
        <v>23</v>
      </c>
      <c r="M1164" s="4" t="s">
        <v>4315</v>
      </c>
      <c r="N1164" s="4" t="s">
        <v>2584</v>
      </c>
      <c r="O1164" s="89"/>
      <c r="P1164" s="25">
        <v>45957</v>
      </c>
      <c r="Q1164" s="7" t="s">
        <v>7</v>
      </c>
      <c r="R1164" s="4" t="s">
        <v>3260</v>
      </c>
      <c r="S1164" s="6" t="s">
        <v>1796</v>
      </c>
      <c r="T1164" s="4" t="s">
        <v>81</v>
      </c>
      <c r="U1164" s="4" t="s">
        <v>349</v>
      </c>
      <c r="V1164" s="4">
        <v>99</v>
      </c>
      <c r="W1164" s="85">
        <v>46013</v>
      </c>
      <c r="X1164" s="4" t="s">
        <v>3523</v>
      </c>
      <c r="Y1164" s="4">
        <v>525907676</v>
      </c>
      <c r="Z1164" s="4" t="s">
        <v>3213</v>
      </c>
      <c r="AA1164" s="4" t="s">
        <v>85</v>
      </c>
      <c r="AB1164" s="4" t="s">
        <v>4289</v>
      </c>
    </row>
    <row r="1165" spans="1:28">
      <c r="A1165" s="4">
        <v>1164</v>
      </c>
      <c r="B1165" s="106">
        <v>11144817</v>
      </c>
      <c r="C1165" s="5">
        <v>104383492</v>
      </c>
      <c r="D1165" s="115" t="s">
        <v>391</v>
      </c>
      <c r="E1165" s="4" t="s">
        <v>392</v>
      </c>
      <c r="F1165" s="7" t="s">
        <v>74</v>
      </c>
      <c r="G1165" s="7" t="s">
        <v>89</v>
      </c>
      <c r="H1165" s="7" t="s">
        <v>90</v>
      </c>
      <c r="I1165" s="6" t="s">
        <v>1778</v>
      </c>
      <c r="J1165" s="7" t="s">
        <v>7</v>
      </c>
      <c r="K1165" s="4" t="s">
        <v>10</v>
      </c>
      <c r="L1165" s="4" t="s">
        <v>21</v>
      </c>
      <c r="M1165" s="4" t="s">
        <v>4315</v>
      </c>
      <c r="N1165" s="4"/>
      <c r="O1165" s="89"/>
      <c r="P1165" s="25">
        <v>44728</v>
      </c>
      <c r="Q1165" s="7" t="s">
        <v>7</v>
      </c>
      <c r="R1165" s="90" t="s">
        <v>3258</v>
      </c>
      <c r="S1165" s="6" t="s">
        <v>1795</v>
      </c>
      <c r="T1165" s="4" t="s">
        <v>81</v>
      </c>
      <c r="U1165" s="4" t="s">
        <v>107</v>
      </c>
      <c r="V1165" s="4">
        <v>3</v>
      </c>
      <c r="W1165" s="85">
        <v>45561</v>
      </c>
      <c r="X1165" s="4" t="s">
        <v>3474</v>
      </c>
      <c r="Y1165" s="4">
        <v>0</v>
      </c>
      <c r="Z1165" s="4" t="e">
        <v>#N/A</v>
      </c>
      <c r="AA1165" s="4" t="s">
        <v>127</v>
      </c>
      <c r="AB1165" s="4" t="s">
        <v>4290</v>
      </c>
    </row>
    <row r="1166" spans="1:28">
      <c r="A1166" s="4">
        <v>1165</v>
      </c>
      <c r="B1166" s="5">
        <v>14615183</v>
      </c>
      <c r="C1166" s="5">
        <v>206191961</v>
      </c>
      <c r="D1166" s="115" t="s">
        <v>2993</v>
      </c>
      <c r="E1166" s="4" t="s">
        <v>3692</v>
      </c>
      <c r="F1166" s="7" t="s">
        <v>74</v>
      </c>
      <c r="G1166" s="7" t="s">
        <v>94</v>
      </c>
      <c r="H1166" s="7" t="s">
        <v>89</v>
      </c>
      <c r="I1166" s="7" t="s">
        <v>1789</v>
      </c>
      <c r="J1166" s="7" t="s">
        <v>7</v>
      </c>
      <c r="K1166" s="4" t="s">
        <v>10</v>
      </c>
      <c r="L1166" s="4" t="s">
        <v>23</v>
      </c>
      <c r="M1166" s="4" t="s">
        <v>386</v>
      </c>
      <c r="N1166" s="4" t="s">
        <v>2584</v>
      </c>
      <c r="O1166" s="89"/>
      <c r="P1166" s="25">
        <v>45936</v>
      </c>
      <c r="Q1166" s="7" t="s">
        <v>7</v>
      </c>
      <c r="R1166" s="90" t="s">
        <v>3256</v>
      </c>
      <c r="S1166" s="6" t="s">
        <v>1795</v>
      </c>
      <c r="T1166" s="4" t="s">
        <v>81</v>
      </c>
      <c r="U1166" s="4" t="s">
        <v>103</v>
      </c>
      <c r="V1166" s="4">
        <v>99</v>
      </c>
      <c r="W1166" s="85">
        <v>45996</v>
      </c>
      <c r="X1166" s="4" t="s">
        <v>3693</v>
      </c>
      <c r="Y1166" s="4">
        <v>254704585772</v>
      </c>
      <c r="Z1166" s="4" t="s">
        <v>3036</v>
      </c>
      <c r="AA1166" s="4" t="s">
        <v>85</v>
      </c>
      <c r="AB1166" s="4" t="s">
        <v>4290</v>
      </c>
    </row>
    <row r="1167" spans="1:28" ht="14.5" customHeight="1">
      <c r="A1167" s="4">
        <v>1166</v>
      </c>
      <c r="B1167" s="106">
        <v>321963</v>
      </c>
      <c r="C1167" s="5">
        <v>203881712</v>
      </c>
      <c r="D1167" s="115" t="s">
        <v>1095</v>
      </c>
      <c r="E1167" s="4" t="s">
        <v>1067</v>
      </c>
      <c r="F1167" s="7" t="s">
        <v>82</v>
      </c>
      <c r="G1167" s="7" t="s">
        <v>76</v>
      </c>
      <c r="H1167" s="7" t="s">
        <v>88</v>
      </c>
      <c r="I1167" s="6" t="s">
        <v>1788</v>
      </c>
      <c r="J1167" s="7" t="s">
        <v>7</v>
      </c>
      <c r="K1167" s="4" t="s">
        <v>10</v>
      </c>
      <c r="L1167" s="4" t="s">
        <v>24</v>
      </c>
      <c r="M1167" s="4" t="s">
        <v>4315</v>
      </c>
      <c r="N1167" s="4" t="s">
        <v>2583</v>
      </c>
      <c r="O1167" s="89"/>
      <c r="P1167" s="25">
        <v>45530</v>
      </c>
      <c r="Q1167" s="7" t="s">
        <v>7</v>
      </c>
      <c r="R1167" s="90" t="s">
        <v>3253</v>
      </c>
      <c r="S1167" s="6" t="s">
        <v>1795</v>
      </c>
      <c r="T1167" s="4" t="s">
        <v>81</v>
      </c>
      <c r="U1167" s="4" t="s">
        <v>3263</v>
      </c>
      <c r="V1167" s="4">
        <v>99</v>
      </c>
      <c r="W1167" s="85">
        <v>45895</v>
      </c>
      <c r="X1167" s="4" t="s">
        <v>3694</v>
      </c>
      <c r="Y1167" s="4">
        <v>566702754</v>
      </c>
      <c r="Z1167" s="4" t="s">
        <v>2222</v>
      </c>
      <c r="AA1167" s="4" t="s">
        <v>85</v>
      </c>
      <c r="AB1167" s="4" t="s">
        <v>4290</v>
      </c>
    </row>
    <row r="1168" spans="1:28">
      <c r="A1168" s="4">
        <v>1167</v>
      </c>
      <c r="B1168" s="106">
        <v>12122823</v>
      </c>
      <c r="C1168" s="5">
        <v>206348020</v>
      </c>
      <c r="D1168" s="115" t="s">
        <v>3172</v>
      </c>
      <c r="E1168" s="4" t="s">
        <v>3133</v>
      </c>
      <c r="F1168" s="7" t="s">
        <v>74</v>
      </c>
      <c r="G1168" s="7" t="s">
        <v>94</v>
      </c>
      <c r="H1168" s="7" t="s">
        <v>89</v>
      </c>
      <c r="I1168" s="7" t="s">
        <v>1789</v>
      </c>
      <c r="J1168" s="7" t="s">
        <v>7</v>
      </c>
      <c r="K1168" s="4" t="s">
        <v>10</v>
      </c>
      <c r="L1168" s="4" t="s">
        <v>22</v>
      </c>
      <c r="M1168" s="4" t="s">
        <v>386</v>
      </c>
      <c r="N1168" s="4" t="s">
        <v>2584</v>
      </c>
      <c r="O1168" s="89"/>
      <c r="P1168" s="25">
        <v>45957</v>
      </c>
      <c r="Q1168" s="7" t="s">
        <v>7</v>
      </c>
      <c r="R1168" s="4" t="s">
        <v>3262</v>
      </c>
      <c r="S1168" s="6" t="s">
        <v>1796</v>
      </c>
      <c r="T1168" s="4" t="s">
        <v>81</v>
      </c>
      <c r="U1168" s="4" t="s">
        <v>112</v>
      </c>
      <c r="V1168" s="4">
        <v>99</v>
      </c>
      <c r="W1168" s="85">
        <v>46013</v>
      </c>
      <c r="X1168" s="4" t="s">
        <v>2758</v>
      </c>
      <c r="Y1168" s="4" t="s">
        <v>3144</v>
      </c>
      <c r="Z1168" s="4" t="s">
        <v>3157</v>
      </c>
      <c r="AA1168" s="4" t="s">
        <v>3168</v>
      </c>
      <c r="AB1168" s="4" t="s">
        <v>4289</v>
      </c>
    </row>
    <row r="1169" spans="1:28">
      <c r="A1169" s="4">
        <v>1168</v>
      </c>
      <c r="B1169" s="106">
        <v>14501632</v>
      </c>
      <c r="C1169" s="5">
        <v>201188904</v>
      </c>
      <c r="D1169" s="115" t="s">
        <v>1096</v>
      </c>
      <c r="E1169" s="4" t="s">
        <v>1088</v>
      </c>
      <c r="F1169" s="7" t="s">
        <v>82</v>
      </c>
      <c r="G1169" s="7" t="s">
        <v>90</v>
      </c>
      <c r="H1169" s="7" t="s">
        <v>87</v>
      </c>
      <c r="I1169" s="6" t="s">
        <v>1788</v>
      </c>
      <c r="J1169" s="7" t="s">
        <v>7</v>
      </c>
      <c r="K1169" s="4" t="s">
        <v>10</v>
      </c>
      <c r="L1169" s="4" t="s">
        <v>24</v>
      </c>
      <c r="M1169" s="4" t="s">
        <v>4315</v>
      </c>
      <c r="N1169" s="4" t="s">
        <v>2583</v>
      </c>
      <c r="O1169" s="89"/>
      <c r="P1169" s="25">
        <v>45530</v>
      </c>
      <c r="Q1169" s="7" t="s">
        <v>7</v>
      </c>
      <c r="R1169" s="90" t="s">
        <v>3254</v>
      </c>
      <c r="S1169" s="6" t="s">
        <v>1795</v>
      </c>
      <c r="T1169" s="4" t="s">
        <v>81</v>
      </c>
      <c r="U1169" s="4" t="s">
        <v>103</v>
      </c>
      <c r="V1169" s="4">
        <v>99</v>
      </c>
      <c r="W1169" s="85">
        <v>46260</v>
      </c>
      <c r="X1169" s="4" t="s">
        <v>3694</v>
      </c>
      <c r="Y1169" s="4">
        <v>551837971</v>
      </c>
      <c r="Z1169" s="4" t="s">
        <v>2224</v>
      </c>
      <c r="AA1169" s="4" t="s">
        <v>85</v>
      </c>
      <c r="AB1169" s="4" t="s">
        <v>4289</v>
      </c>
    </row>
    <row r="1170" spans="1:28">
      <c r="A1170" s="4">
        <v>1169</v>
      </c>
      <c r="B1170" s="106">
        <v>11372151</v>
      </c>
      <c r="C1170" s="5">
        <v>206348027</v>
      </c>
      <c r="D1170" s="115" t="s">
        <v>3183</v>
      </c>
      <c r="E1170" s="4" t="s">
        <v>3185</v>
      </c>
      <c r="F1170" s="7" t="s">
        <v>82</v>
      </c>
      <c r="G1170" s="7" t="s">
        <v>94</v>
      </c>
      <c r="H1170" s="7" t="s">
        <v>89</v>
      </c>
      <c r="I1170" s="7" t="s">
        <v>1789</v>
      </c>
      <c r="J1170" s="7" t="s">
        <v>7</v>
      </c>
      <c r="K1170" s="4" t="s">
        <v>10</v>
      </c>
      <c r="L1170" s="4" t="s">
        <v>22</v>
      </c>
      <c r="M1170" s="4" t="s">
        <v>4315</v>
      </c>
      <c r="N1170" s="4" t="s">
        <v>2584</v>
      </c>
      <c r="O1170" s="89"/>
      <c r="P1170" s="25">
        <v>45957</v>
      </c>
      <c r="Q1170" s="7" t="s">
        <v>7</v>
      </c>
      <c r="R1170" s="4" t="s">
        <v>3261</v>
      </c>
      <c r="S1170" s="6" t="s">
        <v>1796</v>
      </c>
      <c r="T1170" s="4" t="s">
        <v>81</v>
      </c>
      <c r="U1170" s="4" t="s">
        <v>349</v>
      </c>
      <c r="V1170" s="4">
        <v>99</v>
      </c>
      <c r="W1170" s="85">
        <v>46013</v>
      </c>
      <c r="X1170" s="4" t="s">
        <v>2758</v>
      </c>
      <c r="Y1170" s="4">
        <v>567798347</v>
      </c>
      <c r="Z1170" s="4" t="s">
        <v>3218</v>
      </c>
      <c r="AA1170" s="4" t="s">
        <v>3016</v>
      </c>
      <c r="AB1170" s="4" t="s">
        <v>4289</v>
      </c>
    </row>
    <row r="1171" spans="1:28">
      <c r="A1171" s="4">
        <v>1170</v>
      </c>
      <c r="B1171" s="106">
        <v>14523063</v>
      </c>
      <c r="C1171" s="5">
        <v>204768284</v>
      </c>
      <c r="D1171" s="115" t="s">
        <v>2517</v>
      </c>
      <c r="E1171" s="4" t="s">
        <v>2522</v>
      </c>
      <c r="F1171" s="7" t="s">
        <v>74</v>
      </c>
      <c r="G1171" s="7" t="s">
        <v>88</v>
      </c>
      <c r="H1171" s="7" t="s">
        <v>94</v>
      </c>
      <c r="I1171" s="6" t="s">
        <v>1789</v>
      </c>
      <c r="J1171" s="7" t="s">
        <v>7</v>
      </c>
      <c r="K1171" s="4" t="s">
        <v>10</v>
      </c>
      <c r="L1171" s="4" t="s">
        <v>22</v>
      </c>
      <c r="M1171" s="4" t="s">
        <v>386</v>
      </c>
      <c r="N1171" s="4" t="s">
        <v>2584</v>
      </c>
      <c r="O1171" s="89"/>
      <c r="P1171" s="25">
        <v>45796</v>
      </c>
      <c r="Q1171" s="7" t="s">
        <v>7</v>
      </c>
      <c r="R1171" s="90" t="s">
        <v>2586</v>
      </c>
      <c r="S1171" s="6" t="s">
        <v>1795</v>
      </c>
      <c r="T1171" s="4" t="s">
        <v>81</v>
      </c>
      <c r="U1171" s="4" t="s">
        <v>103</v>
      </c>
      <c r="V1171" s="4">
        <v>99</v>
      </c>
      <c r="W1171" s="85">
        <v>45838</v>
      </c>
      <c r="X1171" s="4" t="s">
        <v>1216</v>
      </c>
      <c r="Y1171" s="4">
        <v>528094746</v>
      </c>
      <c r="Z1171" s="4" t="s">
        <v>2536</v>
      </c>
      <c r="AA1171" s="4" t="s">
        <v>95</v>
      </c>
      <c r="AB1171" s="4" t="s">
        <v>4290</v>
      </c>
    </row>
    <row r="1172" spans="1:28">
      <c r="A1172" s="4">
        <v>1171</v>
      </c>
      <c r="B1172" s="106">
        <v>13093513</v>
      </c>
      <c r="C1172" s="5">
        <v>206348019</v>
      </c>
      <c r="D1172" s="115" t="s">
        <v>3180</v>
      </c>
      <c r="E1172" s="4" t="s">
        <v>3141</v>
      </c>
      <c r="F1172" s="7" t="s">
        <v>74</v>
      </c>
      <c r="G1172" s="7" t="s">
        <v>89</v>
      </c>
      <c r="H1172" s="7" t="s">
        <v>90</v>
      </c>
      <c r="I1172" s="7" t="s">
        <v>1789</v>
      </c>
      <c r="J1172" s="7" t="s">
        <v>7</v>
      </c>
      <c r="K1172" s="4" t="s">
        <v>10</v>
      </c>
      <c r="L1172" s="4" t="s">
        <v>22</v>
      </c>
      <c r="M1172" s="4" t="s">
        <v>386</v>
      </c>
      <c r="N1172" s="4" t="s">
        <v>2584</v>
      </c>
      <c r="O1172" s="89"/>
      <c r="P1172" s="25">
        <v>45957</v>
      </c>
      <c r="Q1172" s="7" t="s">
        <v>7</v>
      </c>
      <c r="R1172" s="90" t="s">
        <v>3253</v>
      </c>
      <c r="S1172" s="6" t="s">
        <v>1796</v>
      </c>
      <c r="T1172" s="4" t="s">
        <v>81</v>
      </c>
      <c r="U1172" s="4" t="s">
        <v>103</v>
      </c>
      <c r="V1172" s="4">
        <v>99</v>
      </c>
      <c r="W1172" s="85">
        <v>46013</v>
      </c>
      <c r="X1172" s="4" t="s">
        <v>2758</v>
      </c>
      <c r="Y1172" s="4" t="s">
        <v>3152</v>
      </c>
      <c r="Z1172" s="4" t="s">
        <v>3165</v>
      </c>
      <c r="AA1172" s="4" t="s">
        <v>3168</v>
      </c>
      <c r="AB1172" s="4" t="s">
        <v>4289</v>
      </c>
    </row>
    <row r="1173" spans="1:28">
      <c r="A1173" s="4">
        <v>1172</v>
      </c>
      <c r="B1173" s="106">
        <v>12163373</v>
      </c>
      <c r="C1173" s="5">
        <v>102205688</v>
      </c>
      <c r="D1173" s="115" t="s">
        <v>480</v>
      </c>
      <c r="E1173" s="4" t="s">
        <v>481</v>
      </c>
      <c r="F1173" s="7" t="s">
        <v>82</v>
      </c>
      <c r="G1173" s="7" t="s">
        <v>88</v>
      </c>
      <c r="H1173" s="7" t="s">
        <v>94</v>
      </c>
      <c r="I1173" s="6" t="s">
        <v>119</v>
      </c>
      <c r="J1173" s="7" t="s">
        <v>7</v>
      </c>
      <c r="K1173" s="4" t="s">
        <v>10</v>
      </c>
      <c r="L1173" s="4" t="s">
        <v>21</v>
      </c>
      <c r="M1173" s="4" t="s">
        <v>4315</v>
      </c>
      <c r="N1173" s="4" t="s">
        <v>2583</v>
      </c>
      <c r="O1173" s="89"/>
      <c r="P1173" s="25">
        <v>42868</v>
      </c>
      <c r="Q1173" s="7" t="s">
        <v>7</v>
      </c>
      <c r="R1173" s="90" t="s">
        <v>3258</v>
      </c>
      <c r="S1173" s="6" t="s">
        <v>1795</v>
      </c>
      <c r="T1173" s="4" t="s">
        <v>81</v>
      </c>
      <c r="U1173" s="4" t="s">
        <v>107</v>
      </c>
      <c r="V1173" s="4">
        <v>1</v>
      </c>
      <c r="W1173" s="85"/>
      <c r="X1173" s="4" t="s">
        <v>3739</v>
      </c>
      <c r="Y1173" s="4">
        <v>0</v>
      </c>
      <c r="Z1173" s="4" t="e">
        <v>#N/A</v>
      </c>
      <c r="AA1173" s="4" t="s">
        <v>1194</v>
      </c>
      <c r="AB1173" s="4" t="s">
        <v>4289</v>
      </c>
    </row>
    <row r="1174" spans="1:28">
      <c r="A1174" s="4">
        <v>1173</v>
      </c>
      <c r="B1174" s="106">
        <v>11262045</v>
      </c>
      <c r="C1174" s="5">
        <v>103640429</v>
      </c>
      <c r="D1174" s="115" t="s">
        <v>476</v>
      </c>
      <c r="E1174" s="4" t="s">
        <v>477</v>
      </c>
      <c r="F1174" s="7" t="s">
        <v>82</v>
      </c>
      <c r="G1174" s="7" t="s">
        <v>76</v>
      </c>
      <c r="H1174" s="7" t="s">
        <v>88</v>
      </c>
      <c r="I1174" s="6" t="s">
        <v>119</v>
      </c>
      <c r="J1174" s="7" t="s">
        <v>7</v>
      </c>
      <c r="K1174" s="4" t="s">
        <v>10</v>
      </c>
      <c r="L1174" s="4" t="s">
        <v>21</v>
      </c>
      <c r="M1174" s="4" t="s">
        <v>4315</v>
      </c>
      <c r="N1174" s="4"/>
      <c r="O1174" s="89"/>
      <c r="P1174" s="25">
        <v>44724</v>
      </c>
      <c r="Q1174" s="7" t="s">
        <v>7</v>
      </c>
      <c r="R1174" s="90" t="s">
        <v>3261</v>
      </c>
      <c r="S1174" s="6" t="s">
        <v>1795</v>
      </c>
      <c r="T1174" s="4" t="s">
        <v>81</v>
      </c>
      <c r="U1174" s="4" t="s">
        <v>112</v>
      </c>
      <c r="V1174" s="4">
        <v>1</v>
      </c>
      <c r="W1174" s="85"/>
      <c r="X1174" s="4" t="s">
        <v>3694</v>
      </c>
      <c r="Y1174" s="4">
        <v>0</v>
      </c>
      <c r="Z1174" s="4" t="e">
        <v>#N/A</v>
      </c>
      <c r="AA1174" s="4" t="s">
        <v>1196</v>
      </c>
      <c r="AB1174" s="4" t="s">
        <v>4289</v>
      </c>
    </row>
    <row r="1175" spans="1:28">
      <c r="A1175" s="4">
        <v>1174</v>
      </c>
      <c r="B1175" s="106">
        <v>11339401</v>
      </c>
      <c r="C1175" s="5">
        <v>205275768</v>
      </c>
      <c r="D1175" s="115" t="s">
        <v>2518</v>
      </c>
      <c r="E1175" s="4" t="s">
        <v>2523</v>
      </c>
      <c r="F1175" s="7" t="s">
        <v>74</v>
      </c>
      <c r="G1175" s="7" t="s">
        <v>90</v>
      </c>
      <c r="H1175" s="7" t="s">
        <v>87</v>
      </c>
      <c r="I1175" s="6" t="s">
        <v>1789</v>
      </c>
      <c r="J1175" s="7" t="s">
        <v>7</v>
      </c>
      <c r="K1175" s="4" t="s">
        <v>10</v>
      </c>
      <c r="L1175" s="4" t="s">
        <v>22</v>
      </c>
      <c r="M1175" s="4" t="s">
        <v>386</v>
      </c>
      <c r="N1175" s="4" t="s">
        <v>2584</v>
      </c>
      <c r="O1175" s="89"/>
      <c r="P1175" s="25">
        <v>45796</v>
      </c>
      <c r="Q1175" s="7" t="s">
        <v>7</v>
      </c>
      <c r="R1175" s="90" t="s">
        <v>2586</v>
      </c>
      <c r="S1175" s="6" t="s">
        <v>1795</v>
      </c>
      <c r="T1175" s="4" t="s">
        <v>81</v>
      </c>
      <c r="U1175" s="4" t="s">
        <v>112</v>
      </c>
      <c r="V1175" s="4">
        <v>99</v>
      </c>
      <c r="W1175" s="85">
        <v>45838</v>
      </c>
      <c r="X1175" s="4" t="s">
        <v>1216</v>
      </c>
      <c r="Y1175" s="4">
        <v>503554756</v>
      </c>
      <c r="Z1175" s="4" t="s">
        <v>2537</v>
      </c>
      <c r="AA1175" s="4" t="s">
        <v>85</v>
      </c>
      <c r="AB1175" s="4" t="s">
        <v>4289</v>
      </c>
    </row>
    <row r="1176" spans="1:28">
      <c r="A1176" s="4">
        <v>1175</v>
      </c>
      <c r="B1176" s="5">
        <v>11591664</v>
      </c>
      <c r="C1176" s="5">
        <v>205275762</v>
      </c>
      <c r="D1176" s="115" t="s">
        <v>2519</v>
      </c>
      <c r="E1176" s="4" t="s">
        <v>3845</v>
      </c>
      <c r="F1176" s="7" t="s">
        <v>74</v>
      </c>
      <c r="G1176" s="7" t="s">
        <v>90</v>
      </c>
      <c r="H1176" s="7" t="s">
        <v>87</v>
      </c>
      <c r="I1176" s="6" t="s">
        <v>1789</v>
      </c>
      <c r="J1176" s="7" t="s">
        <v>7</v>
      </c>
      <c r="K1176" s="4" t="s">
        <v>10</v>
      </c>
      <c r="L1176" s="4" t="s">
        <v>22</v>
      </c>
      <c r="M1176" s="4" t="s">
        <v>386</v>
      </c>
      <c r="N1176" s="4" t="s">
        <v>2584</v>
      </c>
      <c r="O1176" s="89"/>
      <c r="P1176" s="25">
        <v>45796</v>
      </c>
      <c r="Q1176" s="7" t="s">
        <v>7</v>
      </c>
      <c r="R1176" s="90" t="s">
        <v>3261</v>
      </c>
      <c r="S1176" s="6" t="s">
        <v>1795</v>
      </c>
      <c r="T1176" s="4" t="s">
        <v>81</v>
      </c>
      <c r="U1176" s="4" t="s">
        <v>112</v>
      </c>
      <c r="V1176" s="4">
        <v>99</v>
      </c>
      <c r="W1176" s="85">
        <v>45838</v>
      </c>
      <c r="X1176" s="4" t="s">
        <v>3689</v>
      </c>
      <c r="Y1176" s="4">
        <v>502897583</v>
      </c>
      <c r="Z1176" s="4" t="s">
        <v>2538</v>
      </c>
      <c r="AA1176" s="4" t="s">
        <v>85</v>
      </c>
      <c r="AB1176" s="4" t="s">
        <v>4289</v>
      </c>
    </row>
    <row r="1177" spans="1:28">
      <c r="A1177" s="4">
        <v>1176</v>
      </c>
      <c r="B1177" s="106">
        <v>210564</v>
      </c>
      <c r="C1177" s="5">
        <v>103058874</v>
      </c>
      <c r="D1177" s="115" t="s">
        <v>472</v>
      </c>
      <c r="E1177" s="4" t="s">
        <v>473</v>
      </c>
      <c r="F1177" s="7" t="s">
        <v>82</v>
      </c>
      <c r="G1177" s="7" t="s">
        <v>94</v>
      </c>
      <c r="H1177" s="7" t="s">
        <v>89</v>
      </c>
      <c r="I1177" s="6" t="s">
        <v>119</v>
      </c>
      <c r="J1177" s="7" t="s">
        <v>7</v>
      </c>
      <c r="K1177" s="4" t="s">
        <v>10</v>
      </c>
      <c r="L1177" s="4" t="s">
        <v>21</v>
      </c>
      <c r="M1177" s="4" t="s">
        <v>4315</v>
      </c>
      <c r="N1177" s="4" t="s">
        <v>2583</v>
      </c>
      <c r="O1177" s="89"/>
      <c r="P1177" s="25">
        <v>43024</v>
      </c>
      <c r="Q1177" s="7" t="s">
        <v>7</v>
      </c>
      <c r="R1177" s="90" t="s">
        <v>3252</v>
      </c>
      <c r="S1177" s="6" t="s">
        <v>1795</v>
      </c>
      <c r="T1177" s="4" t="s">
        <v>81</v>
      </c>
      <c r="U1177" s="4" t="s">
        <v>107</v>
      </c>
      <c r="V1177" s="4">
        <v>1</v>
      </c>
      <c r="W1177" s="85"/>
      <c r="X1177" s="4" t="s">
        <v>3739</v>
      </c>
      <c r="Y1177" s="4">
        <v>0</v>
      </c>
      <c r="Z1177" s="4" t="e">
        <v>#N/A</v>
      </c>
      <c r="AA1177" s="4" t="s">
        <v>2269</v>
      </c>
      <c r="AB1177" s="4" t="s">
        <v>4289</v>
      </c>
    </row>
    <row r="1178" spans="1:28">
      <c r="A1178" s="4">
        <v>1177</v>
      </c>
      <c r="B1178" s="5">
        <v>62758</v>
      </c>
      <c r="C1178" s="5">
        <v>102981727</v>
      </c>
      <c r="D1178" s="115" t="s">
        <v>482</v>
      </c>
      <c r="E1178" s="4" t="s">
        <v>3717</v>
      </c>
      <c r="F1178" s="7" t="s">
        <v>82</v>
      </c>
      <c r="G1178" s="7" t="s">
        <v>88</v>
      </c>
      <c r="H1178" s="7" t="s">
        <v>94</v>
      </c>
      <c r="I1178" s="6" t="s">
        <v>119</v>
      </c>
      <c r="J1178" s="7" t="s">
        <v>7</v>
      </c>
      <c r="K1178" s="4" t="s">
        <v>10</v>
      </c>
      <c r="L1178" s="4" t="s">
        <v>21</v>
      </c>
      <c r="M1178" s="4" t="s">
        <v>4315</v>
      </c>
      <c r="N1178" s="4" t="s">
        <v>2583</v>
      </c>
      <c r="O1178" s="89"/>
      <c r="P1178" s="25">
        <v>43040</v>
      </c>
      <c r="Q1178" s="7" t="s">
        <v>7</v>
      </c>
      <c r="R1178" s="90" t="s">
        <v>3261</v>
      </c>
      <c r="S1178" s="6" t="s">
        <v>1795</v>
      </c>
      <c r="T1178" s="4" t="s">
        <v>81</v>
      </c>
      <c r="U1178" s="4" t="s">
        <v>112</v>
      </c>
      <c r="V1178" s="4">
        <v>1</v>
      </c>
      <c r="W1178" s="85"/>
      <c r="X1178" s="4" t="s">
        <v>3739</v>
      </c>
      <c r="Y1178" s="4">
        <v>0</v>
      </c>
      <c r="Z1178" s="4" t="e">
        <v>#N/A</v>
      </c>
      <c r="AA1178" s="4" t="s">
        <v>2269</v>
      </c>
      <c r="AB1178" s="4" t="s">
        <v>4289</v>
      </c>
    </row>
    <row r="1179" spans="1:28" ht="14.5" customHeight="1">
      <c r="A1179" s="4">
        <v>1178</v>
      </c>
      <c r="B1179" s="106">
        <v>12697626</v>
      </c>
      <c r="C1179" s="5">
        <v>206361295</v>
      </c>
      <c r="D1179" s="115" t="s">
        <v>3182</v>
      </c>
      <c r="E1179" s="4" t="s">
        <v>3184</v>
      </c>
      <c r="F1179" s="7" t="s">
        <v>82</v>
      </c>
      <c r="G1179" s="7" t="s">
        <v>94</v>
      </c>
      <c r="H1179" s="7" t="s">
        <v>89</v>
      </c>
      <c r="I1179" s="7" t="s">
        <v>1789</v>
      </c>
      <c r="J1179" s="7" t="s">
        <v>7</v>
      </c>
      <c r="K1179" s="4" t="s">
        <v>10</v>
      </c>
      <c r="L1179" s="4" t="s">
        <v>23</v>
      </c>
      <c r="M1179" s="4" t="s">
        <v>4315</v>
      </c>
      <c r="N1179" s="4" t="s">
        <v>2584</v>
      </c>
      <c r="O1179" s="89"/>
      <c r="P1179" s="25">
        <v>45957</v>
      </c>
      <c r="Q1179" s="7" t="s">
        <v>7</v>
      </c>
      <c r="R1179" s="90" t="s">
        <v>3252</v>
      </c>
      <c r="S1179" s="6" t="s">
        <v>1795</v>
      </c>
      <c r="T1179" s="4" t="s">
        <v>81</v>
      </c>
      <c r="U1179" s="4" t="s">
        <v>112</v>
      </c>
      <c r="V1179" s="4">
        <v>99</v>
      </c>
      <c r="W1179" s="85">
        <v>46013</v>
      </c>
      <c r="X1179" s="4" t="s">
        <v>3523</v>
      </c>
      <c r="Y1179" s="4">
        <v>544825843</v>
      </c>
      <c r="Z1179" s="4" t="s">
        <v>3211</v>
      </c>
      <c r="AA1179" s="4" t="s">
        <v>1204</v>
      </c>
      <c r="AB1179" s="4" t="s">
        <v>4289</v>
      </c>
    </row>
    <row r="1180" spans="1:28" ht="14.5" customHeight="1">
      <c r="A1180" s="4">
        <v>1179</v>
      </c>
      <c r="B1180" s="106">
        <v>13824919</v>
      </c>
      <c r="C1180" s="5">
        <v>111249388</v>
      </c>
      <c r="D1180" s="115" t="s">
        <v>1098</v>
      </c>
      <c r="E1180" s="4" t="s">
        <v>1090</v>
      </c>
      <c r="F1180" s="7" t="s">
        <v>82</v>
      </c>
      <c r="G1180" s="7" t="s">
        <v>75</v>
      </c>
      <c r="H1180" s="7" t="s">
        <v>76</v>
      </c>
      <c r="I1180" s="6" t="s">
        <v>1788</v>
      </c>
      <c r="J1180" s="7" t="s">
        <v>7</v>
      </c>
      <c r="K1180" s="4" t="s">
        <v>10</v>
      </c>
      <c r="L1180" s="4" t="s">
        <v>24</v>
      </c>
      <c r="M1180" s="4" t="s">
        <v>4315</v>
      </c>
      <c r="N1180" s="4" t="s">
        <v>2583</v>
      </c>
      <c r="O1180" s="89"/>
      <c r="P1180" s="25">
        <v>45530</v>
      </c>
      <c r="Q1180" s="7" t="s">
        <v>7</v>
      </c>
      <c r="R1180" s="90" t="s">
        <v>3255</v>
      </c>
      <c r="S1180" s="6" t="s">
        <v>1795</v>
      </c>
      <c r="T1180" s="4" t="s">
        <v>81</v>
      </c>
      <c r="U1180" s="4" t="s">
        <v>103</v>
      </c>
      <c r="V1180" s="4">
        <v>99</v>
      </c>
      <c r="W1180" s="85">
        <v>46260</v>
      </c>
      <c r="X1180" s="4" t="s">
        <v>1197</v>
      </c>
      <c r="Y1180" s="4">
        <v>565708587</v>
      </c>
      <c r="Z1180" s="4" t="s">
        <v>2229</v>
      </c>
      <c r="AA1180" s="4" t="s">
        <v>85</v>
      </c>
      <c r="AB1180" s="4" t="s">
        <v>4289</v>
      </c>
    </row>
    <row r="1181" spans="1:28">
      <c r="A1181" s="4">
        <v>1180</v>
      </c>
      <c r="B1181" s="106">
        <v>8903711</v>
      </c>
      <c r="C1181" s="5">
        <v>204013729</v>
      </c>
      <c r="D1181" s="115" t="s">
        <v>1384</v>
      </c>
      <c r="E1181" s="4" t="s">
        <v>1385</v>
      </c>
      <c r="F1181" s="7" t="s">
        <v>74</v>
      </c>
      <c r="G1181" s="7" t="s">
        <v>75</v>
      </c>
      <c r="H1181" s="7" t="s">
        <v>76</v>
      </c>
      <c r="I1181" s="6" t="s">
        <v>1788</v>
      </c>
      <c r="J1181" s="7" t="s">
        <v>7</v>
      </c>
      <c r="K1181" s="4" t="s">
        <v>10</v>
      </c>
      <c r="L1181" s="4" t="s">
        <v>24</v>
      </c>
      <c r="M1181" s="4" t="s">
        <v>386</v>
      </c>
      <c r="N1181" s="4" t="s">
        <v>2583</v>
      </c>
      <c r="O1181" s="89"/>
      <c r="P1181" s="25">
        <v>45551</v>
      </c>
      <c r="Q1181" s="7" t="s">
        <v>7</v>
      </c>
      <c r="R1181" s="90" t="s">
        <v>2586</v>
      </c>
      <c r="S1181" s="6" t="s">
        <v>1795</v>
      </c>
      <c r="T1181" s="4" t="s">
        <v>81</v>
      </c>
      <c r="U1181" s="4" t="s">
        <v>349</v>
      </c>
      <c r="V1181" s="4">
        <v>99</v>
      </c>
      <c r="W1181" s="85">
        <v>45916</v>
      </c>
      <c r="X1181" s="4" t="s">
        <v>3739</v>
      </c>
      <c r="Y1181" s="4">
        <v>545045650</v>
      </c>
      <c r="Z1181" s="4" t="s">
        <v>2232</v>
      </c>
      <c r="AA1181" s="4" t="s">
        <v>2270</v>
      </c>
      <c r="AB1181" s="4" t="s">
        <v>4289</v>
      </c>
    </row>
    <row r="1182" spans="1:28">
      <c r="A1182" s="4">
        <v>1181</v>
      </c>
      <c r="B1182" s="106">
        <v>13371589</v>
      </c>
      <c r="C1182" s="5">
        <v>203555213</v>
      </c>
      <c r="D1182" s="115" t="s">
        <v>559</v>
      </c>
      <c r="E1182" s="4" t="s">
        <v>560</v>
      </c>
      <c r="F1182" s="7" t="s">
        <v>82</v>
      </c>
      <c r="G1182" s="7" t="s">
        <v>88</v>
      </c>
      <c r="H1182" s="7" t="s">
        <v>94</v>
      </c>
      <c r="I1182" s="6" t="s">
        <v>1788</v>
      </c>
      <c r="J1182" s="7" t="s">
        <v>7</v>
      </c>
      <c r="K1182" s="4" t="s">
        <v>10</v>
      </c>
      <c r="L1182" s="4" t="s">
        <v>24</v>
      </c>
      <c r="M1182" s="4" t="s">
        <v>4315</v>
      </c>
      <c r="N1182" s="4" t="s">
        <v>2583</v>
      </c>
      <c r="O1182" s="89"/>
      <c r="P1182" s="25">
        <v>45470</v>
      </c>
      <c r="Q1182" s="7" t="s">
        <v>7</v>
      </c>
      <c r="R1182" s="90" t="s">
        <v>3254</v>
      </c>
      <c r="S1182" s="6" t="s">
        <v>1795</v>
      </c>
      <c r="T1182" s="4" t="s">
        <v>92</v>
      </c>
      <c r="U1182" s="4" t="s">
        <v>112</v>
      </c>
      <c r="V1182" s="4">
        <v>99</v>
      </c>
      <c r="W1182" s="85">
        <v>45835</v>
      </c>
      <c r="X1182" s="4" t="s">
        <v>3703</v>
      </c>
      <c r="Y1182" s="4">
        <v>504718296</v>
      </c>
      <c r="Z1182" s="4" t="s">
        <v>2233</v>
      </c>
      <c r="AA1182" s="4" t="s">
        <v>85</v>
      </c>
      <c r="AB1182" s="4" t="s">
        <v>4289</v>
      </c>
    </row>
    <row r="1183" spans="1:28">
      <c r="A1183" s="4">
        <v>1182</v>
      </c>
      <c r="B1183" s="106">
        <v>12424177</v>
      </c>
      <c r="C1183" s="5">
        <v>206368539</v>
      </c>
      <c r="D1183" s="115" t="s">
        <v>3203</v>
      </c>
      <c r="E1183" s="4" t="s">
        <v>3192</v>
      </c>
      <c r="F1183" s="7" t="s">
        <v>82</v>
      </c>
      <c r="G1183" s="7" t="s">
        <v>88</v>
      </c>
      <c r="H1183" s="7" t="s">
        <v>94</v>
      </c>
      <c r="I1183" s="7" t="s">
        <v>1789</v>
      </c>
      <c r="J1183" s="7" t="s">
        <v>7</v>
      </c>
      <c r="K1183" s="4" t="s">
        <v>10</v>
      </c>
      <c r="L1183" s="4" t="s">
        <v>23</v>
      </c>
      <c r="M1183" s="4" t="s">
        <v>4315</v>
      </c>
      <c r="N1183" s="4" t="s">
        <v>2584</v>
      </c>
      <c r="O1183" s="89"/>
      <c r="P1183" s="25">
        <v>45957</v>
      </c>
      <c r="Q1183" s="7" t="s">
        <v>7</v>
      </c>
      <c r="R1183" s="4" t="s">
        <v>3258</v>
      </c>
      <c r="S1183" s="6" t="s">
        <v>1795</v>
      </c>
      <c r="T1183" s="4" t="s">
        <v>92</v>
      </c>
      <c r="U1183" s="4" t="s">
        <v>132</v>
      </c>
      <c r="V1183" s="4">
        <v>99</v>
      </c>
      <c r="W1183" s="85">
        <v>46013</v>
      </c>
      <c r="X1183" s="4" t="s">
        <v>2357</v>
      </c>
      <c r="Y1183" s="4">
        <v>589806968</v>
      </c>
      <c r="Z1183" s="4" t="s">
        <v>3216</v>
      </c>
      <c r="AA1183" s="4" t="s">
        <v>1204</v>
      </c>
      <c r="AB1183" s="4" t="s">
        <v>4289</v>
      </c>
    </row>
    <row r="1184" spans="1:28">
      <c r="A1184" s="4">
        <v>1183</v>
      </c>
      <c r="B1184" s="106">
        <v>12743852</v>
      </c>
      <c r="C1184" s="5">
        <v>203513400</v>
      </c>
      <c r="D1184" s="115" t="s">
        <v>553</v>
      </c>
      <c r="E1184" s="4" t="s">
        <v>554</v>
      </c>
      <c r="F1184" s="7" t="s">
        <v>74</v>
      </c>
      <c r="G1184" s="7" t="s">
        <v>88</v>
      </c>
      <c r="H1184" s="7" t="s">
        <v>94</v>
      </c>
      <c r="I1184" s="6" t="s">
        <v>1788</v>
      </c>
      <c r="J1184" s="7" t="s">
        <v>7</v>
      </c>
      <c r="K1184" s="4" t="s">
        <v>10</v>
      </c>
      <c r="L1184" s="4" t="s">
        <v>24</v>
      </c>
      <c r="M1184" s="4" t="s">
        <v>386</v>
      </c>
      <c r="N1184" s="4" t="s">
        <v>2583</v>
      </c>
      <c r="O1184" s="89"/>
      <c r="P1184" s="25">
        <v>45463</v>
      </c>
      <c r="Q1184" s="7" t="s">
        <v>7</v>
      </c>
      <c r="R1184" s="90" t="s">
        <v>3256</v>
      </c>
      <c r="S1184" s="6" t="s">
        <v>1795</v>
      </c>
      <c r="T1184" s="4" t="s">
        <v>81</v>
      </c>
      <c r="U1184" s="4" t="s">
        <v>107</v>
      </c>
      <c r="V1184" s="4">
        <v>99</v>
      </c>
      <c r="W1184" s="85">
        <v>45828</v>
      </c>
      <c r="X1184" s="4" t="s">
        <v>3703</v>
      </c>
      <c r="Y1184" s="4">
        <v>522174859</v>
      </c>
      <c r="Z1184" s="4" t="s">
        <v>2234</v>
      </c>
      <c r="AA1184" s="4" t="s">
        <v>85</v>
      </c>
      <c r="AB1184" s="4" t="s">
        <v>4289</v>
      </c>
    </row>
    <row r="1185" spans="1:28">
      <c r="A1185" s="4">
        <v>1184</v>
      </c>
      <c r="B1185" s="106">
        <v>13700122</v>
      </c>
      <c r="C1185" s="5">
        <v>108067922</v>
      </c>
      <c r="D1185" s="115" t="s">
        <v>470</v>
      </c>
      <c r="E1185" s="4" t="s">
        <v>471</v>
      </c>
      <c r="F1185" s="7" t="s">
        <v>74</v>
      </c>
      <c r="G1185" s="7" t="s">
        <v>88</v>
      </c>
      <c r="H1185" s="7" t="s">
        <v>94</v>
      </c>
      <c r="I1185" s="6" t="s">
        <v>244</v>
      </c>
      <c r="J1185" s="7" t="s">
        <v>7</v>
      </c>
      <c r="K1185" s="4" t="s">
        <v>10</v>
      </c>
      <c r="L1185" s="4" t="s">
        <v>21</v>
      </c>
      <c r="M1185" s="4" t="s">
        <v>4315</v>
      </c>
      <c r="N1185" s="4" t="s">
        <v>2583</v>
      </c>
      <c r="O1185" s="89"/>
      <c r="P1185" s="25">
        <v>44728</v>
      </c>
      <c r="Q1185" s="7" t="s">
        <v>7</v>
      </c>
      <c r="R1185" s="90" t="s">
        <v>3258</v>
      </c>
      <c r="S1185" s="6" t="s">
        <v>1795</v>
      </c>
      <c r="T1185" s="4" t="s">
        <v>81</v>
      </c>
      <c r="U1185" s="4" t="s">
        <v>112</v>
      </c>
      <c r="V1185" s="4">
        <v>3</v>
      </c>
      <c r="W1185" s="85"/>
      <c r="X1185" s="4" t="s">
        <v>3474</v>
      </c>
      <c r="Y1185" s="4">
        <v>0</v>
      </c>
      <c r="Z1185" s="4" t="e">
        <v>#N/A</v>
      </c>
      <c r="AA1185" s="4" t="s">
        <v>127</v>
      </c>
      <c r="AB1185" s="4" t="s">
        <v>4290</v>
      </c>
    </row>
    <row r="1186" spans="1:28">
      <c r="A1186" s="4">
        <v>1185</v>
      </c>
      <c r="B1186" s="106">
        <v>13068792</v>
      </c>
      <c r="C1186" s="5">
        <v>203513497</v>
      </c>
      <c r="D1186" s="115" t="s">
        <v>547</v>
      </c>
      <c r="E1186" s="4" t="s">
        <v>548</v>
      </c>
      <c r="F1186" s="7" t="s">
        <v>82</v>
      </c>
      <c r="G1186" s="7" t="s">
        <v>94</v>
      </c>
      <c r="H1186" s="7" t="s">
        <v>89</v>
      </c>
      <c r="I1186" s="6" t="s">
        <v>1788</v>
      </c>
      <c r="J1186" s="7" t="s">
        <v>7</v>
      </c>
      <c r="K1186" s="4" t="s">
        <v>10</v>
      </c>
      <c r="L1186" s="4" t="s">
        <v>24</v>
      </c>
      <c r="M1186" s="4" t="s">
        <v>4315</v>
      </c>
      <c r="N1186" s="4" t="s">
        <v>2583</v>
      </c>
      <c r="O1186" s="89"/>
      <c r="P1186" s="25">
        <v>45463</v>
      </c>
      <c r="Q1186" s="7" t="s">
        <v>7</v>
      </c>
      <c r="R1186" s="90" t="s">
        <v>3252</v>
      </c>
      <c r="S1186" s="6" t="s">
        <v>1795</v>
      </c>
      <c r="T1186" s="4" t="s">
        <v>81</v>
      </c>
      <c r="U1186" s="4" t="s">
        <v>103</v>
      </c>
      <c r="V1186" s="4">
        <v>99</v>
      </c>
      <c r="W1186" s="85">
        <v>45828</v>
      </c>
      <c r="X1186" s="4" t="s">
        <v>3703</v>
      </c>
      <c r="Y1186" s="4">
        <v>547023062</v>
      </c>
      <c r="Z1186" s="4" t="s">
        <v>2235</v>
      </c>
      <c r="AA1186" s="4" t="s">
        <v>85</v>
      </c>
      <c r="AB1186" s="4" t="s">
        <v>4289</v>
      </c>
    </row>
    <row r="1187" spans="1:28">
      <c r="A1187" s="4">
        <v>1186</v>
      </c>
      <c r="B1187" s="106">
        <v>12163794</v>
      </c>
      <c r="C1187" s="5">
        <v>102206142</v>
      </c>
      <c r="D1187" s="115" t="s">
        <v>485</v>
      </c>
      <c r="E1187" s="4" t="s">
        <v>486</v>
      </c>
      <c r="F1187" s="7" t="s">
        <v>74</v>
      </c>
      <c r="G1187" s="7" t="s">
        <v>94</v>
      </c>
      <c r="H1187" s="7" t="s">
        <v>89</v>
      </c>
      <c r="I1187" s="6" t="s">
        <v>119</v>
      </c>
      <c r="J1187" s="7" t="s">
        <v>7</v>
      </c>
      <c r="K1187" s="4" t="s">
        <v>10</v>
      </c>
      <c r="L1187" s="4" t="s">
        <v>21</v>
      </c>
      <c r="M1187" s="4" t="s">
        <v>386</v>
      </c>
      <c r="N1187" s="4" t="s">
        <v>2583</v>
      </c>
      <c r="O1187" s="89"/>
      <c r="P1187" s="25">
        <v>42868</v>
      </c>
      <c r="Q1187" s="7" t="s">
        <v>7</v>
      </c>
      <c r="R1187" s="90" t="s">
        <v>3262</v>
      </c>
      <c r="S1187" s="6" t="s">
        <v>1795</v>
      </c>
      <c r="T1187" s="4" t="s">
        <v>81</v>
      </c>
      <c r="U1187" s="4" t="s">
        <v>112</v>
      </c>
      <c r="V1187" s="4">
        <v>1</v>
      </c>
      <c r="W1187" s="85"/>
      <c r="X1187" s="4" t="s">
        <v>3739</v>
      </c>
      <c r="Y1187" s="4">
        <v>0</v>
      </c>
      <c r="Z1187" s="4" t="e">
        <v>#N/A</v>
      </c>
      <c r="AA1187" s="4" t="s">
        <v>2269</v>
      </c>
      <c r="AB1187" s="4" t="s">
        <v>4289</v>
      </c>
    </row>
    <row r="1188" spans="1:28">
      <c r="A1188" s="4">
        <v>1187</v>
      </c>
      <c r="B1188" s="106">
        <v>14825193</v>
      </c>
      <c r="C1188" s="5">
        <v>203635486</v>
      </c>
      <c r="D1188" s="115" t="s">
        <v>572</v>
      </c>
      <c r="E1188" s="4" t="s">
        <v>573</v>
      </c>
      <c r="F1188" s="7" t="s">
        <v>74</v>
      </c>
      <c r="G1188" s="7" t="s">
        <v>89</v>
      </c>
      <c r="H1188" s="7" t="s">
        <v>90</v>
      </c>
      <c r="I1188" s="6" t="s">
        <v>1788</v>
      </c>
      <c r="J1188" s="7" t="s">
        <v>7</v>
      </c>
      <c r="K1188" s="4" t="s">
        <v>10</v>
      </c>
      <c r="L1188" s="4" t="s">
        <v>24</v>
      </c>
      <c r="M1188" s="4" t="s">
        <v>386</v>
      </c>
      <c r="N1188" s="4" t="s">
        <v>2584</v>
      </c>
      <c r="O1188" s="89"/>
      <c r="P1188" s="25">
        <v>45481</v>
      </c>
      <c r="Q1188" s="7" t="s">
        <v>7</v>
      </c>
      <c r="R1188" s="90" t="s">
        <v>3255</v>
      </c>
      <c r="S1188" s="6" t="s">
        <v>1795</v>
      </c>
      <c r="T1188" s="4" t="s">
        <v>92</v>
      </c>
      <c r="U1188" s="4" t="s">
        <v>349</v>
      </c>
      <c r="V1188" s="4">
        <v>99</v>
      </c>
      <c r="W1188" s="85">
        <v>45846</v>
      </c>
      <c r="X1188" s="4" t="s">
        <v>3739</v>
      </c>
      <c r="Y1188" s="4">
        <v>588854938</v>
      </c>
      <c r="Z1188" s="4" t="s">
        <v>2237</v>
      </c>
      <c r="AA1188" s="4" t="s">
        <v>85</v>
      </c>
      <c r="AB1188" s="4" t="s">
        <v>4289</v>
      </c>
    </row>
    <row r="1189" spans="1:28">
      <c r="A1189" s="4">
        <v>1188</v>
      </c>
      <c r="B1189" s="106">
        <v>14935986</v>
      </c>
      <c r="C1189" s="5">
        <v>205275961</v>
      </c>
      <c r="D1189" s="115" t="s">
        <v>2520</v>
      </c>
      <c r="E1189" s="4" t="s">
        <v>2524</v>
      </c>
      <c r="F1189" s="7" t="s">
        <v>74</v>
      </c>
      <c r="G1189" s="7" t="s">
        <v>75</v>
      </c>
      <c r="H1189" s="7" t="s">
        <v>76</v>
      </c>
      <c r="I1189" s="6" t="s">
        <v>1789</v>
      </c>
      <c r="J1189" s="7" t="s">
        <v>7</v>
      </c>
      <c r="K1189" s="4" t="s">
        <v>10</v>
      </c>
      <c r="L1189" s="4" t="s">
        <v>22</v>
      </c>
      <c r="M1189" s="4" t="s">
        <v>386</v>
      </c>
      <c r="N1189" s="4" t="s">
        <v>2584</v>
      </c>
      <c r="O1189" s="89"/>
      <c r="P1189" s="25">
        <v>45796</v>
      </c>
      <c r="Q1189" s="7" t="s">
        <v>7</v>
      </c>
      <c r="R1189" s="90" t="s">
        <v>3260</v>
      </c>
      <c r="S1189" s="6" t="s">
        <v>1795</v>
      </c>
      <c r="T1189" s="4" t="s">
        <v>81</v>
      </c>
      <c r="U1189" s="4" t="s">
        <v>107</v>
      </c>
      <c r="V1189" s="4">
        <v>99</v>
      </c>
      <c r="W1189" s="85">
        <v>45838</v>
      </c>
      <c r="X1189" s="4" t="s">
        <v>1216</v>
      </c>
      <c r="Y1189" s="4">
        <v>502907854</v>
      </c>
      <c r="Z1189" s="4" t="s">
        <v>2539</v>
      </c>
      <c r="AA1189" s="4" t="s">
        <v>85</v>
      </c>
      <c r="AB1189" s="4" t="s">
        <v>4289</v>
      </c>
    </row>
    <row r="1190" spans="1:28">
      <c r="A1190" s="4">
        <v>1189</v>
      </c>
      <c r="B1190" s="106">
        <v>14502884</v>
      </c>
      <c r="C1190" s="5">
        <v>206348024</v>
      </c>
      <c r="D1190" s="115" t="s">
        <v>3198</v>
      </c>
      <c r="E1190" s="4" t="s">
        <v>3187</v>
      </c>
      <c r="F1190" s="7" t="s">
        <v>82</v>
      </c>
      <c r="G1190" s="7" t="s">
        <v>76</v>
      </c>
      <c r="H1190" s="7" t="s">
        <v>88</v>
      </c>
      <c r="I1190" s="7" t="s">
        <v>1789</v>
      </c>
      <c r="J1190" s="7" t="s">
        <v>7</v>
      </c>
      <c r="K1190" s="4" t="s">
        <v>10</v>
      </c>
      <c r="L1190" s="4" t="s">
        <v>24</v>
      </c>
      <c r="M1190" s="4" t="s">
        <v>4315</v>
      </c>
      <c r="N1190" s="4" t="s">
        <v>2584</v>
      </c>
      <c r="O1190" s="89"/>
      <c r="P1190" s="25">
        <v>45957</v>
      </c>
      <c r="Q1190" s="7" t="s">
        <v>7</v>
      </c>
      <c r="R1190" s="7" t="s">
        <v>3257</v>
      </c>
      <c r="S1190" s="6" t="s">
        <v>1795</v>
      </c>
      <c r="T1190" s="4" t="s">
        <v>92</v>
      </c>
      <c r="U1190" s="4" t="s">
        <v>349</v>
      </c>
      <c r="V1190" s="4">
        <v>99</v>
      </c>
      <c r="W1190" s="85">
        <v>46013</v>
      </c>
      <c r="X1190" s="4" t="s">
        <v>3657</v>
      </c>
      <c r="Y1190" s="4">
        <v>555409880</v>
      </c>
      <c r="Z1190" s="4" t="s">
        <v>3210</v>
      </c>
      <c r="AA1190" s="4" t="s">
        <v>3167</v>
      </c>
      <c r="AB1190" s="4" t="s">
        <v>4290</v>
      </c>
    </row>
    <row r="1191" spans="1:28">
      <c r="A1191" s="4">
        <v>1190</v>
      </c>
      <c r="B1191" s="106">
        <v>12487626</v>
      </c>
      <c r="C1191" s="5">
        <v>205275960</v>
      </c>
      <c r="D1191" s="115" t="s">
        <v>2521</v>
      </c>
      <c r="E1191" s="4" t="s">
        <v>2525</v>
      </c>
      <c r="F1191" s="7" t="s">
        <v>74</v>
      </c>
      <c r="G1191" s="7" t="s">
        <v>89</v>
      </c>
      <c r="H1191" s="7" t="s">
        <v>90</v>
      </c>
      <c r="I1191" s="6" t="s">
        <v>1789</v>
      </c>
      <c r="J1191" s="7" t="s">
        <v>7</v>
      </c>
      <c r="K1191" s="4" t="s">
        <v>10</v>
      </c>
      <c r="L1191" s="4" t="s">
        <v>22</v>
      </c>
      <c r="M1191" s="4" t="s">
        <v>386</v>
      </c>
      <c r="N1191" s="4" t="s">
        <v>2584</v>
      </c>
      <c r="O1191" s="89"/>
      <c r="P1191" s="25">
        <v>45796</v>
      </c>
      <c r="Q1191" s="7" t="s">
        <v>7</v>
      </c>
      <c r="R1191" s="90" t="s">
        <v>3260</v>
      </c>
      <c r="S1191" s="6" t="s">
        <v>1795</v>
      </c>
      <c r="T1191" s="4" t="s">
        <v>81</v>
      </c>
      <c r="U1191" s="4" t="s">
        <v>3263</v>
      </c>
      <c r="V1191" s="4">
        <v>99</v>
      </c>
      <c r="W1191" s="85">
        <v>45838</v>
      </c>
      <c r="X1191" s="4" t="s">
        <v>1216</v>
      </c>
      <c r="Y1191" s="4">
        <v>502897451</v>
      </c>
      <c r="Z1191" s="4" t="s">
        <v>2540</v>
      </c>
      <c r="AA1191" s="4" t="s">
        <v>85</v>
      </c>
      <c r="AB1191" s="4" t="s">
        <v>4290</v>
      </c>
    </row>
    <row r="1192" spans="1:28">
      <c r="A1192" s="4">
        <v>1191</v>
      </c>
      <c r="B1192" s="106">
        <v>11129421</v>
      </c>
      <c r="C1192" s="5">
        <v>206368537</v>
      </c>
      <c r="D1192" s="115" t="s">
        <v>3202</v>
      </c>
      <c r="E1192" s="4" t="s">
        <v>3191</v>
      </c>
      <c r="F1192" s="7" t="s">
        <v>82</v>
      </c>
      <c r="G1192" s="7" t="s">
        <v>94</v>
      </c>
      <c r="H1192" s="7" t="s">
        <v>89</v>
      </c>
      <c r="I1192" s="7" t="s">
        <v>1789</v>
      </c>
      <c r="J1192" s="7" t="s">
        <v>7</v>
      </c>
      <c r="K1192" s="4" t="s">
        <v>10</v>
      </c>
      <c r="L1192" s="4" t="s">
        <v>23</v>
      </c>
      <c r="M1192" s="4" t="s">
        <v>4315</v>
      </c>
      <c r="N1192" s="4" t="s">
        <v>2584</v>
      </c>
      <c r="O1192" s="89"/>
      <c r="P1192" s="25">
        <v>45957</v>
      </c>
      <c r="Q1192" s="7" t="s">
        <v>7</v>
      </c>
      <c r="R1192" s="4" t="s">
        <v>3260</v>
      </c>
      <c r="S1192" s="6" t="s">
        <v>1796</v>
      </c>
      <c r="T1192" s="4" t="s">
        <v>92</v>
      </c>
      <c r="U1192" s="4" t="s">
        <v>349</v>
      </c>
      <c r="V1192" s="4">
        <v>99</v>
      </c>
      <c r="W1192" s="85">
        <v>46013</v>
      </c>
      <c r="X1192" s="4" t="s">
        <v>2357</v>
      </c>
      <c r="Y1192" s="4">
        <v>543452518</v>
      </c>
      <c r="Z1192" s="4" t="s">
        <v>3215</v>
      </c>
      <c r="AA1192" s="4" t="s">
        <v>1204</v>
      </c>
      <c r="AB1192" s="4" t="s">
        <v>4289</v>
      </c>
    </row>
    <row r="1193" spans="1:28">
      <c r="A1193" s="4">
        <v>1192</v>
      </c>
      <c r="B1193" s="106">
        <v>12612705</v>
      </c>
      <c r="C1193" s="5">
        <v>105545779</v>
      </c>
      <c r="D1193" s="115" t="s">
        <v>487</v>
      </c>
      <c r="E1193" s="4" t="s">
        <v>488</v>
      </c>
      <c r="F1193" s="7" t="s">
        <v>74</v>
      </c>
      <c r="G1193" s="7" t="s">
        <v>76</v>
      </c>
      <c r="H1193" s="7" t="s">
        <v>88</v>
      </c>
      <c r="I1193" s="6" t="s">
        <v>119</v>
      </c>
      <c r="J1193" s="7" t="s">
        <v>7</v>
      </c>
      <c r="K1193" s="4" t="s">
        <v>10</v>
      </c>
      <c r="L1193" s="4" t="s">
        <v>21</v>
      </c>
      <c r="M1193" s="4" t="s">
        <v>386</v>
      </c>
      <c r="N1193" s="4" t="s">
        <v>2583</v>
      </c>
      <c r="O1193" s="89"/>
      <c r="P1193" s="25">
        <v>44724</v>
      </c>
      <c r="Q1193" s="7" t="s">
        <v>7</v>
      </c>
      <c r="R1193" s="90" t="s">
        <v>3255</v>
      </c>
      <c r="S1193" s="6" t="s">
        <v>1795</v>
      </c>
      <c r="T1193" s="4" t="s">
        <v>81</v>
      </c>
      <c r="U1193" s="4" t="s">
        <v>103</v>
      </c>
      <c r="V1193" s="4">
        <v>1</v>
      </c>
      <c r="W1193" s="85"/>
      <c r="X1193" s="4" t="s">
        <v>1197</v>
      </c>
      <c r="Y1193" s="4">
        <v>0</v>
      </c>
      <c r="Z1193" s="4" t="e">
        <v>#N/A</v>
      </c>
      <c r="AA1193" s="4" t="s">
        <v>2269</v>
      </c>
      <c r="AB1193" s="4" t="s">
        <v>4289</v>
      </c>
    </row>
    <row r="1194" spans="1:28">
      <c r="A1194" s="4">
        <v>1193</v>
      </c>
      <c r="B1194" s="106">
        <v>14257286</v>
      </c>
      <c r="C1194" s="5">
        <v>206361785</v>
      </c>
      <c r="D1194" s="115" t="s">
        <v>3199</v>
      </c>
      <c r="E1194" s="4" t="s">
        <v>3188</v>
      </c>
      <c r="F1194" s="7" t="s">
        <v>82</v>
      </c>
      <c r="G1194" s="7" t="s">
        <v>75</v>
      </c>
      <c r="H1194" s="7" t="s">
        <v>76</v>
      </c>
      <c r="I1194" s="7" t="s">
        <v>1789</v>
      </c>
      <c r="J1194" s="7" t="s">
        <v>7</v>
      </c>
      <c r="K1194" s="4" t="s">
        <v>10</v>
      </c>
      <c r="L1194" s="4" t="s">
        <v>23</v>
      </c>
      <c r="M1194" s="4" t="s">
        <v>4315</v>
      </c>
      <c r="N1194" s="4" t="s">
        <v>2584</v>
      </c>
      <c r="O1194" s="89"/>
      <c r="P1194" s="25">
        <v>45957</v>
      </c>
      <c r="Q1194" s="7" t="s">
        <v>7</v>
      </c>
      <c r="R1194" s="90" t="s">
        <v>3254</v>
      </c>
      <c r="S1194" s="6" t="s">
        <v>1795</v>
      </c>
      <c r="T1194" s="4" t="s">
        <v>92</v>
      </c>
      <c r="U1194" s="4" t="s">
        <v>349</v>
      </c>
      <c r="V1194" s="4">
        <v>99</v>
      </c>
      <c r="W1194" s="85">
        <v>46013</v>
      </c>
      <c r="X1194" s="4" t="s">
        <v>2357</v>
      </c>
      <c r="Y1194" s="4">
        <v>508938094</v>
      </c>
      <c r="Z1194" s="4" t="s">
        <v>3212</v>
      </c>
      <c r="AA1194" s="4" t="s">
        <v>1204</v>
      </c>
      <c r="AB1194" s="4" t="s">
        <v>4289</v>
      </c>
    </row>
    <row r="1195" spans="1:28">
      <c r="A1195" s="4">
        <v>1194</v>
      </c>
      <c r="B1195" s="106">
        <v>13766675</v>
      </c>
      <c r="C1195" s="5">
        <v>203555155</v>
      </c>
      <c r="D1195" s="115" t="s">
        <v>555</v>
      </c>
      <c r="E1195" s="4" t="s">
        <v>556</v>
      </c>
      <c r="F1195" s="7" t="s">
        <v>74</v>
      </c>
      <c r="G1195" s="7" t="s">
        <v>94</v>
      </c>
      <c r="H1195" s="7" t="s">
        <v>89</v>
      </c>
      <c r="I1195" s="6" t="s">
        <v>1788</v>
      </c>
      <c r="J1195" s="7" t="s">
        <v>7</v>
      </c>
      <c r="K1195" s="4" t="s">
        <v>10</v>
      </c>
      <c r="L1195" s="4" t="s">
        <v>24</v>
      </c>
      <c r="M1195" s="4" t="s">
        <v>386</v>
      </c>
      <c r="N1195" s="4" t="s">
        <v>2583</v>
      </c>
      <c r="O1195" s="89"/>
      <c r="P1195" s="25">
        <v>45470</v>
      </c>
      <c r="Q1195" s="7" t="s">
        <v>7</v>
      </c>
      <c r="R1195" s="90" t="s">
        <v>2586</v>
      </c>
      <c r="S1195" s="6" t="s">
        <v>1795</v>
      </c>
      <c r="T1195" s="4" t="s">
        <v>92</v>
      </c>
      <c r="U1195" s="4" t="s">
        <v>132</v>
      </c>
      <c r="V1195" s="4">
        <v>99</v>
      </c>
      <c r="W1195" s="85">
        <v>45835</v>
      </c>
      <c r="X1195" s="4" t="s">
        <v>3694</v>
      </c>
      <c r="Y1195" s="4">
        <v>566268783</v>
      </c>
      <c r="Z1195" s="4" t="s">
        <v>2240</v>
      </c>
      <c r="AA1195" s="4" t="s">
        <v>85</v>
      </c>
      <c r="AB1195" s="4" t="s">
        <v>4289</v>
      </c>
    </row>
    <row r="1196" spans="1:28">
      <c r="A1196" s="4">
        <v>1195</v>
      </c>
      <c r="B1196" s="106">
        <v>38523</v>
      </c>
      <c r="C1196" s="5">
        <v>206348026</v>
      </c>
      <c r="D1196" s="115" t="s">
        <v>3173</v>
      </c>
      <c r="E1196" s="4" t="s">
        <v>3134</v>
      </c>
      <c r="F1196" s="7" t="s">
        <v>74</v>
      </c>
      <c r="G1196" s="7" t="s">
        <v>75</v>
      </c>
      <c r="H1196" s="7" t="s">
        <v>76</v>
      </c>
      <c r="I1196" s="7" t="s">
        <v>1789</v>
      </c>
      <c r="J1196" s="7" t="s">
        <v>7</v>
      </c>
      <c r="K1196" s="4" t="s">
        <v>10</v>
      </c>
      <c r="L1196" s="4" t="s">
        <v>22</v>
      </c>
      <c r="M1196" s="4" t="s">
        <v>386</v>
      </c>
      <c r="N1196" s="4" t="s">
        <v>2584</v>
      </c>
      <c r="O1196" s="89"/>
      <c r="P1196" s="25">
        <v>45957</v>
      </c>
      <c r="Q1196" s="7" t="s">
        <v>7</v>
      </c>
      <c r="R1196" s="90" t="s">
        <v>3253</v>
      </c>
      <c r="S1196" s="6" t="s">
        <v>1796</v>
      </c>
      <c r="T1196" s="4" t="s">
        <v>81</v>
      </c>
      <c r="U1196" s="4" t="s">
        <v>349</v>
      </c>
      <c r="V1196" s="4">
        <v>99</v>
      </c>
      <c r="W1196" s="85">
        <v>46013</v>
      </c>
      <c r="X1196" s="4" t="s">
        <v>2758</v>
      </c>
      <c r="Y1196" s="4" t="s">
        <v>3145</v>
      </c>
      <c r="Z1196" s="4" t="s">
        <v>3158</v>
      </c>
      <c r="AA1196" s="4" t="s">
        <v>3168</v>
      </c>
      <c r="AB1196" s="4" t="s">
        <v>4289</v>
      </c>
    </row>
    <row r="1197" spans="1:28">
      <c r="A1197" s="4">
        <v>1196</v>
      </c>
      <c r="B1197" s="106">
        <v>12663636</v>
      </c>
      <c r="C1197" s="5">
        <v>206348045</v>
      </c>
      <c r="D1197" s="115" t="s">
        <v>3179</v>
      </c>
      <c r="E1197" s="4" t="s">
        <v>3140</v>
      </c>
      <c r="F1197" s="7" t="s">
        <v>74</v>
      </c>
      <c r="G1197" s="7" t="s">
        <v>75</v>
      </c>
      <c r="H1197" s="7" t="s">
        <v>76</v>
      </c>
      <c r="I1197" s="7" t="s">
        <v>1789</v>
      </c>
      <c r="J1197" s="7" t="s">
        <v>7</v>
      </c>
      <c r="K1197" s="4" t="s">
        <v>10</v>
      </c>
      <c r="L1197" s="4" t="s">
        <v>22</v>
      </c>
      <c r="M1197" s="4" t="s">
        <v>386</v>
      </c>
      <c r="N1197" s="4" t="s">
        <v>2584</v>
      </c>
      <c r="O1197" s="89"/>
      <c r="P1197" s="25">
        <v>45957</v>
      </c>
      <c r="Q1197" s="7" t="s">
        <v>7</v>
      </c>
      <c r="R1197" s="90" t="s">
        <v>2586</v>
      </c>
      <c r="S1197" s="6" t="s">
        <v>1796</v>
      </c>
      <c r="T1197" s="4" t="s">
        <v>81</v>
      </c>
      <c r="U1197" s="4" t="s">
        <v>103</v>
      </c>
      <c r="V1197" s="4">
        <v>99</v>
      </c>
      <c r="W1197" s="85">
        <v>46013</v>
      </c>
      <c r="X1197" s="4" t="s">
        <v>2758</v>
      </c>
      <c r="Y1197" s="4" t="s">
        <v>3151</v>
      </c>
      <c r="Z1197" s="4" t="s">
        <v>3164</v>
      </c>
      <c r="AA1197" s="4" t="s">
        <v>3168</v>
      </c>
      <c r="AB1197" s="4" t="s">
        <v>4290</v>
      </c>
    </row>
    <row r="1198" spans="1:28">
      <c r="A1198" s="4">
        <v>1197</v>
      </c>
      <c r="B1198" s="106">
        <v>14623868</v>
      </c>
      <c r="C1198" s="5">
        <v>206348030</v>
      </c>
      <c r="D1198" s="115" t="s">
        <v>3177</v>
      </c>
      <c r="E1198" s="4" t="s">
        <v>3138</v>
      </c>
      <c r="F1198" s="7" t="s">
        <v>74</v>
      </c>
      <c r="G1198" s="7" t="s">
        <v>87</v>
      </c>
      <c r="H1198" s="7" t="s">
        <v>75</v>
      </c>
      <c r="I1198" s="7" t="s">
        <v>1789</v>
      </c>
      <c r="J1198" s="7" t="s">
        <v>7</v>
      </c>
      <c r="K1198" s="4" t="s">
        <v>10</v>
      </c>
      <c r="L1198" s="4" t="s">
        <v>22</v>
      </c>
      <c r="M1198" s="4" t="s">
        <v>386</v>
      </c>
      <c r="N1198" s="4" t="s">
        <v>2584</v>
      </c>
      <c r="O1198" s="89"/>
      <c r="P1198" s="25">
        <v>45957</v>
      </c>
      <c r="Q1198" s="7" t="s">
        <v>7</v>
      </c>
      <c r="R1198" s="90" t="s">
        <v>3261</v>
      </c>
      <c r="S1198" s="6" t="s">
        <v>1796</v>
      </c>
      <c r="T1198" s="4" t="s">
        <v>81</v>
      </c>
      <c r="U1198" s="4" t="s">
        <v>103</v>
      </c>
      <c r="V1198" s="4">
        <v>99</v>
      </c>
      <c r="W1198" s="85">
        <v>46013</v>
      </c>
      <c r="X1198" s="4" t="s">
        <v>2758</v>
      </c>
      <c r="Y1198" s="4" t="s">
        <v>3149</v>
      </c>
      <c r="Z1198" s="4" t="s">
        <v>3162</v>
      </c>
      <c r="AA1198" s="4" t="s">
        <v>3168</v>
      </c>
      <c r="AB1198" s="4" t="s">
        <v>4289</v>
      </c>
    </row>
    <row r="1199" spans="1:28">
      <c r="A1199" s="4">
        <v>1198</v>
      </c>
      <c r="B1199" s="106">
        <v>11295332</v>
      </c>
      <c r="C1199" s="5">
        <v>102582351</v>
      </c>
      <c r="D1199" s="115" t="s">
        <v>483</v>
      </c>
      <c r="E1199" s="4" t="s">
        <v>484</v>
      </c>
      <c r="F1199" s="7" t="s">
        <v>74</v>
      </c>
      <c r="G1199" s="7" t="s">
        <v>76</v>
      </c>
      <c r="H1199" s="7" t="s">
        <v>88</v>
      </c>
      <c r="I1199" s="6" t="s">
        <v>119</v>
      </c>
      <c r="J1199" s="7" t="s">
        <v>7</v>
      </c>
      <c r="K1199" s="4" t="s">
        <v>10</v>
      </c>
      <c r="L1199" s="4" t="s">
        <v>21</v>
      </c>
      <c r="M1199" s="4" t="s">
        <v>386</v>
      </c>
      <c r="N1199" s="4"/>
      <c r="O1199" s="89"/>
      <c r="P1199" s="25">
        <v>42962</v>
      </c>
      <c r="Q1199" s="7" t="s">
        <v>7</v>
      </c>
      <c r="R1199" s="90" t="s">
        <v>3257</v>
      </c>
      <c r="S1199" s="6" t="s">
        <v>1795</v>
      </c>
      <c r="T1199" s="4" t="s">
        <v>81</v>
      </c>
      <c r="U1199" s="4" t="s">
        <v>103</v>
      </c>
      <c r="V1199" s="4">
        <v>1</v>
      </c>
      <c r="W1199" s="85"/>
      <c r="X1199" s="4" t="s">
        <v>3739</v>
      </c>
      <c r="Y1199" s="4">
        <v>0</v>
      </c>
      <c r="Z1199" s="4" t="e">
        <v>#N/A</v>
      </c>
      <c r="AA1199" s="4" t="s">
        <v>1196</v>
      </c>
      <c r="AB1199" s="4" t="s">
        <v>4289</v>
      </c>
    </row>
    <row r="1200" spans="1:28">
      <c r="A1200" s="4">
        <v>1199</v>
      </c>
      <c r="B1200" s="106">
        <v>13236516</v>
      </c>
      <c r="C1200" s="5">
        <v>206348048</v>
      </c>
      <c r="D1200" s="115" t="s">
        <v>3175</v>
      </c>
      <c r="E1200" s="4" t="s">
        <v>3136</v>
      </c>
      <c r="F1200" s="7" t="s">
        <v>74</v>
      </c>
      <c r="G1200" s="7" t="s">
        <v>75</v>
      </c>
      <c r="H1200" s="7" t="s">
        <v>76</v>
      </c>
      <c r="I1200" s="7" t="s">
        <v>1789</v>
      </c>
      <c r="J1200" s="7" t="s">
        <v>7</v>
      </c>
      <c r="K1200" s="4" t="s">
        <v>10</v>
      </c>
      <c r="L1200" s="4" t="s">
        <v>22</v>
      </c>
      <c r="M1200" s="4" t="s">
        <v>386</v>
      </c>
      <c r="N1200" s="4" t="s">
        <v>2584</v>
      </c>
      <c r="O1200" s="89"/>
      <c r="P1200" s="25">
        <v>45957</v>
      </c>
      <c r="Q1200" s="7" t="s">
        <v>7</v>
      </c>
      <c r="R1200" s="4" t="s">
        <v>3262</v>
      </c>
      <c r="S1200" s="6" t="s">
        <v>1796</v>
      </c>
      <c r="T1200" s="4" t="s">
        <v>81</v>
      </c>
      <c r="U1200" s="4" t="s">
        <v>349</v>
      </c>
      <c r="V1200" s="4">
        <v>99</v>
      </c>
      <c r="W1200" s="85">
        <v>46013</v>
      </c>
      <c r="X1200" s="4" t="s">
        <v>2758</v>
      </c>
      <c r="Y1200" s="4" t="s">
        <v>3147</v>
      </c>
      <c r="Z1200" s="4" t="s">
        <v>3160</v>
      </c>
      <c r="AA1200" s="4" t="s">
        <v>3168</v>
      </c>
      <c r="AB1200" s="4" t="s">
        <v>4289</v>
      </c>
    </row>
    <row r="1201" spans="1:28" ht="14.5" customHeight="1">
      <c r="A1201" s="4">
        <v>1200</v>
      </c>
      <c r="B1201" s="106">
        <v>13508470</v>
      </c>
      <c r="C1201" s="5">
        <v>206348049</v>
      </c>
      <c r="D1201" s="115" t="s">
        <v>3176</v>
      </c>
      <c r="E1201" s="4" t="s">
        <v>3137</v>
      </c>
      <c r="F1201" s="7" t="s">
        <v>74</v>
      </c>
      <c r="G1201" s="7" t="s">
        <v>76</v>
      </c>
      <c r="H1201" s="7" t="s">
        <v>88</v>
      </c>
      <c r="I1201" s="7" t="s">
        <v>1789</v>
      </c>
      <c r="J1201" s="7" t="s">
        <v>7</v>
      </c>
      <c r="K1201" s="4" t="s">
        <v>10</v>
      </c>
      <c r="L1201" s="4" t="s">
        <v>22</v>
      </c>
      <c r="M1201" s="4" t="s">
        <v>386</v>
      </c>
      <c r="N1201" s="4" t="s">
        <v>2584</v>
      </c>
      <c r="O1201" s="89"/>
      <c r="P1201" s="25">
        <v>45957</v>
      </c>
      <c r="Q1201" s="7" t="s">
        <v>7</v>
      </c>
      <c r="R1201" s="4" t="s">
        <v>3260</v>
      </c>
      <c r="S1201" s="6" t="s">
        <v>1796</v>
      </c>
      <c r="T1201" s="4" t="s">
        <v>81</v>
      </c>
      <c r="U1201" s="4" t="s">
        <v>349</v>
      </c>
      <c r="V1201" s="4">
        <v>99</v>
      </c>
      <c r="W1201" s="85">
        <v>46013</v>
      </c>
      <c r="X1201" s="4" t="s">
        <v>2758</v>
      </c>
      <c r="Y1201" s="4" t="s">
        <v>3148</v>
      </c>
      <c r="Z1201" s="4" t="s">
        <v>3161</v>
      </c>
      <c r="AA1201" s="4" t="s">
        <v>3168</v>
      </c>
      <c r="AB1201" s="4" t="s">
        <v>4289</v>
      </c>
    </row>
    <row r="1202" spans="1:28">
      <c r="A1202" s="4">
        <v>1201</v>
      </c>
      <c r="B1202" s="106">
        <v>13032276</v>
      </c>
      <c r="C1202" s="5">
        <v>206348041</v>
      </c>
      <c r="D1202" s="115" t="s">
        <v>3205</v>
      </c>
      <c r="E1202" s="4" t="s">
        <v>3194</v>
      </c>
      <c r="F1202" s="7" t="s">
        <v>82</v>
      </c>
      <c r="G1202" s="7" t="s">
        <v>89</v>
      </c>
      <c r="H1202" s="7" t="s">
        <v>90</v>
      </c>
      <c r="I1202" s="7" t="s">
        <v>1789</v>
      </c>
      <c r="J1202" s="7" t="s">
        <v>7</v>
      </c>
      <c r="K1202" s="4" t="s">
        <v>10</v>
      </c>
      <c r="L1202" s="4" t="s">
        <v>22</v>
      </c>
      <c r="M1202" s="4" t="s">
        <v>4315</v>
      </c>
      <c r="N1202" s="4" t="s">
        <v>2584</v>
      </c>
      <c r="O1202" s="89"/>
      <c r="P1202" s="25">
        <v>45957</v>
      </c>
      <c r="Q1202" s="7" t="s">
        <v>7</v>
      </c>
      <c r="R1202" s="90" t="s">
        <v>3253</v>
      </c>
      <c r="S1202" s="6" t="s">
        <v>1796</v>
      </c>
      <c r="T1202" s="4" t="s">
        <v>81</v>
      </c>
      <c r="U1202" s="4" t="s">
        <v>349</v>
      </c>
      <c r="V1202" s="4">
        <v>99</v>
      </c>
      <c r="W1202" s="85">
        <v>46013</v>
      </c>
      <c r="X1202" s="4" t="s">
        <v>2758</v>
      </c>
      <c r="Y1202" s="4">
        <v>567832284</v>
      </c>
      <c r="Z1202" s="4" t="s">
        <v>3219</v>
      </c>
      <c r="AA1202" s="4" t="s">
        <v>3016</v>
      </c>
      <c r="AB1202" s="4" t="s">
        <v>4289</v>
      </c>
    </row>
    <row r="1203" spans="1:28">
      <c r="A1203" s="4">
        <v>1202</v>
      </c>
      <c r="B1203" s="106">
        <v>14185902</v>
      </c>
      <c r="C1203" s="5">
        <v>203635597</v>
      </c>
      <c r="D1203" s="115" t="s">
        <v>569</v>
      </c>
      <c r="E1203" s="4" t="s">
        <v>570</v>
      </c>
      <c r="F1203" s="7" t="s">
        <v>74</v>
      </c>
      <c r="G1203" s="7" t="s">
        <v>87</v>
      </c>
      <c r="H1203" s="7" t="s">
        <v>75</v>
      </c>
      <c r="I1203" s="6" t="s">
        <v>1788</v>
      </c>
      <c r="J1203" s="7" t="s">
        <v>7</v>
      </c>
      <c r="K1203" s="4" t="s">
        <v>10</v>
      </c>
      <c r="L1203" s="4" t="s">
        <v>24</v>
      </c>
      <c r="M1203" s="4" t="s">
        <v>386</v>
      </c>
      <c r="N1203" s="4" t="s">
        <v>2583</v>
      </c>
      <c r="O1203" s="89"/>
      <c r="P1203" s="25">
        <v>45481</v>
      </c>
      <c r="Q1203" s="7" t="s">
        <v>7</v>
      </c>
      <c r="R1203" s="90" t="s">
        <v>3256</v>
      </c>
      <c r="S1203" s="6" t="s">
        <v>1795</v>
      </c>
      <c r="T1203" s="4" t="s">
        <v>81</v>
      </c>
      <c r="U1203" s="4" t="s">
        <v>112</v>
      </c>
      <c r="V1203" s="4">
        <v>99</v>
      </c>
      <c r="W1203" s="85">
        <v>45846</v>
      </c>
      <c r="X1203" s="4" t="s">
        <v>3474</v>
      </c>
      <c r="Y1203" s="4">
        <v>527924622</v>
      </c>
      <c r="Z1203" s="4" t="s">
        <v>2242</v>
      </c>
      <c r="AA1203" s="4" t="s">
        <v>1203</v>
      </c>
      <c r="AB1203" s="4" t="s">
        <v>4289</v>
      </c>
    </row>
    <row r="1204" spans="1:28">
      <c r="A1204" s="4">
        <v>1203</v>
      </c>
      <c r="B1204" s="106">
        <v>14563441</v>
      </c>
      <c r="C1204" s="5">
        <v>204013735</v>
      </c>
      <c r="D1204" s="115" t="s">
        <v>1382</v>
      </c>
      <c r="E1204" s="4" t="s">
        <v>1383</v>
      </c>
      <c r="F1204" s="7" t="s">
        <v>74</v>
      </c>
      <c r="G1204" s="7" t="s">
        <v>76</v>
      </c>
      <c r="H1204" s="7" t="s">
        <v>88</v>
      </c>
      <c r="I1204" s="6" t="s">
        <v>1788</v>
      </c>
      <c r="J1204" s="7" t="s">
        <v>7</v>
      </c>
      <c r="K1204" s="4" t="s">
        <v>10</v>
      </c>
      <c r="L1204" s="4" t="s">
        <v>24</v>
      </c>
      <c r="M1204" s="4" t="s">
        <v>386</v>
      </c>
      <c r="N1204" s="4" t="s">
        <v>2583</v>
      </c>
      <c r="O1204" s="89"/>
      <c r="P1204" s="25">
        <v>45551</v>
      </c>
      <c r="Q1204" s="7" t="s">
        <v>7</v>
      </c>
      <c r="R1204" s="90" t="s">
        <v>3261</v>
      </c>
      <c r="S1204" s="6" t="s">
        <v>1795</v>
      </c>
      <c r="T1204" s="4" t="s">
        <v>81</v>
      </c>
      <c r="U1204" s="4" t="s">
        <v>349</v>
      </c>
      <c r="V1204" s="4">
        <v>99</v>
      </c>
      <c r="W1204" s="85">
        <v>45916</v>
      </c>
      <c r="X1204" s="4" t="s">
        <v>3688</v>
      </c>
      <c r="Y1204" s="4">
        <v>542764002</v>
      </c>
      <c r="Z1204" s="4" t="s">
        <v>1426</v>
      </c>
      <c r="AA1204" s="4" t="s">
        <v>85</v>
      </c>
      <c r="AB1204" s="4" t="s">
        <v>4289</v>
      </c>
    </row>
    <row r="1205" spans="1:28">
      <c r="A1205" s="4">
        <v>1204</v>
      </c>
      <c r="B1205" s="5">
        <v>15351926</v>
      </c>
      <c r="C1205" s="5">
        <v>204341639</v>
      </c>
      <c r="D1205" s="115" t="s">
        <v>1712</v>
      </c>
      <c r="E1205" s="4" t="s">
        <v>3769</v>
      </c>
      <c r="F1205" s="7" t="s">
        <v>74</v>
      </c>
      <c r="G1205" s="7" t="s">
        <v>89</v>
      </c>
      <c r="H1205" s="7" t="s">
        <v>90</v>
      </c>
      <c r="I1205" s="6" t="s">
        <v>1790</v>
      </c>
      <c r="J1205" s="7" t="s">
        <v>7</v>
      </c>
      <c r="K1205" s="4" t="s">
        <v>10</v>
      </c>
      <c r="L1205" s="4" t="s">
        <v>27</v>
      </c>
      <c r="M1205" s="4" t="s">
        <v>386</v>
      </c>
      <c r="N1205" s="4" t="s">
        <v>2584</v>
      </c>
      <c r="O1205" s="89"/>
      <c r="P1205" s="25">
        <v>45589</v>
      </c>
      <c r="Q1205" s="7" t="s">
        <v>7</v>
      </c>
      <c r="R1205" s="90" t="s">
        <v>3254</v>
      </c>
      <c r="S1205" s="6" t="s">
        <v>1795</v>
      </c>
      <c r="T1205" s="4" t="s">
        <v>81</v>
      </c>
      <c r="U1205" s="4" t="s">
        <v>349</v>
      </c>
      <c r="V1205" s="4">
        <v>99</v>
      </c>
      <c r="W1205" s="85">
        <v>46319</v>
      </c>
      <c r="X1205" s="4" t="s">
        <v>3703</v>
      </c>
      <c r="Y1205" s="4">
        <v>555850423</v>
      </c>
      <c r="Z1205" s="4" t="s">
        <v>1843</v>
      </c>
      <c r="AA1205" s="4" t="s">
        <v>85</v>
      </c>
      <c r="AB1205" s="4" t="s">
        <v>4289</v>
      </c>
    </row>
    <row r="1206" spans="1:28">
      <c r="A1206" s="4">
        <v>1205</v>
      </c>
      <c r="B1206" s="106">
        <v>13060211</v>
      </c>
      <c r="C1206" s="5">
        <v>205276097</v>
      </c>
      <c r="D1206" s="115" t="s">
        <v>2528</v>
      </c>
      <c r="E1206" s="4" t="s">
        <v>2526</v>
      </c>
      <c r="F1206" s="7" t="s">
        <v>82</v>
      </c>
      <c r="G1206" s="7" t="s">
        <v>90</v>
      </c>
      <c r="H1206" s="7" t="s">
        <v>87</v>
      </c>
      <c r="I1206" s="6" t="s">
        <v>1789</v>
      </c>
      <c r="J1206" s="7" t="s">
        <v>7</v>
      </c>
      <c r="K1206" s="4" t="s">
        <v>10</v>
      </c>
      <c r="L1206" s="4" t="s">
        <v>22</v>
      </c>
      <c r="M1206" s="4" t="s">
        <v>4315</v>
      </c>
      <c r="N1206" s="4" t="s">
        <v>2584</v>
      </c>
      <c r="O1206" s="89"/>
      <c r="P1206" s="25">
        <v>45796</v>
      </c>
      <c r="Q1206" s="7" t="s">
        <v>7</v>
      </c>
      <c r="R1206" s="90" t="s">
        <v>3254</v>
      </c>
      <c r="S1206" s="6" t="s">
        <v>1795</v>
      </c>
      <c r="T1206" s="4" t="s">
        <v>81</v>
      </c>
      <c r="U1206" s="4" t="s">
        <v>107</v>
      </c>
      <c r="V1206" s="4">
        <v>99</v>
      </c>
      <c r="W1206" s="85">
        <v>45838</v>
      </c>
      <c r="X1206" s="4" t="s">
        <v>1216</v>
      </c>
      <c r="Y1206" s="4">
        <v>502905267</v>
      </c>
      <c r="Z1206" s="4" t="s">
        <v>2532</v>
      </c>
      <c r="AA1206" s="4" t="s">
        <v>85</v>
      </c>
      <c r="AB1206" s="4" t="s">
        <v>4289</v>
      </c>
    </row>
    <row r="1207" spans="1:28">
      <c r="A1207" s="4">
        <v>1206</v>
      </c>
      <c r="B1207" s="5">
        <v>12853086</v>
      </c>
      <c r="C1207" s="5">
        <v>206958286</v>
      </c>
      <c r="D1207" s="115" t="s">
        <v>4141</v>
      </c>
      <c r="E1207" s="4" t="s">
        <v>3978</v>
      </c>
      <c r="F1207" s="7" t="s">
        <v>74</v>
      </c>
      <c r="G1207" s="7" t="s">
        <v>88</v>
      </c>
      <c r="H1207" s="7" t="s">
        <v>94</v>
      </c>
      <c r="I1207" s="7" t="s">
        <v>1789</v>
      </c>
      <c r="J1207" s="7" t="s">
        <v>7</v>
      </c>
      <c r="K1207" s="4" t="s">
        <v>10</v>
      </c>
      <c r="L1207" s="4" t="s">
        <v>23</v>
      </c>
      <c r="M1207" s="4" t="s">
        <v>386</v>
      </c>
      <c r="N1207" s="4" t="s">
        <v>2584</v>
      </c>
      <c r="O1207" s="89"/>
      <c r="P1207" s="25">
        <v>46048</v>
      </c>
      <c r="Q1207" s="7" t="s">
        <v>7</v>
      </c>
      <c r="R1207" s="4" t="s">
        <v>3264</v>
      </c>
      <c r="S1207" s="6" t="s">
        <v>1795</v>
      </c>
      <c r="T1207" s="4" t="s">
        <v>92</v>
      </c>
      <c r="U1207" s="4"/>
      <c r="V1207" s="4">
        <v>99</v>
      </c>
      <c r="W1207" s="85">
        <v>46104</v>
      </c>
      <c r="X1207" s="4" t="s">
        <v>3979</v>
      </c>
      <c r="Y1207" s="4" t="s">
        <v>4000</v>
      </c>
      <c r="Z1207" s="4" t="s">
        <v>4020</v>
      </c>
      <c r="AA1207" s="4" t="s">
        <v>1204</v>
      </c>
      <c r="AB1207" s="4" t="e">
        <v>#N/A</v>
      </c>
    </row>
    <row r="1208" spans="1:28">
      <c r="A1208" s="4">
        <v>1207</v>
      </c>
      <c r="B1208" s="106">
        <v>13186059</v>
      </c>
      <c r="C1208" s="5">
        <v>201635982</v>
      </c>
      <c r="D1208" s="115" t="s">
        <v>1099</v>
      </c>
      <c r="E1208" s="4" t="s">
        <v>1091</v>
      </c>
      <c r="F1208" s="7" t="s">
        <v>74</v>
      </c>
      <c r="G1208" s="7" t="s">
        <v>90</v>
      </c>
      <c r="H1208" s="7" t="s">
        <v>87</v>
      </c>
      <c r="I1208" s="6" t="s">
        <v>1788</v>
      </c>
      <c r="J1208" s="7" t="s">
        <v>7</v>
      </c>
      <c r="K1208" s="4" t="s">
        <v>10</v>
      </c>
      <c r="L1208" s="4" t="s">
        <v>24</v>
      </c>
      <c r="M1208" s="4" t="s">
        <v>386</v>
      </c>
      <c r="N1208" s="4" t="s">
        <v>2583</v>
      </c>
      <c r="O1208" s="89"/>
      <c r="P1208" s="25">
        <v>45530</v>
      </c>
      <c r="Q1208" s="7" t="s">
        <v>7</v>
      </c>
      <c r="R1208" s="90" t="s">
        <v>3262</v>
      </c>
      <c r="S1208" s="6" t="s">
        <v>1795</v>
      </c>
      <c r="T1208" s="4" t="s">
        <v>92</v>
      </c>
      <c r="U1208" s="4" t="s">
        <v>112</v>
      </c>
      <c r="V1208" s="4">
        <v>99</v>
      </c>
      <c r="W1208" s="85">
        <v>46260</v>
      </c>
      <c r="X1208" s="4" t="s">
        <v>3739</v>
      </c>
      <c r="Y1208" s="4">
        <v>558537513</v>
      </c>
      <c r="Z1208" s="4" t="s">
        <v>2243</v>
      </c>
      <c r="AA1208" s="4" t="s">
        <v>85</v>
      </c>
      <c r="AB1208" s="4" t="s">
        <v>4289</v>
      </c>
    </row>
    <row r="1209" spans="1:28">
      <c r="A1209" s="4">
        <v>1208</v>
      </c>
      <c r="B1209" s="106">
        <v>15069849</v>
      </c>
      <c r="C1209" s="5">
        <v>206957733</v>
      </c>
      <c r="D1209" s="115" t="s">
        <v>4205</v>
      </c>
      <c r="E1209" s="4" t="s">
        <v>4206</v>
      </c>
      <c r="F1209" s="7" t="s">
        <v>82</v>
      </c>
      <c r="G1209" s="7" t="s">
        <v>88</v>
      </c>
      <c r="H1209" s="7" t="s">
        <v>94</v>
      </c>
      <c r="I1209" s="7" t="s">
        <v>1789</v>
      </c>
      <c r="J1209" s="7" t="s">
        <v>7</v>
      </c>
      <c r="K1209" s="7" t="s">
        <v>10</v>
      </c>
      <c r="L1209" s="7" t="s">
        <v>23</v>
      </c>
      <c r="M1209" s="7" t="s">
        <v>4315</v>
      </c>
      <c r="N1209" s="4" t="s">
        <v>2584</v>
      </c>
      <c r="O1209" s="89"/>
      <c r="P1209" s="25">
        <v>46048</v>
      </c>
      <c r="Q1209" s="7" t="s">
        <v>7</v>
      </c>
      <c r="R1209" s="90" t="s">
        <v>3256</v>
      </c>
      <c r="S1209" s="7" t="s">
        <v>1795</v>
      </c>
      <c r="T1209" s="7" t="s">
        <v>92</v>
      </c>
      <c r="U1209" s="7"/>
      <c r="V1209" s="4">
        <v>99</v>
      </c>
      <c r="W1209" s="7"/>
      <c r="X1209" s="4" t="s">
        <v>3979</v>
      </c>
      <c r="Y1209" s="4" t="s">
        <v>4239</v>
      </c>
      <c r="Z1209" s="4" t="s">
        <v>4240</v>
      </c>
      <c r="AA1209" s="4" t="s">
        <v>1194</v>
      </c>
      <c r="AB1209" s="4" t="e">
        <v>#N/A</v>
      </c>
    </row>
    <row r="1210" spans="1:28">
      <c r="A1210" s="4">
        <v>1209</v>
      </c>
      <c r="B1210" s="106">
        <v>13241484</v>
      </c>
      <c r="C1210" s="5">
        <v>206368538</v>
      </c>
      <c r="D1210" s="115" t="s">
        <v>3201</v>
      </c>
      <c r="E1210" s="4" t="s">
        <v>3190</v>
      </c>
      <c r="F1210" s="7" t="s">
        <v>82</v>
      </c>
      <c r="G1210" s="7" t="s">
        <v>88</v>
      </c>
      <c r="H1210" s="7" t="s">
        <v>94</v>
      </c>
      <c r="I1210" s="7" t="s">
        <v>1789</v>
      </c>
      <c r="J1210" s="7" t="s">
        <v>7</v>
      </c>
      <c r="K1210" s="4" t="s">
        <v>10</v>
      </c>
      <c r="L1210" s="4" t="s">
        <v>23</v>
      </c>
      <c r="M1210" s="4" t="s">
        <v>4315</v>
      </c>
      <c r="N1210" s="4" t="s">
        <v>2584</v>
      </c>
      <c r="O1210" s="89"/>
      <c r="P1210" s="25">
        <v>45957</v>
      </c>
      <c r="Q1210" s="7" t="s">
        <v>7</v>
      </c>
      <c r="R1210" s="4" t="s">
        <v>3264</v>
      </c>
      <c r="S1210" s="6" t="s">
        <v>1796</v>
      </c>
      <c r="T1210" s="4" t="s">
        <v>92</v>
      </c>
      <c r="U1210" s="4" t="s">
        <v>112</v>
      </c>
      <c r="V1210" s="4">
        <v>99</v>
      </c>
      <c r="W1210" s="85">
        <v>46013</v>
      </c>
      <c r="X1210" s="4" t="s">
        <v>2357</v>
      </c>
      <c r="Y1210" s="4">
        <v>581000000</v>
      </c>
      <c r="Z1210" s="4" t="s">
        <v>3214</v>
      </c>
      <c r="AA1210" s="4" t="s">
        <v>85</v>
      </c>
      <c r="AB1210" s="4" t="s">
        <v>4289</v>
      </c>
    </row>
    <row r="1211" spans="1:28">
      <c r="A1211" s="4">
        <v>1210</v>
      </c>
      <c r="B1211" s="106">
        <v>11512375</v>
      </c>
      <c r="C1211" s="5">
        <v>203635498</v>
      </c>
      <c r="D1211" s="115" t="s">
        <v>574</v>
      </c>
      <c r="E1211" s="4" t="s">
        <v>575</v>
      </c>
      <c r="F1211" s="7" t="s">
        <v>82</v>
      </c>
      <c r="G1211" s="7" t="s">
        <v>75</v>
      </c>
      <c r="H1211" s="7" t="s">
        <v>76</v>
      </c>
      <c r="I1211" s="6" t="s">
        <v>1788</v>
      </c>
      <c r="J1211" s="7" t="s">
        <v>7</v>
      </c>
      <c r="K1211" s="4" t="s">
        <v>10</v>
      </c>
      <c r="L1211" s="4" t="s">
        <v>24</v>
      </c>
      <c r="M1211" s="4" t="s">
        <v>4315</v>
      </c>
      <c r="N1211" s="4" t="s">
        <v>2583</v>
      </c>
      <c r="O1211" s="89"/>
      <c r="P1211" s="25">
        <v>45481</v>
      </c>
      <c r="Q1211" s="7" t="s">
        <v>7</v>
      </c>
      <c r="R1211" s="90" t="s">
        <v>3252</v>
      </c>
      <c r="S1211" s="6" t="s">
        <v>1795</v>
      </c>
      <c r="T1211" s="4" t="s">
        <v>81</v>
      </c>
      <c r="U1211" s="4" t="s">
        <v>107</v>
      </c>
      <c r="V1211" s="4">
        <v>99</v>
      </c>
      <c r="W1211" s="85">
        <v>45846</v>
      </c>
      <c r="X1211" s="4" t="s">
        <v>3688</v>
      </c>
      <c r="Y1211" s="4">
        <v>543642362</v>
      </c>
      <c r="Z1211" s="4" t="s">
        <v>2244</v>
      </c>
      <c r="AA1211" s="4" t="s">
        <v>85</v>
      </c>
      <c r="AB1211" s="4" t="s">
        <v>4290</v>
      </c>
    </row>
    <row r="1212" spans="1:28">
      <c r="A1212" s="4">
        <v>1211</v>
      </c>
      <c r="B1212" s="106">
        <v>14480010</v>
      </c>
      <c r="C1212" s="5">
        <v>205845548</v>
      </c>
      <c r="D1212" s="115" t="s">
        <v>2750</v>
      </c>
      <c r="E1212" s="4" t="s">
        <v>2751</v>
      </c>
      <c r="F1212" s="7" t="s">
        <v>82</v>
      </c>
      <c r="G1212" s="7" t="s">
        <v>89</v>
      </c>
      <c r="H1212" s="7" t="s">
        <v>90</v>
      </c>
      <c r="I1212" s="7" t="s">
        <v>1789</v>
      </c>
      <c r="J1212" s="7" t="s">
        <v>7</v>
      </c>
      <c r="K1212" s="4" t="s">
        <v>10</v>
      </c>
      <c r="L1212" s="4" t="s">
        <v>22</v>
      </c>
      <c r="M1212" s="4" t="s">
        <v>4315</v>
      </c>
      <c r="N1212" s="4"/>
      <c r="O1212" s="89"/>
      <c r="P1212" s="25">
        <v>45894</v>
      </c>
      <c r="Q1212" s="7" t="s">
        <v>7</v>
      </c>
      <c r="R1212" s="4" t="s">
        <v>3258</v>
      </c>
      <c r="S1212" s="6" t="s">
        <v>1795</v>
      </c>
      <c r="T1212" s="4" t="s">
        <v>81</v>
      </c>
      <c r="U1212" s="4" t="s">
        <v>349</v>
      </c>
      <c r="V1212" s="4">
        <v>99</v>
      </c>
      <c r="W1212" s="85">
        <v>45949</v>
      </c>
      <c r="X1212" s="4" t="s">
        <v>2758</v>
      </c>
      <c r="Y1212" s="4">
        <v>567504099</v>
      </c>
      <c r="Z1212" s="4" t="s">
        <v>2793</v>
      </c>
      <c r="AA1212" s="4" t="s">
        <v>95</v>
      </c>
      <c r="AB1212" s="4" t="s">
        <v>4289</v>
      </c>
    </row>
    <row r="1213" spans="1:28" ht="14.5" customHeight="1">
      <c r="A1213" s="4">
        <v>1212</v>
      </c>
      <c r="B1213" s="106">
        <v>12453550</v>
      </c>
      <c r="C1213" s="5">
        <v>206348029</v>
      </c>
      <c r="D1213" s="115" t="s">
        <v>3206</v>
      </c>
      <c r="E1213" s="4" t="s">
        <v>3195</v>
      </c>
      <c r="F1213" s="7" t="s">
        <v>82</v>
      </c>
      <c r="G1213" s="7" t="s">
        <v>88</v>
      </c>
      <c r="H1213" s="7" t="s">
        <v>94</v>
      </c>
      <c r="I1213" s="7" t="s">
        <v>1789</v>
      </c>
      <c r="J1213" s="7" t="s">
        <v>7</v>
      </c>
      <c r="K1213" s="4" t="s">
        <v>10</v>
      </c>
      <c r="L1213" s="4" t="s">
        <v>22</v>
      </c>
      <c r="M1213" s="4" t="s">
        <v>4315</v>
      </c>
      <c r="N1213" s="4" t="s">
        <v>2584</v>
      </c>
      <c r="O1213" s="89"/>
      <c r="P1213" s="25">
        <v>45957</v>
      </c>
      <c r="Q1213" s="7" t="s">
        <v>7</v>
      </c>
      <c r="R1213" s="7" t="s">
        <v>3257</v>
      </c>
      <c r="S1213" s="6" t="s">
        <v>1796</v>
      </c>
      <c r="T1213" s="4" t="s">
        <v>81</v>
      </c>
      <c r="U1213" s="4" t="s">
        <v>349</v>
      </c>
      <c r="V1213" s="4">
        <v>99</v>
      </c>
      <c r="W1213" s="85">
        <v>46013</v>
      </c>
      <c r="X1213" s="4" t="s">
        <v>2758</v>
      </c>
      <c r="Y1213" s="4">
        <v>567522543</v>
      </c>
      <c r="Z1213" s="4" t="s">
        <v>3220</v>
      </c>
      <c r="AA1213" s="4" t="s">
        <v>3016</v>
      </c>
      <c r="AB1213" s="4" t="s">
        <v>4289</v>
      </c>
    </row>
    <row r="1214" spans="1:28" ht="14.5" customHeight="1">
      <c r="A1214" s="4">
        <v>1213</v>
      </c>
      <c r="B1214" s="106">
        <v>12910837</v>
      </c>
      <c r="C1214" s="5">
        <v>206958064</v>
      </c>
      <c r="D1214" s="115" t="s">
        <v>4207</v>
      </c>
      <c r="E1214" s="4" t="s">
        <v>4208</v>
      </c>
      <c r="F1214" s="7" t="s">
        <v>82</v>
      </c>
      <c r="G1214" s="7" t="s">
        <v>88</v>
      </c>
      <c r="H1214" s="7" t="s">
        <v>94</v>
      </c>
      <c r="I1214" s="7" t="s">
        <v>1789</v>
      </c>
      <c r="J1214" s="7" t="s">
        <v>7</v>
      </c>
      <c r="K1214" s="7" t="s">
        <v>10</v>
      </c>
      <c r="L1214" s="7" t="s">
        <v>23</v>
      </c>
      <c r="M1214" s="7" t="s">
        <v>4315</v>
      </c>
      <c r="N1214" s="4" t="s">
        <v>2584</v>
      </c>
      <c r="O1214" s="89"/>
      <c r="P1214" s="25">
        <v>46048</v>
      </c>
      <c r="Q1214" s="7" t="s">
        <v>7</v>
      </c>
      <c r="R1214" s="90" t="s">
        <v>3253</v>
      </c>
      <c r="S1214" s="7" t="s">
        <v>1795</v>
      </c>
      <c r="T1214" s="7" t="s">
        <v>92</v>
      </c>
      <c r="U1214" s="7"/>
      <c r="V1214" s="4">
        <v>99</v>
      </c>
      <c r="W1214" s="7"/>
      <c r="X1214" s="4" t="s">
        <v>3979</v>
      </c>
      <c r="Y1214" s="4" t="s">
        <v>4241</v>
      </c>
      <c r="Z1214" s="4" t="s">
        <v>4242</v>
      </c>
      <c r="AA1214" s="4" t="s">
        <v>1204</v>
      </c>
      <c r="AB1214" s="4" t="e">
        <v>#N/A</v>
      </c>
    </row>
    <row r="1215" spans="1:28" ht="14.5" customHeight="1">
      <c r="A1215" s="4">
        <v>1214</v>
      </c>
      <c r="B1215" s="106">
        <v>12840051</v>
      </c>
      <c r="C1215" s="5">
        <v>206958070</v>
      </c>
      <c r="D1215" s="115" t="s">
        <v>4209</v>
      </c>
      <c r="E1215" s="4" t="s">
        <v>4210</v>
      </c>
      <c r="F1215" s="7" t="s">
        <v>82</v>
      </c>
      <c r="G1215" s="7" t="s">
        <v>90</v>
      </c>
      <c r="H1215" s="7" t="s">
        <v>87</v>
      </c>
      <c r="I1215" s="7" t="s">
        <v>1789</v>
      </c>
      <c r="J1215" s="7" t="s">
        <v>7</v>
      </c>
      <c r="K1215" s="7" t="s">
        <v>10</v>
      </c>
      <c r="L1215" s="7" t="s">
        <v>23</v>
      </c>
      <c r="M1215" s="7" t="s">
        <v>4315</v>
      </c>
      <c r="N1215" s="4" t="s">
        <v>2584</v>
      </c>
      <c r="O1215" s="89"/>
      <c r="P1215" s="25">
        <v>46048</v>
      </c>
      <c r="Q1215" s="7" t="s">
        <v>7</v>
      </c>
      <c r="R1215" s="4" t="s">
        <v>3252</v>
      </c>
      <c r="S1215" s="7" t="s">
        <v>1795</v>
      </c>
      <c r="T1215" s="7" t="s">
        <v>92</v>
      </c>
      <c r="U1215" s="7"/>
      <c r="V1215" s="4">
        <v>99</v>
      </c>
      <c r="W1215" s="7"/>
      <c r="X1215" s="4" t="s">
        <v>3979</v>
      </c>
      <c r="Y1215" s="4" t="s">
        <v>4243</v>
      </c>
      <c r="Z1215" s="4" t="s">
        <v>4244</v>
      </c>
      <c r="AA1215" s="4" t="s">
        <v>1204</v>
      </c>
      <c r="AB1215" s="4" t="e">
        <v>#N/A</v>
      </c>
    </row>
    <row r="1216" spans="1:28" ht="14.5" customHeight="1">
      <c r="A1216" s="4">
        <v>1215</v>
      </c>
      <c r="B1216" s="106">
        <v>14101751</v>
      </c>
      <c r="C1216" s="5">
        <v>206348042</v>
      </c>
      <c r="D1216" s="115" t="s">
        <v>3181</v>
      </c>
      <c r="E1216" s="4" t="s">
        <v>3142</v>
      </c>
      <c r="F1216" s="7" t="s">
        <v>74</v>
      </c>
      <c r="G1216" s="7" t="s">
        <v>76</v>
      </c>
      <c r="H1216" s="7" t="s">
        <v>88</v>
      </c>
      <c r="I1216" s="7" t="s">
        <v>1789</v>
      </c>
      <c r="J1216" s="7" t="s">
        <v>7</v>
      </c>
      <c r="K1216" s="4" t="s">
        <v>10</v>
      </c>
      <c r="L1216" s="4" t="s">
        <v>22</v>
      </c>
      <c r="M1216" s="4" t="s">
        <v>386</v>
      </c>
      <c r="N1216" s="4" t="s">
        <v>2584</v>
      </c>
      <c r="O1216" s="89"/>
      <c r="P1216" s="25">
        <v>45957</v>
      </c>
      <c r="Q1216" s="7" t="s">
        <v>7</v>
      </c>
      <c r="R1216" s="90" t="s">
        <v>3252</v>
      </c>
      <c r="S1216" s="6" t="s">
        <v>1796</v>
      </c>
      <c r="T1216" s="4" t="s">
        <v>81</v>
      </c>
      <c r="U1216" s="4" t="s">
        <v>103</v>
      </c>
      <c r="V1216" s="4">
        <v>99</v>
      </c>
      <c r="W1216" s="85">
        <v>46013</v>
      </c>
      <c r="X1216" s="4" t="s">
        <v>2758</v>
      </c>
      <c r="Y1216" s="4" t="s">
        <v>3153</v>
      </c>
      <c r="Z1216" s="4" t="s">
        <v>3166</v>
      </c>
      <c r="AA1216" s="4" t="s">
        <v>3168</v>
      </c>
      <c r="AB1216" s="4" t="s">
        <v>4289</v>
      </c>
    </row>
    <row r="1217" spans="1:28" ht="14.5" customHeight="1">
      <c r="A1217" s="4">
        <v>1216</v>
      </c>
      <c r="B1217" s="106">
        <v>13824943</v>
      </c>
      <c r="C1217" s="5">
        <v>205845547</v>
      </c>
      <c r="D1217" s="115" t="s">
        <v>2752</v>
      </c>
      <c r="E1217" s="4" t="s">
        <v>2753</v>
      </c>
      <c r="F1217" s="7" t="s">
        <v>82</v>
      </c>
      <c r="G1217" s="7" t="s">
        <v>90</v>
      </c>
      <c r="H1217" s="7" t="s">
        <v>87</v>
      </c>
      <c r="I1217" s="7" t="s">
        <v>1789</v>
      </c>
      <c r="J1217" s="7" t="s">
        <v>7</v>
      </c>
      <c r="K1217" s="4" t="s">
        <v>10</v>
      </c>
      <c r="L1217" s="4" t="s">
        <v>22</v>
      </c>
      <c r="M1217" s="4" t="s">
        <v>4315</v>
      </c>
      <c r="N1217" s="4"/>
      <c r="O1217" s="89"/>
      <c r="P1217" s="25">
        <v>45894</v>
      </c>
      <c r="Q1217" s="7" t="s">
        <v>7</v>
      </c>
      <c r="R1217" s="90" t="s">
        <v>3255</v>
      </c>
      <c r="S1217" s="6" t="s">
        <v>1795</v>
      </c>
      <c r="T1217" s="4" t="s">
        <v>81</v>
      </c>
      <c r="U1217" s="4" t="s">
        <v>103</v>
      </c>
      <c r="V1217" s="4">
        <v>99</v>
      </c>
      <c r="W1217" s="85">
        <v>45949</v>
      </c>
      <c r="X1217" s="4" t="s">
        <v>2758</v>
      </c>
      <c r="Y1217" s="4">
        <v>567793590</v>
      </c>
      <c r="Z1217" s="4" t="s">
        <v>2794</v>
      </c>
      <c r="AA1217" s="4" t="s">
        <v>95</v>
      </c>
      <c r="AB1217" s="4" t="s">
        <v>4289</v>
      </c>
    </row>
    <row r="1218" spans="1:28" ht="14.5" customHeight="1">
      <c r="A1218" s="4">
        <v>1217</v>
      </c>
      <c r="B1218" s="106">
        <v>13853064</v>
      </c>
      <c r="C1218" s="5">
        <v>205845552</v>
      </c>
      <c r="D1218" s="115" t="s">
        <v>2754</v>
      </c>
      <c r="E1218" s="4" t="s">
        <v>2755</v>
      </c>
      <c r="F1218" s="7" t="s">
        <v>82</v>
      </c>
      <c r="G1218" s="7" t="s">
        <v>88</v>
      </c>
      <c r="H1218" s="7" t="s">
        <v>94</v>
      </c>
      <c r="I1218" s="7" t="s">
        <v>1789</v>
      </c>
      <c r="J1218" s="7" t="s">
        <v>7</v>
      </c>
      <c r="K1218" s="4" t="s">
        <v>10</v>
      </c>
      <c r="L1218" s="4" t="s">
        <v>22</v>
      </c>
      <c r="M1218" s="4" t="s">
        <v>4315</v>
      </c>
      <c r="N1218" s="4"/>
      <c r="O1218" s="89"/>
      <c r="P1218" s="25">
        <v>45894</v>
      </c>
      <c r="Q1218" s="7" t="s">
        <v>7</v>
      </c>
      <c r="R1218" s="90" t="s">
        <v>2586</v>
      </c>
      <c r="S1218" s="6" t="s">
        <v>1796</v>
      </c>
      <c r="T1218" s="4" t="s">
        <v>81</v>
      </c>
      <c r="U1218" s="4" t="s">
        <v>349</v>
      </c>
      <c r="V1218" s="4">
        <v>99</v>
      </c>
      <c r="W1218" s="85">
        <v>45949</v>
      </c>
      <c r="X1218" s="4" t="s">
        <v>2758</v>
      </c>
      <c r="Y1218" s="4">
        <v>567073103</v>
      </c>
      <c r="Z1218" s="4" t="s">
        <v>2795</v>
      </c>
      <c r="AA1218" s="4" t="s">
        <v>95</v>
      </c>
      <c r="AB1218" s="4" t="s">
        <v>4289</v>
      </c>
    </row>
    <row r="1219" spans="1:28" ht="14.5" customHeight="1">
      <c r="A1219" s="4">
        <v>1218</v>
      </c>
      <c r="B1219" s="106">
        <v>15120576</v>
      </c>
      <c r="C1219" s="5">
        <v>206958290</v>
      </c>
      <c r="D1219" s="115" t="s">
        <v>4211</v>
      </c>
      <c r="E1219" s="4" t="s">
        <v>4212</v>
      </c>
      <c r="F1219" s="7" t="s">
        <v>82</v>
      </c>
      <c r="G1219" s="7" t="s">
        <v>90</v>
      </c>
      <c r="H1219" s="7" t="s">
        <v>87</v>
      </c>
      <c r="I1219" s="7" t="s">
        <v>1789</v>
      </c>
      <c r="J1219" s="7" t="s">
        <v>7</v>
      </c>
      <c r="K1219" s="7" t="s">
        <v>10</v>
      </c>
      <c r="L1219" s="7" t="s">
        <v>23</v>
      </c>
      <c r="M1219" s="7" t="s">
        <v>4315</v>
      </c>
      <c r="N1219" s="4" t="s">
        <v>2584</v>
      </c>
      <c r="O1219" s="89"/>
      <c r="P1219" s="25">
        <v>46048</v>
      </c>
      <c r="Q1219" s="7" t="s">
        <v>7</v>
      </c>
      <c r="R1219" s="4" t="s">
        <v>3261</v>
      </c>
      <c r="S1219" s="7" t="s">
        <v>1795</v>
      </c>
      <c r="T1219" s="7" t="s">
        <v>81</v>
      </c>
      <c r="U1219" s="7"/>
      <c r="V1219" s="4">
        <v>99</v>
      </c>
      <c r="W1219" s="7"/>
      <c r="X1219" s="4" t="s">
        <v>3980</v>
      </c>
      <c r="Y1219" s="4" t="s">
        <v>4245</v>
      </c>
      <c r="Z1219" s="4" t="s">
        <v>4246</v>
      </c>
      <c r="AA1219" s="4" t="s">
        <v>1198</v>
      </c>
      <c r="AB1219" s="4" t="e">
        <v>#N/A</v>
      </c>
    </row>
    <row r="1220" spans="1:28" ht="14.5" customHeight="1">
      <c r="A1220" s="4">
        <v>1219</v>
      </c>
      <c r="B1220" s="106">
        <v>13541365</v>
      </c>
      <c r="C1220" s="5">
        <v>205839953</v>
      </c>
      <c r="D1220" s="115" t="s">
        <v>2756</v>
      </c>
      <c r="E1220" s="4" t="s">
        <v>2757</v>
      </c>
      <c r="F1220" s="7" t="s">
        <v>82</v>
      </c>
      <c r="G1220" s="7" t="s">
        <v>87</v>
      </c>
      <c r="H1220" s="7" t="s">
        <v>75</v>
      </c>
      <c r="I1220" s="7" t="s">
        <v>1789</v>
      </c>
      <c r="J1220" s="7" t="s">
        <v>7</v>
      </c>
      <c r="K1220" s="4" t="s">
        <v>10</v>
      </c>
      <c r="L1220" s="4" t="s">
        <v>22</v>
      </c>
      <c r="M1220" s="4" t="s">
        <v>4315</v>
      </c>
      <c r="N1220" s="4"/>
      <c r="O1220" s="89"/>
      <c r="P1220" s="25">
        <v>45894</v>
      </c>
      <c r="Q1220" s="7" t="s">
        <v>7</v>
      </c>
      <c r="R1220" s="90" t="s">
        <v>3256</v>
      </c>
      <c r="S1220" s="6" t="s">
        <v>1795</v>
      </c>
      <c r="T1220" s="4" t="s">
        <v>81</v>
      </c>
      <c r="U1220" s="4" t="s">
        <v>107</v>
      </c>
      <c r="V1220" s="4">
        <v>99</v>
      </c>
      <c r="W1220" s="85">
        <v>45949</v>
      </c>
      <c r="X1220" s="4" t="s">
        <v>2758</v>
      </c>
      <c r="Y1220" s="4">
        <v>570102781</v>
      </c>
      <c r="Z1220" s="4" t="s">
        <v>2796</v>
      </c>
      <c r="AA1220" s="4" t="s">
        <v>95</v>
      </c>
      <c r="AB1220" s="4" t="s">
        <v>4289</v>
      </c>
    </row>
    <row r="1221" spans="1:28" ht="14.5" customHeight="1">
      <c r="A1221" s="4">
        <v>1220</v>
      </c>
      <c r="B1221" s="106">
        <v>12672033</v>
      </c>
      <c r="C1221" s="5">
        <v>203555221</v>
      </c>
      <c r="D1221" s="115" t="s">
        <v>563</v>
      </c>
      <c r="E1221" s="4" t="s">
        <v>564</v>
      </c>
      <c r="F1221" s="7" t="s">
        <v>74</v>
      </c>
      <c r="G1221" s="7" t="s">
        <v>88</v>
      </c>
      <c r="H1221" s="7" t="s">
        <v>94</v>
      </c>
      <c r="I1221" s="6" t="s">
        <v>1788</v>
      </c>
      <c r="J1221" s="7" t="s">
        <v>7</v>
      </c>
      <c r="K1221" s="4" t="s">
        <v>10</v>
      </c>
      <c r="L1221" s="4" t="s">
        <v>24</v>
      </c>
      <c r="M1221" s="4" t="s">
        <v>386</v>
      </c>
      <c r="N1221" s="4" t="s">
        <v>2583</v>
      </c>
      <c r="O1221" s="89"/>
      <c r="P1221" s="25">
        <v>45470</v>
      </c>
      <c r="Q1221" s="7" t="s">
        <v>7</v>
      </c>
      <c r="R1221" s="90" t="s">
        <v>3258</v>
      </c>
      <c r="S1221" s="6" t="s">
        <v>1795</v>
      </c>
      <c r="T1221" s="4" t="s">
        <v>92</v>
      </c>
      <c r="U1221" s="4" t="s">
        <v>132</v>
      </c>
      <c r="V1221" s="4">
        <v>99</v>
      </c>
      <c r="W1221" s="85">
        <v>45835</v>
      </c>
      <c r="X1221" s="4" t="s">
        <v>3703</v>
      </c>
      <c r="Y1221" s="4">
        <v>507152862</v>
      </c>
      <c r="Z1221" s="4" t="s">
        <v>2247</v>
      </c>
      <c r="AA1221" s="4" t="s">
        <v>85</v>
      </c>
      <c r="AB1221" s="4" t="s">
        <v>4289</v>
      </c>
    </row>
    <row r="1222" spans="1:28" ht="14.5" customHeight="1">
      <c r="A1222" s="4">
        <v>1221</v>
      </c>
      <c r="B1222" s="106">
        <v>12320706</v>
      </c>
      <c r="C1222" s="5">
        <v>206361787</v>
      </c>
      <c r="D1222" s="115" t="s">
        <v>3204</v>
      </c>
      <c r="E1222" s="4" t="s">
        <v>3193</v>
      </c>
      <c r="F1222" s="7" t="s">
        <v>82</v>
      </c>
      <c r="G1222" s="7" t="s">
        <v>90</v>
      </c>
      <c r="H1222" s="7" t="s">
        <v>87</v>
      </c>
      <c r="I1222" s="7" t="s">
        <v>1789</v>
      </c>
      <c r="J1222" s="7" t="s">
        <v>7</v>
      </c>
      <c r="K1222" s="4" t="s">
        <v>10</v>
      </c>
      <c r="L1222" s="4" t="s">
        <v>23</v>
      </c>
      <c r="M1222" s="4" t="s">
        <v>4315</v>
      </c>
      <c r="N1222" s="4" t="s">
        <v>2584</v>
      </c>
      <c r="O1222" s="89"/>
      <c r="P1222" s="25">
        <v>45957</v>
      </c>
      <c r="Q1222" s="7" t="s">
        <v>7</v>
      </c>
      <c r="R1222" s="90" t="s">
        <v>3255</v>
      </c>
      <c r="S1222" s="6" t="s">
        <v>1795</v>
      </c>
      <c r="T1222" s="4" t="s">
        <v>81</v>
      </c>
      <c r="U1222" s="4" t="s">
        <v>103</v>
      </c>
      <c r="V1222" s="4">
        <v>99</v>
      </c>
      <c r="W1222" s="85">
        <v>46013</v>
      </c>
      <c r="X1222" s="4" t="s">
        <v>3523</v>
      </c>
      <c r="Y1222" s="4">
        <v>569650398</v>
      </c>
      <c r="Z1222" s="4" t="s">
        <v>3217</v>
      </c>
      <c r="AA1222" s="4" t="s">
        <v>1204</v>
      </c>
      <c r="AB1222" s="4" t="s">
        <v>4289</v>
      </c>
    </row>
    <row r="1223" spans="1:28" ht="14.5" customHeight="1">
      <c r="A1223" s="4">
        <v>1222</v>
      </c>
      <c r="B1223" s="106">
        <v>12165359</v>
      </c>
      <c r="C1223" s="5">
        <v>102207635</v>
      </c>
      <c r="D1223" s="115" t="s">
        <v>384</v>
      </c>
      <c r="E1223" s="4" t="s">
        <v>385</v>
      </c>
      <c r="F1223" s="7" t="s">
        <v>82</v>
      </c>
      <c r="G1223" s="7" t="s">
        <v>89</v>
      </c>
      <c r="H1223" s="7" t="s">
        <v>90</v>
      </c>
      <c r="I1223" s="6" t="s">
        <v>1778</v>
      </c>
      <c r="J1223" s="7" t="s">
        <v>7</v>
      </c>
      <c r="K1223" s="4" t="s">
        <v>10</v>
      </c>
      <c r="L1223" s="4" t="s">
        <v>21</v>
      </c>
      <c r="M1223" s="4" t="s">
        <v>386</v>
      </c>
      <c r="N1223" s="4"/>
      <c r="O1223" s="89"/>
      <c r="P1223" s="25">
        <v>42868</v>
      </c>
      <c r="Q1223" s="7" t="s">
        <v>7</v>
      </c>
      <c r="R1223" s="90" t="s">
        <v>2586</v>
      </c>
      <c r="S1223" s="6" t="s">
        <v>1795</v>
      </c>
      <c r="T1223" s="4" t="s">
        <v>81</v>
      </c>
      <c r="U1223" s="4" t="s">
        <v>107</v>
      </c>
      <c r="V1223" s="4">
        <v>3</v>
      </c>
      <c r="W1223" s="85"/>
      <c r="X1223" s="4" t="s">
        <v>3739</v>
      </c>
      <c r="Y1223" s="4">
        <v>0</v>
      </c>
      <c r="Z1223" s="4" t="e">
        <v>#N/A</v>
      </c>
      <c r="AA1223" s="4" t="s">
        <v>2269</v>
      </c>
      <c r="AB1223" s="4" t="s">
        <v>4289</v>
      </c>
    </row>
    <row r="1224" spans="1:28" ht="14.5" customHeight="1">
      <c r="A1224" s="4">
        <v>1223</v>
      </c>
      <c r="B1224" s="106">
        <v>12641722</v>
      </c>
      <c r="C1224" s="5">
        <v>204137712</v>
      </c>
      <c r="D1224" s="115" t="s">
        <v>1585</v>
      </c>
      <c r="E1224" s="4" t="s">
        <v>1551</v>
      </c>
      <c r="F1224" s="7" t="s">
        <v>74</v>
      </c>
      <c r="G1224" s="7" t="s">
        <v>87</v>
      </c>
      <c r="H1224" s="7" t="s">
        <v>75</v>
      </c>
      <c r="I1224" s="6" t="s">
        <v>1790</v>
      </c>
      <c r="J1224" s="7" t="s">
        <v>7</v>
      </c>
      <c r="K1224" s="4" t="s">
        <v>10</v>
      </c>
      <c r="L1224" s="4" t="s">
        <v>27</v>
      </c>
      <c r="M1224" s="4" t="s">
        <v>386</v>
      </c>
      <c r="N1224" s="4" t="s">
        <v>2583</v>
      </c>
      <c r="O1224" s="89"/>
      <c r="P1224" s="25">
        <v>45565</v>
      </c>
      <c r="Q1224" s="7" t="s">
        <v>7</v>
      </c>
      <c r="R1224" s="90" t="s">
        <v>3256</v>
      </c>
      <c r="S1224" s="6" t="s">
        <v>1795</v>
      </c>
      <c r="T1224" s="4" t="s">
        <v>92</v>
      </c>
      <c r="U1224" s="4" t="s">
        <v>103</v>
      </c>
      <c r="V1224" s="4">
        <v>99</v>
      </c>
      <c r="W1224" s="85">
        <v>46295</v>
      </c>
      <c r="X1224" s="4" t="s">
        <v>3694</v>
      </c>
      <c r="Y1224" s="4">
        <v>565991859</v>
      </c>
      <c r="Z1224" s="4" t="s">
        <v>1568</v>
      </c>
      <c r="AA1224" s="4" t="s">
        <v>85</v>
      </c>
      <c r="AB1224" s="4" t="s">
        <v>4289</v>
      </c>
    </row>
    <row r="1225" spans="1:28">
      <c r="A1225" s="4">
        <v>1224</v>
      </c>
      <c r="B1225" s="106">
        <v>11078275</v>
      </c>
      <c r="C1225" s="5">
        <v>203513499</v>
      </c>
      <c r="D1225" s="115" t="s">
        <v>549</v>
      </c>
      <c r="E1225" s="4" t="s">
        <v>550</v>
      </c>
      <c r="F1225" s="7" t="s">
        <v>82</v>
      </c>
      <c r="G1225" s="7" t="s">
        <v>94</v>
      </c>
      <c r="H1225" s="7" t="s">
        <v>89</v>
      </c>
      <c r="I1225" s="6" t="s">
        <v>1788</v>
      </c>
      <c r="J1225" s="7" t="s">
        <v>7</v>
      </c>
      <c r="K1225" s="4" t="s">
        <v>10</v>
      </c>
      <c r="L1225" s="4" t="s">
        <v>24</v>
      </c>
      <c r="M1225" s="4" t="s">
        <v>4315</v>
      </c>
      <c r="N1225" s="4" t="s">
        <v>2583</v>
      </c>
      <c r="O1225" s="89"/>
      <c r="P1225" s="25">
        <v>45463</v>
      </c>
      <c r="Q1225" s="7" t="s">
        <v>7</v>
      </c>
      <c r="R1225" s="90" t="s">
        <v>3261</v>
      </c>
      <c r="S1225" s="6" t="s">
        <v>1795</v>
      </c>
      <c r="T1225" s="4" t="s">
        <v>81</v>
      </c>
      <c r="U1225" s="4" t="s">
        <v>3263</v>
      </c>
      <c r="V1225" s="4">
        <v>99</v>
      </c>
      <c r="W1225" s="85">
        <v>45828</v>
      </c>
      <c r="X1225" s="4" t="s">
        <v>3688</v>
      </c>
      <c r="Y1225" s="4">
        <v>521284268</v>
      </c>
      <c r="Z1225" s="4" t="s">
        <v>2249</v>
      </c>
      <c r="AA1225" s="4" t="s">
        <v>85</v>
      </c>
      <c r="AB1225" s="4" t="s">
        <v>4289</v>
      </c>
    </row>
    <row r="1226" spans="1:28">
      <c r="A1226" s="4">
        <v>1225</v>
      </c>
      <c r="B1226" s="106">
        <v>13851929</v>
      </c>
      <c r="C1226" s="5">
        <v>204094495</v>
      </c>
      <c r="D1226" s="115" t="s">
        <v>1509</v>
      </c>
      <c r="E1226" s="4" t="s">
        <v>1510</v>
      </c>
      <c r="F1226" s="7" t="s">
        <v>82</v>
      </c>
      <c r="G1226" s="7" t="s">
        <v>94</v>
      </c>
      <c r="H1226" s="7" t="s">
        <v>89</v>
      </c>
      <c r="I1226" s="6" t="s">
        <v>1790</v>
      </c>
      <c r="J1226" s="7" t="s">
        <v>7</v>
      </c>
      <c r="K1226" s="4" t="s">
        <v>10</v>
      </c>
      <c r="L1226" s="4" t="s">
        <v>27</v>
      </c>
      <c r="M1226" s="4" t="s">
        <v>4315</v>
      </c>
      <c r="N1226" s="4" t="s">
        <v>2584</v>
      </c>
      <c r="O1226" s="89"/>
      <c r="P1226" s="25">
        <v>45561</v>
      </c>
      <c r="Q1226" s="7" t="s">
        <v>7</v>
      </c>
      <c r="R1226" s="90" t="s">
        <v>3256</v>
      </c>
      <c r="S1226" s="6" t="s">
        <v>1795</v>
      </c>
      <c r="T1226" s="4" t="s">
        <v>92</v>
      </c>
      <c r="U1226" s="4" t="s">
        <v>103</v>
      </c>
      <c r="V1226" s="4">
        <v>99</v>
      </c>
      <c r="W1226" s="85">
        <v>46291</v>
      </c>
      <c r="X1226" s="4" t="s">
        <v>3690</v>
      </c>
      <c r="Y1226" s="4">
        <v>556484939</v>
      </c>
      <c r="Z1226" s="4" t="s">
        <v>2163</v>
      </c>
      <c r="AA1226" s="4" t="s">
        <v>1198</v>
      </c>
      <c r="AB1226" s="4" t="s">
        <v>4289</v>
      </c>
    </row>
    <row r="1227" spans="1:28">
      <c r="A1227" s="4">
        <v>1226</v>
      </c>
      <c r="B1227" s="106">
        <v>12932358</v>
      </c>
      <c r="C1227" s="5">
        <v>204013731</v>
      </c>
      <c r="D1227" s="115" t="s">
        <v>1376</v>
      </c>
      <c r="E1227" s="4" t="s">
        <v>1377</v>
      </c>
      <c r="F1227" s="7" t="s">
        <v>74</v>
      </c>
      <c r="G1227" s="7" t="s">
        <v>89</v>
      </c>
      <c r="H1227" s="7" t="s">
        <v>90</v>
      </c>
      <c r="I1227" s="6" t="s">
        <v>1788</v>
      </c>
      <c r="J1227" s="7" t="s">
        <v>7</v>
      </c>
      <c r="K1227" s="4" t="s">
        <v>10</v>
      </c>
      <c r="L1227" s="4" t="s">
        <v>24</v>
      </c>
      <c r="M1227" s="4" t="s">
        <v>386</v>
      </c>
      <c r="N1227" s="4" t="s">
        <v>2584</v>
      </c>
      <c r="O1227" s="89"/>
      <c r="P1227" s="25">
        <v>45551</v>
      </c>
      <c r="Q1227" s="7" t="s">
        <v>7</v>
      </c>
      <c r="R1227" s="90" t="s">
        <v>3260</v>
      </c>
      <c r="S1227" s="6" t="s">
        <v>1795</v>
      </c>
      <c r="T1227" s="4" t="s">
        <v>81</v>
      </c>
      <c r="U1227" s="4" t="s">
        <v>349</v>
      </c>
      <c r="V1227" s="4">
        <v>99</v>
      </c>
      <c r="W1227" s="85">
        <v>45916</v>
      </c>
      <c r="X1227" s="4" t="s">
        <v>3739</v>
      </c>
      <c r="Y1227" s="4">
        <v>521356445</v>
      </c>
      <c r="Z1227" s="4" t="s">
        <v>1423</v>
      </c>
      <c r="AA1227" s="4" t="s">
        <v>85</v>
      </c>
      <c r="AB1227" s="4" t="s">
        <v>4289</v>
      </c>
    </row>
    <row r="1228" spans="1:28">
      <c r="A1228" s="4">
        <v>1227</v>
      </c>
      <c r="B1228" s="106">
        <v>12673483</v>
      </c>
      <c r="C1228" s="5">
        <v>205276101</v>
      </c>
      <c r="D1228" s="115" t="s">
        <v>2529</v>
      </c>
      <c r="E1228" s="4" t="s">
        <v>2527</v>
      </c>
      <c r="F1228" s="7" t="s">
        <v>82</v>
      </c>
      <c r="G1228" s="7" t="s">
        <v>87</v>
      </c>
      <c r="H1228" s="7" t="s">
        <v>75</v>
      </c>
      <c r="I1228" s="6" t="s">
        <v>1789</v>
      </c>
      <c r="J1228" s="7" t="s">
        <v>7</v>
      </c>
      <c r="K1228" s="4" t="s">
        <v>10</v>
      </c>
      <c r="L1228" s="4" t="s">
        <v>22</v>
      </c>
      <c r="M1228" s="4" t="s">
        <v>4315</v>
      </c>
      <c r="N1228" s="4" t="s">
        <v>2584</v>
      </c>
      <c r="O1228" s="89"/>
      <c r="P1228" s="25">
        <v>45796</v>
      </c>
      <c r="Q1228" s="7" t="s">
        <v>7</v>
      </c>
      <c r="R1228" s="90" t="s">
        <v>3264</v>
      </c>
      <c r="S1228" s="6" t="s">
        <v>1795</v>
      </c>
      <c r="T1228" s="4" t="s">
        <v>81</v>
      </c>
      <c r="U1228" s="4" t="s">
        <v>103</v>
      </c>
      <c r="V1228" s="4">
        <v>99</v>
      </c>
      <c r="W1228" s="85">
        <v>45838</v>
      </c>
      <c r="X1228" s="4" t="s">
        <v>1216</v>
      </c>
      <c r="Y1228" s="4">
        <v>503855485</v>
      </c>
      <c r="Z1228" s="4" t="s">
        <v>2533</v>
      </c>
      <c r="AA1228" s="4" t="s">
        <v>85</v>
      </c>
      <c r="AB1228" s="4" t="s">
        <v>4289</v>
      </c>
    </row>
    <row r="1229" spans="1:28">
      <c r="A1229" s="4">
        <v>1228</v>
      </c>
      <c r="B1229" s="106">
        <v>12163375</v>
      </c>
      <c r="C1229" s="5">
        <v>102205690</v>
      </c>
      <c r="D1229" s="115" t="s">
        <v>489</v>
      </c>
      <c r="E1229" s="4" t="s">
        <v>490</v>
      </c>
      <c r="F1229" s="7" t="s">
        <v>82</v>
      </c>
      <c r="G1229" s="7" t="s">
        <v>89</v>
      </c>
      <c r="H1229" s="7" t="s">
        <v>90</v>
      </c>
      <c r="I1229" s="6" t="s">
        <v>119</v>
      </c>
      <c r="J1229" s="7" t="s">
        <v>7</v>
      </c>
      <c r="K1229" s="4" t="s">
        <v>10</v>
      </c>
      <c r="L1229" s="4" t="s">
        <v>21</v>
      </c>
      <c r="M1229" s="4" t="s">
        <v>4315</v>
      </c>
      <c r="N1229" s="4" t="s">
        <v>2583</v>
      </c>
      <c r="O1229" s="89"/>
      <c r="P1229" s="25">
        <v>42868</v>
      </c>
      <c r="Q1229" s="7" t="s">
        <v>7</v>
      </c>
      <c r="R1229" s="90" t="s">
        <v>3254</v>
      </c>
      <c r="S1229" s="6" t="s">
        <v>1795</v>
      </c>
      <c r="T1229" s="4" t="s">
        <v>81</v>
      </c>
      <c r="U1229" s="4" t="s">
        <v>103</v>
      </c>
      <c r="V1229" s="4">
        <v>1</v>
      </c>
      <c r="W1229" s="85"/>
      <c r="X1229" s="4" t="s">
        <v>3739</v>
      </c>
      <c r="Y1229" s="4">
        <v>0</v>
      </c>
      <c r="Z1229" s="4" t="e">
        <v>#N/A</v>
      </c>
      <c r="AA1229" s="4" t="s">
        <v>2269</v>
      </c>
      <c r="AB1229" s="4" t="s">
        <v>4289</v>
      </c>
    </row>
    <row r="1230" spans="1:28">
      <c r="A1230" s="4">
        <v>1229</v>
      </c>
      <c r="B1230" s="106">
        <v>20212</v>
      </c>
      <c r="C1230" s="5">
        <v>102582357</v>
      </c>
      <c r="D1230" s="115" t="s">
        <v>491</v>
      </c>
      <c r="E1230" s="4" t="s">
        <v>492</v>
      </c>
      <c r="F1230" s="7" t="s">
        <v>82</v>
      </c>
      <c r="G1230" s="7" t="s">
        <v>89</v>
      </c>
      <c r="H1230" s="7" t="s">
        <v>90</v>
      </c>
      <c r="I1230" s="6" t="s">
        <v>1778</v>
      </c>
      <c r="J1230" s="7" t="s">
        <v>7</v>
      </c>
      <c r="K1230" s="4" t="s">
        <v>10</v>
      </c>
      <c r="L1230" s="4" t="s">
        <v>21</v>
      </c>
      <c r="M1230" s="4" t="s">
        <v>4315</v>
      </c>
      <c r="N1230" s="4"/>
      <c r="O1230" s="89"/>
      <c r="P1230" s="25">
        <v>42962</v>
      </c>
      <c r="Q1230" s="7" t="s">
        <v>7</v>
      </c>
      <c r="R1230" s="90" t="s">
        <v>3258</v>
      </c>
      <c r="S1230" s="6" t="s">
        <v>1795</v>
      </c>
      <c r="T1230" s="4" t="s">
        <v>81</v>
      </c>
      <c r="U1230" s="4" t="s">
        <v>112</v>
      </c>
      <c r="V1230" s="4">
        <v>3</v>
      </c>
      <c r="W1230" s="85"/>
      <c r="X1230" s="4" t="s">
        <v>3694</v>
      </c>
      <c r="Y1230" s="4">
        <v>0</v>
      </c>
      <c r="Z1230" s="4" t="e">
        <v>#N/A</v>
      </c>
      <c r="AA1230" s="4" t="s">
        <v>1196</v>
      </c>
      <c r="AB1230" s="4" t="s">
        <v>4289</v>
      </c>
    </row>
    <row r="1231" spans="1:28">
      <c r="A1231" s="4">
        <v>1230</v>
      </c>
      <c r="B1231" s="106">
        <v>14487522</v>
      </c>
      <c r="C1231" s="5">
        <v>205845551</v>
      </c>
      <c r="D1231" s="115" t="s">
        <v>2748</v>
      </c>
      <c r="E1231" s="4" t="s">
        <v>2749</v>
      </c>
      <c r="F1231" s="7" t="s">
        <v>82</v>
      </c>
      <c r="G1231" s="7" t="s">
        <v>89</v>
      </c>
      <c r="H1231" s="7" t="s">
        <v>90</v>
      </c>
      <c r="I1231" s="7" t="s">
        <v>1789</v>
      </c>
      <c r="J1231" s="7" t="s">
        <v>7</v>
      </c>
      <c r="K1231" s="4" t="s">
        <v>10</v>
      </c>
      <c r="L1231" s="4" t="s">
        <v>22</v>
      </c>
      <c r="M1231" s="4" t="s">
        <v>4315</v>
      </c>
      <c r="N1231" s="4"/>
      <c r="O1231" s="89"/>
      <c r="P1231" s="25">
        <v>45894</v>
      </c>
      <c r="Q1231" s="7" t="s">
        <v>7</v>
      </c>
      <c r="R1231" s="90" t="s">
        <v>3258</v>
      </c>
      <c r="S1231" s="6" t="s">
        <v>1795</v>
      </c>
      <c r="T1231" s="4" t="s">
        <v>81</v>
      </c>
      <c r="U1231" s="4" t="s">
        <v>103</v>
      </c>
      <c r="V1231" s="4">
        <v>99</v>
      </c>
      <c r="W1231" s="85">
        <v>45949</v>
      </c>
      <c r="X1231" s="4" t="s">
        <v>2758</v>
      </c>
      <c r="Y1231" s="4">
        <v>543883545</v>
      </c>
      <c r="Z1231" s="4" t="s">
        <v>2792</v>
      </c>
      <c r="AA1231" s="4" t="s">
        <v>85</v>
      </c>
      <c r="AB1231" s="4" t="s">
        <v>4290</v>
      </c>
    </row>
    <row r="1232" spans="1:28">
      <c r="A1232" s="4">
        <v>1231</v>
      </c>
      <c r="B1232" s="5">
        <v>12807208</v>
      </c>
      <c r="C1232" s="5">
        <v>206296204</v>
      </c>
      <c r="D1232" s="115" t="s">
        <v>3126</v>
      </c>
      <c r="E1232" s="4" t="s">
        <v>3810</v>
      </c>
      <c r="F1232" s="7" t="s">
        <v>82</v>
      </c>
      <c r="G1232" s="7" t="s">
        <v>90</v>
      </c>
      <c r="H1232" s="7" t="s">
        <v>87</v>
      </c>
      <c r="I1232" s="7" t="s">
        <v>1789</v>
      </c>
      <c r="J1232" s="7" t="s">
        <v>7</v>
      </c>
      <c r="K1232" s="4" t="s">
        <v>10</v>
      </c>
      <c r="L1232" s="4" t="s">
        <v>23</v>
      </c>
      <c r="M1232" s="4" t="s">
        <v>4315</v>
      </c>
      <c r="N1232" s="4"/>
      <c r="O1232" s="89"/>
      <c r="P1232" s="25">
        <v>45950</v>
      </c>
      <c r="Q1232" s="7" t="s">
        <v>7</v>
      </c>
      <c r="R1232" s="4" t="s">
        <v>3264</v>
      </c>
      <c r="S1232" s="6" t="s">
        <v>1795</v>
      </c>
      <c r="T1232" s="4" t="s">
        <v>81</v>
      </c>
      <c r="U1232" s="4" t="s">
        <v>349</v>
      </c>
      <c r="V1232" s="4">
        <v>99</v>
      </c>
      <c r="W1232" s="85"/>
      <c r="X1232" s="4"/>
      <c r="Y1232" s="4"/>
      <c r="Z1232" s="4"/>
      <c r="AA1232" s="4" t="s">
        <v>3701</v>
      </c>
      <c r="AB1232" s="4" t="s">
        <v>4289</v>
      </c>
    </row>
    <row r="1233" spans="1:28">
      <c r="A1233" s="4">
        <v>1232</v>
      </c>
      <c r="B1233" s="106">
        <v>14571183</v>
      </c>
      <c r="C1233" s="5">
        <v>206958074</v>
      </c>
      <c r="D1233" s="115" t="s">
        <v>4213</v>
      </c>
      <c r="E1233" s="4" t="s">
        <v>4214</v>
      </c>
      <c r="F1233" s="7" t="s">
        <v>82</v>
      </c>
      <c r="G1233" s="7" t="s">
        <v>75</v>
      </c>
      <c r="H1233" s="7" t="s">
        <v>76</v>
      </c>
      <c r="I1233" s="7" t="s">
        <v>1788</v>
      </c>
      <c r="J1233" s="7" t="s">
        <v>7</v>
      </c>
      <c r="K1233" s="7" t="s">
        <v>10</v>
      </c>
      <c r="L1233" s="7" t="s">
        <v>23</v>
      </c>
      <c r="M1233" s="7" t="s">
        <v>4315</v>
      </c>
      <c r="N1233" s="4" t="s">
        <v>2584</v>
      </c>
      <c r="O1233" s="89"/>
      <c r="P1233" s="25">
        <v>46048</v>
      </c>
      <c r="Q1233" s="7" t="s">
        <v>7</v>
      </c>
      <c r="R1233" s="90" t="s">
        <v>3254</v>
      </c>
      <c r="S1233" s="7" t="s">
        <v>1795</v>
      </c>
      <c r="T1233" s="7" t="s">
        <v>92</v>
      </c>
      <c r="U1233" s="7"/>
      <c r="V1233" s="4">
        <v>99</v>
      </c>
      <c r="W1233" s="7"/>
      <c r="X1233" s="4" t="s">
        <v>3979</v>
      </c>
      <c r="Y1233" s="4" t="s">
        <v>4247</v>
      </c>
      <c r="Z1233" s="4" t="s">
        <v>4248</v>
      </c>
      <c r="AA1233" s="4" t="s">
        <v>1204</v>
      </c>
      <c r="AB1233" s="4" t="e">
        <v>#N/A</v>
      </c>
    </row>
    <row r="1234" spans="1:28">
      <c r="A1234" s="4">
        <v>1233</v>
      </c>
      <c r="B1234" s="106">
        <v>11662433</v>
      </c>
      <c r="C1234" s="5">
        <v>206348052</v>
      </c>
      <c r="D1234" s="115" t="s">
        <v>3174</v>
      </c>
      <c r="E1234" s="4" t="s">
        <v>3135</v>
      </c>
      <c r="F1234" s="7" t="s">
        <v>74</v>
      </c>
      <c r="G1234" s="7" t="s">
        <v>90</v>
      </c>
      <c r="H1234" s="7" t="s">
        <v>87</v>
      </c>
      <c r="I1234" s="7" t="s">
        <v>1789</v>
      </c>
      <c r="J1234" s="7" t="s">
        <v>7</v>
      </c>
      <c r="K1234" s="4" t="s">
        <v>10</v>
      </c>
      <c r="L1234" s="4" t="s">
        <v>22</v>
      </c>
      <c r="M1234" s="4" t="s">
        <v>386</v>
      </c>
      <c r="N1234" s="4" t="s">
        <v>2584</v>
      </c>
      <c r="O1234" s="89"/>
      <c r="P1234" s="25">
        <v>45957</v>
      </c>
      <c r="Q1234" s="7" t="s">
        <v>7</v>
      </c>
      <c r="R1234" s="4" t="s">
        <v>3262</v>
      </c>
      <c r="S1234" s="6" t="s">
        <v>1796</v>
      </c>
      <c r="T1234" s="4" t="s">
        <v>81</v>
      </c>
      <c r="U1234" s="4" t="s">
        <v>349</v>
      </c>
      <c r="V1234" s="4">
        <v>99</v>
      </c>
      <c r="W1234" s="85">
        <v>46013</v>
      </c>
      <c r="X1234" s="4" t="s">
        <v>2758</v>
      </c>
      <c r="Y1234" s="4" t="s">
        <v>3146</v>
      </c>
      <c r="Z1234" s="4" t="s">
        <v>3159</v>
      </c>
      <c r="AA1234" s="4" t="s">
        <v>3168</v>
      </c>
      <c r="AB1234" s="4" t="s">
        <v>4289</v>
      </c>
    </row>
    <row r="1235" spans="1:28">
      <c r="A1235" s="4">
        <v>1234</v>
      </c>
      <c r="B1235" s="106">
        <v>14746223</v>
      </c>
      <c r="C1235" s="5">
        <v>203513498</v>
      </c>
      <c r="D1235" s="115" t="s">
        <v>545</v>
      </c>
      <c r="E1235" s="4" t="s">
        <v>546</v>
      </c>
      <c r="F1235" s="7" t="s">
        <v>82</v>
      </c>
      <c r="G1235" s="7" t="s">
        <v>90</v>
      </c>
      <c r="H1235" s="7" t="s">
        <v>87</v>
      </c>
      <c r="I1235" s="6" t="s">
        <v>1788</v>
      </c>
      <c r="J1235" s="7" t="s">
        <v>7</v>
      </c>
      <c r="K1235" s="4" t="s">
        <v>10</v>
      </c>
      <c r="L1235" s="4" t="s">
        <v>24</v>
      </c>
      <c r="M1235" s="4" t="s">
        <v>4315</v>
      </c>
      <c r="N1235" s="4" t="s">
        <v>2583</v>
      </c>
      <c r="O1235" s="89"/>
      <c r="P1235" s="25">
        <v>45463</v>
      </c>
      <c r="Q1235" s="7" t="s">
        <v>7</v>
      </c>
      <c r="R1235" s="90" t="s">
        <v>3256</v>
      </c>
      <c r="S1235" s="6" t="s">
        <v>1795</v>
      </c>
      <c r="T1235" s="4" t="s">
        <v>81</v>
      </c>
      <c r="U1235" s="4" t="s">
        <v>112</v>
      </c>
      <c r="V1235" s="4">
        <v>99</v>
      </c>
      <c r="W1235" s="85">
        <v>45828</v>
      </c>
      <c r="X1235" s="4" t="s">
        <v>3703</v>
      </c>
      <c r="Y1235" s="4">
        <v>521130589</v>
      </c>
      <c r="Z1235" s="4" t="s">
        <v>2251</v>
      </c>
      <c r="AA1235" s="4" t="s">
        <v>85</v>
      </c>
      <c r="AB1235" s="4" t="s">
        <v>4289</v>
      </c>
    </row>
    <row r="1236" spans="1:28">
      <c r="A1236" s="4">
        <v>1235</v>
      </c>
      <c r="B1236" s="106">
        <v>15139637</v>
      </c>
      <c r="C1236" s="5">
        <v>206958090</v>
      </c>
      <c r="D1236" s="115" t="s">
        <v>4215</v>
      </c>
      <c r="E1236" s="4" t="s">
        <v>4216</v>
      </c>
      <c r="F1236" s="7" t="s">
        <v>82</v>
      </c>
      <c r="G1236" s="7" t="s">
        <v>94</v>
      </c>
      <c r="H1236" s="7" t="s">
        <v>89</v>
      </c>
      <c r="I1236" s="7" t="s">
        <v>1789</v>
      </c>
      <c r="J1236" s="7" t="s">
        <v>7</v>
      </c>
      <c r="K1236" s="7" t="s">
        <v>10</v>
      </c>
      <c r="L1236" s="7" t="s">
        <v>23</v>
      </c>
      <c r="M1236" s="7" t="s">
        <v>4315</v>
      </c>
      <c r="N1236" s="4" t="s">
        <v>2584</v>
      </c>
      <c r="O1236" s="89"/>
      <c r="P1236" s="25">
        <v>46048</v>
      </c>
      <c r="Q1236" s="7" t="s">
        <v>7</v>
      </c>
      <c r="R1236" s="7" t="s">
        <v>3257</v>
      </c>
      <c r="S1236" s="7" t="s">
        <v>1795</v>
      </c>
      <c r="T1236" s="7" t="s">
        <v>92</v>
      </c>
      <c r="U1236" s="7"/>
      <c r="V1236" s="4">
        <v>99</v>
      </c>
      <c r="W1236" s="7"/>
      <c r="X1236" s="4" t="s">
        <v>3979</v>
      </c>
      <c r="Y1236" s="4" t="s">
        <v>4249</v>
      </c>
      <c r="Z1236" s="4" t="s">
        <v>4250</v>
      </c>
      <c r="AA1236" s="4" t="s">
        <v>1204</v>
      </c>
      <c r="AB1236" s="4" t="e">
        <v>#N/A</v>
      </c>
    </row>
    <row r="1237" spans="1:28">
      <c r="A1237" s="4">
        <v>1236</v>
      </c>
      <c r="B1237" s="106">
        <v>13009402</v>
      </c>
      <c r="C1237" s="5">
        <v>203513399</v>
      </c>
      <c r="D1237" s="115" t="s">
        <v>551</v>
      </c>
      <c r="E1237" s="4" t="s">
        <v>552</v>
      </c>
      <c r="F1237" s="7" t="s">
        <v>74</v>
      </c>
      <c r="G1237" s="7" t="s">
        <v>94</v>
      </c>
      <c r="H1237" s="7" t="s">
        <v>89</v>
      </c>
      <c r="I1237" s="6" t="s">
        <v>1788</v>
      </c>
      <c r="J1237" s="7" t="s">
        <v>7</v>
      </c>
      <c r="K1237" s="4" t="s">
        <v>10</v>
      </c>
      <c r="L1237" s="4" t="s">
        <v>24</v>
      </c>
      <c r="M1237" s="4" t="s">
        <v>386</v>
      </c>
      <c r="N1237" s="4" t="s">
        <v>2583</v>
      </c>
      <c r="O1237" s="89"/>
      <c r="P1237" s="25">
        <v>45463</v>
      </c>
      <c r="Q1237" s="7" t="s">
        <v>7</v>
      </c>
      <c r="R1237" s="90" t="s">
        <v>3261</v>
      </c>
      <c r="S1237" s="6" t="s">
        <v>1795</v>
      </c>
      <c r="T1237" s="4" t="s">
        <v>92</v>
      </c>
      <c r="U1237" s="4" t="s">
        <v>107</v>
      </c>
      <c r="V1237" s="4">
        <v>99</v>
      </c>
      <c r="W1237" s="85">
        <v>45828</v>
      </c>
      <c r="X1237" s="4" t="s">
        <v>3703</v>
      </c>
      <c r="Y1237" s="4">
        <v>505596373</v>
      </c>
      <c r="Z1237" s="4" t="s">
        <v>2252</v>
      </c>
      <c r="AA1237" s="4" t="s">
        <v>85</v>
      </c>
      <c r="AB1237" s="4" t="s">
        <v>4289</v>
      </c>
    </row>
    <row r="1238" spans="1:28">
      <c r="A1238" s="4">
        <v>1237</v>
      </c>
      <c r="B1238" s="106">
        <v>12871875</v>
      </c>
      <c r="C1238" s="5">
        <v>204115629</v>
      </c>
      <c r="D1238" s="115" t="s">
        <v>1533</v>
      </c>
      <c r="E1238" s="4" t="s">
        <v>1534</v>
      </c>
      <c r="F1238" s="7" t="s">
        <v>74</v>
      </c>
      <c r="G1238" s="7" t="s">
        <v>88</v>
      </c>
      <c r="H1238" s="7" t="s">
        <v>94</v>
      </c>
      <c r="I1238" s="6" t="s">
        <v>1790</v>
      </c>
      <c r="J1238" s="7" t="s">
        <v>7</v>
      </c>
      <c r="K1238" s="4" t="s">
        <v>10</v>
      </c>
      <c r="L1238" s="4" t="s">
        <v>27</v>
      </c>
      <c r="M1238" s="4" t="s">
        <v>386</v>
      </c>
      <c r="N1238" s="4" t="s">
        <v>2583</v>
      </c>
      <c r="O1238" s="89"/>
      <c r="P1238" s="25">
        <v>45561</v>
      </c>
      <c r="Q1238" s="7" t="s">
        <v>7</v>
      </c>
      <c r="R1238" s="90" t="s">
        <v>3252</v>
      </c>
      <c r="S1238" s="6" t="s">
        <v>1795</v>
      </c>
      <c r="T1238" s="4" t="s">
        <v>81</v>
      </c>
      <c r="U1238" s="4" t="s">
        <v>349</v>
      </c>
      <c r="V1238" s="4">
        <v>99</v>
      </c>
      <c r="W1238" s="85">
        <v>46291</v>
      </c>
      <c r="X1238" s="4" t="s">
        <v>3694</v>
      </c>
      <c r="Y1238" s="4">
        <v>568071325</v>
      </c>
      <c r="Z1238" s="4" t="s">
        <v>2253</v>
      </c>
      <c r="AA1238" s="4" t="s">
        <v>1198</v>
      </c>
      <c r="AB1238" s="4" t="s">
        <v>4289</v>
      </c>
    </row>
    <row r="1239" spans="1:28">
      <c r="A1239" s="4">
        <v>1238</v>
      </c>
      <c r="B1239" s="106">
        <v>11220566</v>
      </c>
      <c r="C1239" s="5">
        <v>206958297</v>
      </c>
      <c r="D1239" s="115" t="s">
        <v>4217</v>
      </c>
      <c r="E1239" s="4" t="s">
        <v>4218</v>
      </c>
      <c r="F1239" s="7" t="s">
        <v>82</v>
      </c>
      <c r="G1239" s="7" t="s">
        <v>75</v>
      </c>
      <c r="H1239" s="7" t="s">
        <v>76</v>
      </c>
      <c r="I1239" s="7" t="s">
        <v>1788</v>
      </c>
      <c r="J1239" s="7" t="s">
        <v>7</v>
      </c>
      <c r="K1239" s="7" t="s">
        <v>10</v>
      </c>
      <c r="L1239" s="7" t="s">
        <v>23</v>
      </c>
      <c r="M1239" s="7" t="s">
        <v>4315</v>
      </c>
      <c r="N1239" s="4" t="s">
        <v>2584</v>
      </c>
      <c r="O1239" s="89"/>
      <c r="P1239" s="25">
        <v>46048</v>
      </c>
      <c r="Q1239" s="7" t="s">
        <v>7</v>
      </c>
      <c r="R1239" s="90" t="s">
        <v>3254</v>
      </c>
      <c r="S1239" s="7" t="s">
        <v>1795</v>
      </c>
      <c r="T1239" s="7" t="s">
        <v>92</v>
      </c>
      <c r="U1239" s="7"/>
      <c r="V1239" s="4">
        <v>99</v>
      </c>
      <c r="W1239" s="7"/>
      <c r="X1239" s="4" t="s">
        <v>3979</v>
      </c>
      <c r="Y1239" s="4" t="s">
        <v>4251</v>
      </c>
      <c r="Z1239" s="4" t="s">
        <v>4252</v>
      </c>
      <c r="AA1239" s="4" t="s">
        <v>1204</v>
      </c>
      <c r="AB1239" s="4" t="e">
        <v>#N/A</v>
      </c>
    </row>
    <row r="1240" spans="1:28">
      <c r="A1240" s="4">
        <v>1239</v>
      </c>
      <c r="B1240" s="106">
        <v>11875520</v>
      </c>
      <c r="C1240" s="5">
        <v>206348054</v>
      </c>
      <c r="D1240" s="115" t="s">
        <v>3178</v>
      </c>
      <c r="E1240" s="4" t="s">
        <v>3139</v>
      </c>
      <c r="F1240" s="7" t="s">
        <v>74</v>
      </c>
      <c r="G1240" s="7" t="s">
        <v>87</v>
      </c>
      <c r="H1240" s="7" t="s">
        <v>75</v>
      </c>
      <c r="I1240" s="7" t="s">
        <v>1789</v>
      </c>
      <c r="J1240" s="7" t="s">
        <v>7</v>
      </c>
      <c r="K1240" s="4" t="s">
        <v>10</v>
      </c>
      <c r="L1240" s="4" t="s">
        <v>22</v>
      </c>
      <c r="M1240" s="4" t="s">
        <v>386</v>
      </c>
      <c r="N1240" s="4" t="s">
        <v>2584</v>
      </c>
      <c r="O1240" s="89"/>
      <c r="P1240" s="25">
        <v>45957</v>
      </c>
      <c r="Q1240" s="7" t="s">
        <v>7</v>
      </c>
      <c r="R1240" s="7" t="s">
        <v>3257</v>
      </c>
      <c r="S1240" s="6" t="s">
        <v>1796</v>
      </c>
      <c r="T1240" s="4" t="s">
        <v>81</v>
      </c>
      <c r="U1240" s="4" t="s">
        <v>349</v>
      </c>
      <c r="V1240" s="4">
        <v>99</v>
      </c>
      <c r="W1240" s="85">
        <v>46013</v>
      </c>
      <c r="X1240" s="4" t="s">
        <v>2758</v>
      </c>
      <c r="Y1240" s="4" t="s">
        <v>3150</v>
      </c>
      <c r="Z1240" s="4" t="s">
        <v>3163</v>
      </c>
      <c r="AA1240" s="4" t="s">
        <v>3168</v>
      </c>
      <c r="AB1240" s="4" t="s">
        <v>4289</v>
      </c>
    </row>
    <row r="1241" spans="1:28">
      <c r="A1241" s="4">
        <v>1240</v>
      </c>
      <c r="B1241" s="106">
        <v>13810144</v>
      </c>
      <c r="C1241" s="5">
        <v>204013739</v>
      </c>
      <c r="D1241" s="115" t="s">
        <v>1413</v>
      </c>
      <c r="E1241" s="4" t="s">
        <v>1414</v>
      </c>
      <c r="F1241" s="7" t="s">
        <v>82</v>
      </c>
      <c r="G1241" s="7" t="s">
        <v>89</v>
      </c>
      <c r="H1241" s="7" t="s">
        <v>90</v>
      </c>
      <c r="I1241" s="6" t="s">
        <v>1788</v>
      </c>
      <c r="J1241" s="7" t="s">
        <v>7</v>
      </c>
      <c r="K1241" s="4" t="s">
        <v>10</v>
      </c>
      <c r="L1241" s="4" t="s">
        <v>24</v>
      </c>
      <c r="M1241" s="4" t="s">
        <v>4315</v>
      </c>
      <c r="N1241" s="4" t="s">
        <v>2584</v>
      </c>
      <c r="O1241" s="89"/>
      <c r="P1241" s="25">
        <v>45551</v>
      </c>
      <c r="Q1241" s="7" t="s">
        <v>7</v>
      </c>
      <c r="R1241" s="90" t="s">
        <v>3258</v>
      </c>
      <c r="S1241" s="6" t="s">
        <v>1795</v>
      </c>
      <c r="T1241" s="4" t="s">
        <v>81</v>
      </c>
      <c r="U1241" s="4" t="s">
        <v>103</v>
      </c>
      <c r="V1241" s="4">
        <v>99</v>
      </c>
      <c r="W1241" s="85">
        <v>45916</v>
      </c>
      <c r="X1241" s="4" t="s">
        <v>3690</v>
      </c>
      <c r="Y1241" s="4">
        <v>552337540</v>
      </c>
      <c r="Z1241" s="4" t="s">
        <v>2254</v>
      </c>
      <c r="AA1241" s="4" t="s">
        <v>1196</v>
      </c>
      <c r="AB1241" s="4" t="s">
        <v>4289</v>
      </c>
    </row>
    <row r="1242" spans="1:28">
      <c r="A1242" s="4">
        <v>1241</v>
      </c>
      <c r="B1242" s="106">
        <v>12163253</v>
      </c>
      <c r="C1242" s="5">
        <v>102205553</v>
      </c>
      <c r="D1242" s="115" t="s">
        <v>493</v>
      </c>
      <c r="E1242" s="4" t="s">
        <v>494</v>
      </c>
      <c r="F1242" s="7" t="s">
        <v>82</v>
      </c>
      <c r="G1242" s="7" t="s">
        <v>76</v>
      </c>
      <c r="H1242" s="7" t="s">
        <v>88</v>
      </c>
      <c r="I1242" s="6" t="s">
        <v>119</v>
      </c>
      <c r="J1242" s="7" t="s">
        <v>7</v>
      </c>
      <c r="K1242" s="4" t="s">
        <v>10</v>
      </c>
      <c r="L1242" s="4" t="s">
        <v>21</v>
      </c>
      <c r="M1242" s="4" t="s">
        <v>4315</v>
      </c>
      <c r="N1242" s="4" t="s">
        <v>2583</v>
      </c>
      <c r="O1242" s="89"/>
      <c r="P1242" s="25">
        <v>42868</v>
      </c>
      <c r="Q1242" s="7" t="s">
        <v>7</v>
      </c>
      <c r="R1242" s="90" t="s">
        <v>2586</v>
      </c>
      <c r="S1242" s="6" t="s">
        <v>1795</v>
      </c>
      <c r="T1242" s="4" t="s">
        <v>81</v>
      </c>
      <c r="U1242" s="4" t="s">
        <v>103</v>
      </c>
      <c r="V1242" s="4">
        <v>1</v>
      </c>
      <c r="W1242" s="85"/>
      <c r="X1242" s="4" t="s">
        <v>1197</v>
      </c>
      <c r="Y1242" s="4">
        <v>0</v>
      </c>
      <c r="Z1242" s="4" t="e">
        <v>#N/A</v>
      </c>
      <c r="AA1242" s="4" t="s">
        <v>1194</v>
      </c>
      <c r="AB1242" s="4" t="s">
        <v>4289</v>
      </c>
    </row>
    <row r="1243" spans="1:28">
      <c r="A1243" s="4">
        <v>1242</v>
      </c>
      <c r="B1243" s="106">
        <v>12731622</v>
      </c>
      <c r="C1243" s="5">
        <v>206958449</v>
      </c>
      <c r="D1243" s="115" t="s">
        <v>4219</v>
      </c>
      <c r="E1243" s="4" t="s">
        <v>4220</v>
      </c>
      <c r="F1243" s="7" t="s">
        <v>82</v>
      </c>
      <c r="G1243" s="7" t="s">
        <v>75</v>
      </c>
      <c r="H1243" s="7" t="s">
        <v>76</v>
      </c>
      <c r="I1243" s="7" t="s">
        <v>1788</v>
      </c>
      <c r="J1243" s="7" t="s">
        <v>7</v>
      </c>
      <c r="K1243" s="7" t="s">
        <v>10</v>
      </c>
      <c r="L1243" s="7" t="s">
        <v>23</v>
      </c>
      <c r="M1243" s="7" t="s">
        <v>4315</v>
      </c>
      <c r="N1243" s="4" t="s">
        <v>2584</v>
      </c>
      <c r="O1243" s="89"/>
      <c r="P1243" s="25">
        <v>46048</v>
      </c>
      <c r="Q1243" s="7" t="s">
        <v>7</v>
      </c>
      <c r="R1243" s="90" t="s">
        <v>2586</v>
      </c>
      <c r="S1243" s="7" t="s">
        <v>1795</v>
      </c>
      <c r="T1243" s="7" t="s">
        <v>92</v>
      </c>
      <c r="U1243" s="7"/>
      <c r="V1243" s="4">
        <v>99</v>
      </c>
      <c r="W1243" s="7"/>
      <c r="X1243" s="4" t="s">
        <v>3979</v>
      </c>
      <c r="Y1243" s="4" t="s">
        <v>4253</v>
      </c>
      <c r="Z1243" s="4" t="s">
        <v>4254</v>
      </c>
      <c r="AA1243" s="4" t="s">
        <v>1204</v>
      </c>
      <c r="AB1243" s="4" t="e">
        <v>#N/A</v>
      </c>
    </row>
    <row r="1244" spans="1:28">
      <c r="A1244" s="4">
        <v>1243</v>
      </c>
      <c r="B1244" s="95">
        <v>12115192</v>
      </c>
      <c r="C1244" s="95">
        <v>206851162</v>
      </c>
      <c r="D1244" s="115" t="s">
        <v>3400</v>
      </c>
      <c r="E1244" s="4" t="s">
        <v>3401</v>
      </c>
      <c r="F1244" s="7" t="s">
        <v>82</v>
      </c>
      <c r="G1244" s="7" t="s">
        <v>90</v>
      </c>
      <c r="H1244" s="7" t="s">
        <v>87</v>
      </c>
      <c r="I1244" s="7" t="s">
        <v>1789</v>
      </c>
      <c r="J1244" s="7" t="s">
        <v>7</v>
      </c>
      <c r="K1244" s="6" t="s">
        <v>10</v>
      </c>
      <c r="L1244" s="4" t="s">
        <v>22</v>
      </c>
      <c r="M1244" s="4" t="s">
        <v>4315</v>
      </c>
      <c r="N1244" s="4" t="s">
        <v>2584</v>
      </c>
      <c r="O1244" s="89"/>
      <c r="P1244" s="25">
        <v>46020</v>
      </c>
      <c r="Q1244" s="7" t="s">
        <v>7</v>
      </c>
      <c r="R1244" s="90" t="s">
        <v>3254</v>
      </c>
      <c r="S1244" s="6" t="s">
        <v>3478</v>
      </c>
      <c r="T1244" s="4" t="s">
        <v>81</v>
      </c>
      <c r="U1244" s="4"/>
      <c r="V1244" s="4">
        <v>99</v>
      </c>
      <c r="W1244" s="4"/>
      <c r="X1244" s="4" t="s">
        <v>3290</v>
      </c>
      <c r="Y1244" s="95">
        <v>502893750</v>
      </c>
      <c r="Z1244" s="4" t="s">
        <v>3470</v>
      </c>
      <c r="AA1244" s="4" t="s">
        <v>3016</v>
      </c>
      <c r="AB1244" s="4">
        <v>0</v>
      </c>
    </row>
    <row r="1245" spans="1:28">
      <c r="A1245" s="4">
        <v>1244</v>
      </c>
      <c r="B1245" s="106">
        <v>12022901</v>
      </c>
      <c r="C1245" s="5">
        <v>104042345</v>
      </c>
      <c r="D1245" s="115" t="s">
        <v>478</v>
      </c>
      <c r="E1245" s="4" t="s">
        <v>479</v>
      </c>
      <c r="F1245" s="7" t="s">
        <v>82</v>
      </c>
      <c r="G1245" s="7" t="s">
        <v>87</v>
      </c>
      <c r="H1245" s="7" t="s">
        <v>75</v>
      </c>
      <c r="I1245" s="6" t="s">
        <v>1778</v>
      </c>
      <c r="J1245" s="7" t="s">
        <v>7</v>
      </c>
      <c r="K1245" s="4" t="s">
        <v>10</v>
      </c>
      <c r="L1245" s="4" t="s">
        <v>21</v>
      </c>
      <c r="M1245" s="4" t="s">
        <v>386</v>
      </c>
      <c r="N1245" s="4" t="s">
        <v>2583</v>
      </c>
      <c r="O1245" s="89"/>
      <c r="P1245" s="25">
        <v>44724</v>
      </c>
      <c r="Q1245" s="7" t="s">
        <v>7</v>
      </c>
      <c r="R1245" s="90" t="s">
        <v>3253</v>
      </c>
      <c r="S1245" s="6" t="s">
        <v>1795</v>
      </c>
      <c r="T1245" s="4" t="s">
        <v>81</v>
      </c>
      <c r="U1245" s="4" t="s">
        <v>107</v>
      </c>
      <c r="V1245" s="4">
        <v>3</v>
      </c>
      <c r="W1245" s="85"/>
      <c r="X1245" s="4" t="s">
        <v>3492</v>
      </c>
      <c r="Y1245" s="4">
        <v>0</v>
      </c>
      <c r="Z1245" s="4" t="e">
        <v>#N/A</v>
      </c>
      <c r="AA1245" s="4" t="s">
        <v>127</v>
      </c>
      <c r="AB1245" s="4" t="s">
        <v>4290</v>
      </c>
    </row>
    <row r="1246" spans="1:28">
      <c r="A1246" s="4">
        <v>1245</v>
      </c>
      <c r="B1246" s="5">
        <v>321504</v>
      </c>
      <c r="C1246" s="5">
        <v>205609755</v>
      </c>
      <c r="D1246" s="115" t="s">
        <v>2591</v>
      </c>
      <c r="E1246" s="4" t="s">
        <v>3839</v>
      </c>
      <c r="F1246" s="7" t="s">
        <v>82</v>
      </c>
      <c r="G1246" s="7" t="s">
        <v>94</v>
      </c>
      <c r="H1246" s="7" t="s">
        <v>89</v>
      </c>
      <c r="I1246" s="7" t="s">
        <v>1789</v>
      </c>
      <c r="J1246" s="7" t="s">
        <v>7</v>
      </c>
      <c r="K1246" s="4" t="s">
        <v>10</v>
      </c>
      <c r="L1246" s="4" t="s">
        <v>22</v>
      </c>
      <c r="M1246" s="4" t="s">
        <v>4315</v>
      </c>
      <c r="N1246" s="4"/>
      <c r="O1246" s="89"/>
      <c r="P1246" s="25">
        <v>45845</v>
      </c>
      <c r="Q1246" s="7" t="s">
        <v>7</v>
      </c>
      <c r="R1246" s="90" t="s">
        <v>2586</v>
      </c>
      <c r="S1246" s="6" t="s">
        <v>1795</v>
      </c>
      <c r="T1246" s="4" t="s">
        <v>81</v>
      </c>
      <c r="U1246" s="4" t="s">
        <v>112</v>
      </c>
      <c r="V1246" s="4">
        <v>99</v>
      </c>
      <c r="W1246" s="85">
        <v>45901</v>
      </c>
      <c r="X1246" s="4" t="s">
        <v>3689</v>
      </c>
      <c r="Y1246" s="4">
        <v>562157498</v>
      </c>
      <c r="Z1246" s="4" t="s">
        <v>2613</v>
      </c>
      <c r="AA1246" s="4" t="s">
        <v>85</v>
      </c>
      <c r="AB1246" s="4" t="s">
        <v>4289</v>
      </c>
    </row>
    <row r="1247" spans="1:28">
      <c r="A1247" s="4">
        <v>1246</v>
      </c>
      <c r="B1247" s="5">
        <v>15072498</v>
      </c>
      <c r="C1247" s="5">
        <v>205285507</v>
      </c>
      <c r="D1247" s="115" t="s">
        <v>2531</v>
      </c>
      <c r="E1247" s="4" t="s">
        <v>3851</v>
      </c>
      <c r="F1247" s="7" t="s">
        <v>82</v>
      </c>
      <c r="G1247" s="7" t="s">
        <v>76</v>
      </c>
      <c r="H1247" s="7" t="s">
        <v>88</v>
      </c>
      <c r="I1247" s="6" t="s">
        <v>1789</v>
      </c>
      <c r="J1247" s="7" t="s">
        <v>7</v>
      </c>
      <c r="K1247" s="4" t="s">
        <v>10</v>
      </c>
      <c r="L1247" s="4" t="s">
        <v>22</v>
      </c>
      <c r="M1247" s="4" t="s">
        <v>4315</v>
      </c>
      <c r="N1247" s="4" t="s">
        <v>2584</v>
      </c>
      <c r="O1247" s="89"/>
      <c r="P1247" s="25">
        <v>45796</v>
      </c>
      <c r="Q1247" s="7" t="s">
        <v>7</v>
      </c>
      <c r="R1247" s="90" t="s">
        <v>3255</v>
      </c>
      <c r="S1247" s="6" t="s">
        <v>1795</v>
      </c>
      <c r="T1247" s="4" t="s">
        <v>81</v>
      </c>
      <c r="U1247" s="4" t="s">
        <v>107</v>
      </c>
      <c r="V1247" s="4">
        <v>99</v>
      </c>
      <c r="W1247" s="85">
        <v>45838</v>
      </c>
      <c r="X1247" s="4" t="s">
        <v>3689</v>
      </c>
      <c r="Y1247" s="4">
        <v>501497728</v>
      </c>
      <c r="Z1247" s="4" t="s">
        <v>2535</v>
      </c>
      <c r="AA1247" s="4" t="s">
        <v>85</v>
      </c>
      <c r="AB1247" s="4" t="s">
        <v>4289</v>
      </c>
    </row>
    <row r="1248" spans="1:28">
      <c r="A1248" s="4">
        <v>1247</v>
      </c>
      <c r="B1248" s="106">
        <v>12165355</v>
      </c>
      <c r="C1248" s="5">
        <v>102207631</v>
      </c>
      <c r="D1248" s="115" t="s">
        <v>733</v>
      </c>
      <c r="E1248" s="4" t="s">
        <v>734</v>
      </c>
      <c r="F1248" s="7" t="s">
        <v>74</v>
      </c>
      <c r="G1248" s="7" t="s">
        <v>88</v>
      </c>
      <c r="H1248" s="7" t="s">
        <v>94</v>
      </c>
      <c r="I1248" s="6" t="s">
        <v>735</v>
      </c>
      <c r="J1248" s="7" t="s">
        <v>2</v>
      </c>
      <c r="K1248" s="4" t="s">
        <v>594</v>
      </c>
      <c r="L1248" s="4" t="s">
        <v>21</v>
      </c>
      <c r="M1248" s="4" t="s">
        <v>4320</v>
      </c>
      <c r="N1248" s="4" t="s">
        <v>2584</v>
      </c>
      <c r="O1248" s="89"/>
      <c r="P1248" s="25">
        <v>42868</v>
      </c>
      <c r="Q1248" s="4" t="s">
        <v>78</v>
      </c>
      <c r="R1248" s="90" t="s">
        <v>3262</v>
      </c>
      <c r="S1248" s="6" t="s">
        <v>1795</v>
      </c>
      <c r="T1248" s="4" t="s">
        <v>1209</v>
      </c>
      <c r="U1248" s="4" t="s">
        <v>132</v>
      </c>
      <c r="V1248" s="4">
        <v>3</v>
      </c>
      <c r="W1248" s="85"/>
      <c r="X1248" s="4" t="s">
        <v>3739</v>
      </c>
      <c r="Y1248" s="4">
        <v>0</v>
      </c>
      <c r="Z1248" s="4" t="e">
        <v>#N/A</v>
      </c>
      <c r="AA1248" s="4" t="s">
        <v>2269</v>
      </c>
      <c r="AB1248" s="4" t="s">
        <v>4289</v>
      </c>
    </row>
    <row r="1249" spans="1:28">
      <c r="A1249" s="4">
        <v>1248</v>
      </c>
      <c r="B1249" s="106">
        <v>13943417</v>
      </c>
      <c r="C1249" s="5">
        <v>203073699</v>
      </c>
      <c r="D1249" s="115" t="s">
        <v>607</v>
      </c>
      <c r="E1249" s="4" t="s">
        <v>608</v>
      </c>
      <c r="F1249" s="7" t="s">
        <v>74</v>
      </c>
      <c r="G1249" s="7" t="s">
        <v>76</v>
      </c>
      <c r="H1249" s="7" t="s">
        <v>88</v>
      </c>
      <c r="I1249" s="6" t="s">
        <v>593</v>
      </c>
      <c r="J1249" s="7" t="s">
        <v>1102</v>
      </c>
      <c r="K1249" s="4" t="s">
        <v>594</v>
      </c>
      <c r="L1249" s="4" t="s">
        <v>21</v>
      </c>
      <c r="M1249" s="4" t="s">
        <v>600</v>
      </c>
      <c r="N1249" s="4"/>
      <c r="O1249" s="89"/>
      <c r="P1249" s="25">
        <v>45397</v>
      </c>
      <c r="Q1249" s="7" t="s">
        <v>1223</v>
      </c>
      <c r="R1249" s="90" t="s">
        <v>3260</v>
      </c>
      <c r="S1249" s="6" t="s">
        <v>1795</v>
      </c>
      <c r="T1249" s="4" t="s">
        <v>81</v>
      </c>
      <c r="U1249" s="4" t="s">
        <v>103</v>
      </c>
      <c r="V1249" s="4">
        <v>3</v>
      </c>
      <c r="W1249" s="85"/>
      <c r="X1249" s="4" t="s">
        <v>1212</v>
      </c>
      <c r="Y1249" s="4">
        <v>0</v>
      </c>
      <c r="Z1249" s="4" t="e">
        <v>#N/A</v>
      </c>
      <c r="AA1249" s="4" t="s">
        <v>1205</v>
      </c>
      <c r="AB1249" s="4" t="s">
        <v>4290</v>
      </c>
    </row>
    <row r="1250" spans="1:28">
      <c r="A1250" s="4">
        <v>1249</v>
      </c>
      <c r="B1250" s="106">
        <v>11977739</v>
      </c>
      <c r="C1250" s="5">
        <v>203160008</v>
      </c>
      <c r="D1250" s="115" t="s">
        <v>615</v>
      </c>
      <c r="E1250" s="4" t="s">
        <v>616</v>
      </c>
      <c r="F1250" s="7" t="s">
        <v>4308</v>
      </c>
      <c r="G1250" s="7" t="s">
        <v>87</v>
      </c>
      <c r="H1250" s="7" t="s">
        <v>75</v>
      </c>
      <c r="I1250" s="6" t="s">
        <v>593</v>
      </c>
      <c r="J1250" s="7" t="s">
        <v>1102</v>
      </c>
      <c r="K1250" s="4" t="s">
        <v>594</v>
      </c>
      <c r="L1250" s="4" t="s">
        <v>21</v>
      </c>
      <c r="M1250" s="4" t="s">
        <v>600</v>
      </c>
      <c r="N1250" s="4"/>
      <c r="O1250" s="89"/>
      <c r="P1250" s="25">
        <v>45435</v>
      </c>
      <c r="Q1250" s="7" t="s">
        <v>1223</v>
      </c>
      <c r="R1250" s="90" t="s">
        <v>3255</v>
      </c>
      <c r="S1250" s="6" t="s">
        <v>1795</v>
      </c>
      <c r="T1250" s="4" t="s">
        <v>81</v>
      </c>
      <c r="U1250" s="4" t="s">
        <v>349</v>
      </c>
      <c r="V1250" s="4">
        <v>3</v>
      </c>
      <c r="W1250" s="85"/>
      <c r="X1250" s="4" t="s">
        <v>1212</v>
      </c>
      <c r="Y1250" s="4">
        <v>0</v>
      </c>
      <c r="Z1250" s="4" t="e">
        <v>#N/A</v>
      </c>
      <c r="AA1250" s="4" t="s">
        <v>1194</v>
      </c>
      <c r="AB1250" s="4" t="s">
        <v>4290</v>
      </c>
    </row>
    <row r="1251" spans="1:28">
      <c r="A1251" s="4">
        <v>1250</v>
      </c>
      <c r="B1251" s="106">
        <v>152435</v>
      </c>
      <c r="C1251" s="5">
        <v>203118578</v>
      </c>
      <c r="D1251" s="115" t="s">
        <v>609</v>
      </c>
      <c r="E1251" s="4" t="s">
        <v>610</v>
      </c>
      <c r="F1251" s="7" t="s">
        <v>82</v>
      </c>
      <c r="G1251" s="7" t="s">
        <v>87</v>
      </c>
      <c r="H1251" s="7" t="s">
        <v>75</v>
      </c>
      <c r="I1251" s="6" t="s">
        <v>593</v>
      </c>
      <c r="J1251" s="7" t="s">
        <v>1102</v>
      </c>
      <c r="K1251" s="4" t="s">
        <v>594</v>
      </c>
      <c r="L1251" s="4" t="s">
        <v>21</v>
      </c>
      <c r="M1251" s="4" t="s">
        <v>600</v>
      </c>
      <c r="N1251" s="4"/>
      <c r="O1251" s="89"/>
      <c r="P1251" s="25">
        <v>45383</v>
      </c>
      <c r="Q1251" s="7" t="s">
        <v>1223</v>
      </c>
      <c r="R1251" s="90" t="s">
        <v>3261</v>
      </c>
      <c r="S1251" s="6" t="s">
        <v>1795</v>
      </c>
      <c r="T1251" s="4" t="s">
        <v>81</v>
      </c>
      <c r="U1251" s="4" t="s">
        <v>349</v>
      </c>
      <c r="V1251" s="4">
        <v>3</v>
      </c>
      <c r="W1251" s="85"/>
      <c r="X1251" s="4" t="s">
        <v>1212</v>
      </c>
      <c r="Y1251" s="4">
        <v>0</v>
      </c>
      <c r="Z1251" s="4" t="e">
        <v>#N/A</v>
      </c>
      <c r="AA1251" s="4" t="s">
        <v>1194</v>
      </c>
      <c r="AB1251" s="4" t="s">
        <v>4289</v>
      </c>
    </row>
    <row r="1252" spans="1:28">
      <c r="A1252" s="4">
        <v>1251</v>
      </c>
      <c r="B1252" s="4">
        <v>15135965</v>
      </c>
      <c r="C1252" s="125">
        <v>206238934</v>
      </c>
      <c r="D1252" s="126" t="s">
        <v>4396</v>
      </c>
      <c r="E1252" s="127" t="s">
        <v>4397</v>
      </c>
      <c r="F1252" s="7" t="s">
        <v>74</v>
      </c>
      <c r="G1252" s="7" t="s">
        <v>75</v>
      </c>
      <c r="H1252" s="7" t="s">
        <v>76</v>
      </c>
      <c r="I1252" s="6" t="s">
        <v>593</v>
      </c>
      <c r="J1252" s="7" t="s">
        <v>1102</v>
      </c>
      <c r="K1252" s="4" t="s">
        <v>594</v>
      </c>
      <c r="L1252" s="4" t="s">
        <v>21</v>
      </c>
      <c r="M1252" s="4" t="s">
        <v>600</v>
      </c>
      <c r="N1252" s="4"/>
      <c r="O1252" s="4"/>
      <c r="P1252" s="128">
        <v>46244</v>
      </c>
      <c r="Q1252" s="7" t="s">
        <v>1223</v>
      </c>
      <c r="R1252" s="6"/>
      <c r="S1252" s="4" t="s">
        <v>1795</v>
      </c>
      <c r="T1252" s="4" t="s">
        <v>1199</v>
      </c>
      <c r="U1252" s="4"/>
      <c r="V1252" s="5">
        <v>3</v>
      </c>
      <c r="W1252" s="4"/>
      <c r="X1252" s="90"/>
      <c r="Y1252" s="4"/>
      <c r="Z1252" s="4"/>
      <c r="AA1252" s="4"/>
      <c r="AB1252" s="4"/>
    </row>
    <row r="1253" spans="1:28">
      <c r="A1253" s="4">
        <v>1252</v>
      </c>
      <c r="B1253" s="106">
        <v>13268720</v>
      </c>
      <c r="C1253" s="5">
        <v>204043092</v>
      </c>
      <c r="D1253" s="115" t="s">
        <v>1783</v>
      </c>
      <c r="E1253" s="4" t="s">
        <v>1784</v>
      </c>
      <c r="F1253" s="7" t="s">
        <v>4308</v>
      </c>
      <c r="G1253" s="7" t="s">
        <v>90</v>
      </c>
      <c r="H1253" s="7" t="s">
        <v>87</v>
      </c>
      <c r="I1253" s="6" t="s">
        <v>593</v>
      </c>
      <c r="J1253" s="7" t="s">
        <v>1102</v>
      </c>
      <c r="K1253" s="4" t="s">
        <v>594</v>
      </c>
      <c r="L1253" s="4" t="s">
        <v>21</v>
      </c>
      <c r="M1253" s="4" t="s">
        <v>600</v>
      </c>
      <c r="N1253" s="4"/>
      <c r="O1253" s="89"/>
      <c r="P1253" s="25">
        <v>45607</v>
      </c>
      <c r="Q1253" s="7" t="s">
        <v>1223</v>
      </c>
      <c r="R1253" s="90" t="s">
        <v>2586</v>
      </c>
      <c r="S1253" s="6" t="s">
        <v>1795</v>
      </c>
      <c r="T1253" s="4" t="s">
        <v>81</v>
      </c>
      <c r="U1253" s="4" t="s">
        <v>112</v>
      </c>
      <c r="V1253" s="4">
        <v>3</v>
      </c>
      <c r="W1253" s="85"/>
      <c r="X1253" s="4" t="s">
        <v>1212</v>
      </c>
      <c r="Y1253" s="4"/>
      <c r="Z1253" s="4" t="s">
        <v>1785</v>
      </c>
      <c r="AA1253" s="4" t="s">
        <v>1194</v>
      </c>
      <c r="AB1253" s="4" t="s">
        <v>4289</v>
      </c>
    </row>
    <row r="1254" spans="1:28">
      <c r="A1254" s="4">
        <v>1253</v>
      </c>
      <c r="B1254" s="106">
        <v>15035730</v>
      </c>
      <c r="C1254" s="5">
        <v>203052485</v>
      </c>
      <c r="D1254" s="115" t="s">
        <v>598</v>
      </c>
      <c r="E1254" s="4" t="s">
        <v>599</v>
      </c>
      <c r="F1254" s="7" t="s">
        <v>82</v>
      </c>
      <c r="G1254" s="7" t="s">
        <v>88</v>
      </c>
      <c r="H1254" s="7" t="s">
        <v>94</v>
      </c>
      <c r="I1254" s="6" t="s">
        <v>593</v>
      </c>
      <c r="J1254" s="7" t="s">
        <v>1102</v>
      </c>
      <c r="K1254" s="4" t="s">
        <v>594</v>
      </c>
      <c r="L1254" s="4" t="s">
        <v>21</v>
      </c>
      <c r="M1254" s="4" t="s">
        <v>600</v>
      </c>
      <c r="N1254" s="4"/>
      <c r="O1254" s="89"/>
      <c r="P1254" s="25">
        <v>45397</v>
      </c>
      <c r="Q1254" s="7" t="s">
        <v>1223</v>
      </c>
      <c r="R1254" s="90" t="s">
        <v>3258</v>
      </c>
      <c r="S1254" s="6" t="s">
        <v>1795</v>
      </c>
      <c r="T1254" s="4" t="s">
        <v>92</v>
      </c>
      <c r="U1254" s="4" t="s">
        <v>349</v>
      </c>
      <c r="V1254" s="4">
        <v>3</v>
      </c>
      <c r="W1254" s="85"/>
      <c r="X1254" s="4" t="s">
        <v>1212</v>
      </c>
      <c r="Y1254" s="4">
        <v>0</v>
      </c>
      <c r="Z1254" s="4" t="e">
        <v>#N/A</v>
      </c>
      <c r="AA1254" s="4" t="s">
        <v>2269</v>
      </c>
      <c r="AB1254" s="4" t="s">
        <v>4289</v>
      </c>
    </row>
    <row r="1255" spans="1:28">
      <c r="A1255" s="4">
        <v>1254</v>
      </c>
      <c r="B1255" s="106">
        <v>15011848</v>
      </c>
      <c r="C1255" s="5">
        <v>207574273</v>
      </c>
      <c r="D1255" s="115" t="s">
        <v>4377</v>
      </c>
      <c r="E1255" s="4" t="s">
        <v>4378</v>
      </c>
      <c r="F1255" s="7" t="s">
        <v>82</v>
      </c>
      <c r="G1255" s="7" t="s">
        <v>94</v>
      </c>
      <c r="H1255" s="7" t="s">
        <v>89</v>
      </c>
      <c r="I1255" s="6" t="s">
        <v>593</v>
      </c>
      <c r="J1255" s="7" t="s">
        <v>1102</v>
      </c>
      <c r="K1255" s="4" t="s">
        <v>594</v>
      </c>
      <c r="L1255" s="4" t="s">
        <v>21</v>
      </c>
      <c r="M1255" s="4" t="s">
        <v>600</v>
      </c>
      <c r="N1255" s="4"/>
      <c r="O1255" s="89"/>
      <c r="P1255" s="25">
        <v>46230</v>
      </c>
      <c r="Q1255" s="7" t="s">
        <v>1223</v>
      </c>
      <c r="R1255" s="90"/>
      <c r="S1255" s="6" t="s">
        <v>1795</v>
      </c>
      <c r="T1255" s="4" t="s">
        <v>81</v>
      </c>
      <c r="U1255" s="4"/>
      <c r="V1255" s="4">
        <v>3</v>
      </c>
      <c r="W1255" s="85"/>
      <c r="X1255" s="4"/>
      <c r="Y1255" s="4"/>
      <c r="Z1255" s="4"/>
      <c r="AA1255" s="4"/>
      <c r="AB1255" s="4" t="s">
        <v>4290</v>
      </c>
    </row>
    <row r="1256" spans="1:28">
      <c r="A1256" s="4">
        <v>1255</v>
      </c>
      <c r="B1256" s="106">
        <v>13021509</v>
      </c>
      <c r="C1256" s="5">
        <v>203160007</v>
      </c>
      <c r="D1256" s="115" t="s">
        <v>613</v>
      </c>
      <c r="E1256" s="4" t="s">
        <v>614</v>
      </c>
      <c r="F1256" s="7" t="s">
        <v>4308</v>
      </c>
      <c r="G1256" s="7" t="s">
        <v>75</v>
      </c>
      <c r="H1256" s="7" t="s">
        <v>76</v>
      </c>
      <c r="I1256" s="6" t="s">
        <v>593</v>
      </c>
      <c r="J1256" s="7" t="s">
        <v>1102</v>
      </c>
      <c r="K1256" s="4" t="s">
        <v>594</v>
      </c>
      <c r="L1256" s="4" t="s">
        <v>21</v>
      </c>
      <c r="M1256" s="4" t="s">
        <v>600</v>
      </c>
      <c r="N1256" s="4"/>
      <c r="O1256" s="89"/>
      <c r="P1256" s="25">
        <v>45453</v>
      </c>
      <c r="Q1256" s="7" t="s">
        <v>1223</v>
      </c>
      <c r="R1256" s="90" t="s">
        <v>3261</v>
      </c>
      <c r="S1256" s="6" t="s">
        <v>1795</v>
      </c>
      <c r="T1256" s="4" t="s">
        <v>81</v>
      </c>
      <c r="U1256" s="4" t="s">
        <v>112</v>
      </c>
      <c r="V1256" s="4">
        <v>3</v>
      </c>
      <c r="W1256" s="85"/>
      <c r="X1256" s="4" t="s">
        <v>1212</v>
      </c>
      <c r="Y1256" s="4">
        <v>0</v>
      </c>
      <c r="Z1256" s="4" t="e">
        <v>#N/A</v>
      </c>
      <c r="AA1256" s="4" t="s">
        <v>1194</v>
      </c>
      <c r="AB1256" s="4" t="s">
        <v>4290</v>
      </c>
    </row>
    <row r="1257" spans="1:28">
      <c r="A1257" s="4">
        <v>1256</v>
      </c>
      <c r="B1257" s="106">
        <v>12717</v>
      </c>
      <c r="C1257" s="5">
        <v>113015344</v>
      </c>
      <c r="D1257" s="115" t="s">
        <v>1114</v>
      </c>
      <c r="E1257" s="4" t="s">
        <v>1105</v>
      </c>
      <c r="F1257" s="7" t="s">
        <v>4308</v>
      </c>
      <c r="G1257" s="7" t="s">
        <v>88</v>
      </c>
      <c r="H1257" s="7" t="s">
        <v>94</v>
      </c>
      <c r="I1257" s="6" t="s">
        <v>593</v>
      </c>
      <c r="J1257" s="7" t="s">
        <v>1102</v>
      </c>
      <c r="K1257" s="4" t="s">
        <v>594</v>
      </c>
      <c r="L1257" s="4" t="s">
        <v>21</v>
      </c>
      <c r="M1257" s="4" t="s">
        <v>600</v>
      </c>
      <c r="N1257" s="4"/>
      <c r="O1257" s="89"/>
      <c r="P1257" s="25">
        <v>44823</v>
      </c>
      <c r="Q1257" s="7" t="s">
        <v>1223</v>
      </c>
      <c r="R1257" s="90" t="s">
        <v>3262</v>
      </c>
      <c r="S1257" s="6" t="s">
        <v>1795</v>
      </c>
      <c r="T1257" s="4" t="s">
        <v>81</v>
      </c>
      <c r="U1257" s="4" t="s">
        <v>112</v>
      </c>
      <c r="V1257" s="4">
        <v>3</v>
      </c>
      <c r="W1257" s="85"/>
      <c r="X1257" s="4" t="s">
        <v>1212</v>
      </c>
      <c r="Y1257" s="4" t="e">
        <v>#N/A</v>
      </c>
      <c r="Z1257" s="4" t="e">
        <v>#N/A</v>
      </c>
      <c r="AA1257" s="4" t="s">
        <v>1194</v>
      </c>
      <c r="AB1257" s="4" t="s">
        <v>4290</v>
      </c>
    </row>
    <row r="1258" spans="1:28">
      <c r="A1258" s="4">
        <v>1257</v>
      </c>
      <c r="B1258" s="106">
        <v>12088510</v>
      </c>
      <c r="C1258" s="5">
        <v>203160009</v>
      </c>
      <c r="D1258" s="115" t="s">
        <v>617</v>
      </c>
      <c r="E1258" s="4" t="s">
        <v>618</v>
      </c>
      <c r="F1258" s="7" t="s">
        <v>74</v>
      </c>
      <c r="G1258" s="7" t="s">
        <v>94</v>
      </c>
      <c r="H1258" s="7" t="s">
        <v>89</v>
      </c>
      <c r="I1258" s="6" t="s">
        <v>593</v>
      </c>
      <c r="J1258" s="7" t="s">
        <v>1102</v>
      </c>
      <c r="K1258" s="4" t="s">
        <v>594</v>
      </c>
      <c r="L1258" s="4" t="s">
        <v>21</v>
      </c>
      <c r="M1258" s="4" t="s">
        <v>600</v>
      </c>
      <c r="N1258" s="4"/>
      <c r="O1258" s="89"/>
      <c r="P1258" s="25">
        <v>45446</v>
      </c>
      <c r="Q1258" s="7" t="s">
        <v>1223</v>
      </c>
      <c r="R1258" s="90" t="s">
        <v>3258</v>
      </c>
      <c r="S1258" s="6" t="s">
        <v>1795</v>
      </c>
      <c r="T1258" s="4" t="s">
        <v>81</v>
      </c>
      <c r="U1258" s="4" t="s">
        <v>107</v>
      </c>
      <c r="V1258" s="4">
        <v>3</v>
      </c>
      <c r="W1258" s="85"/>
      <c r="X1258" s="4" t="s">
        <v>1212</v>
      </c>
      <c r="Y1258" s="4">
        <v>0</v>
      </c>
      <c r="Z1258" s="4" t="e">
        <v>#N/A</v>
      </c>
      <c r="AA1258" s="4" t="s">
        <v>1194</v>
      </c>
      <c r="AB1258" s="4" t="s">
        <v>4289</v>
      </c>
    </row>
    <row r="1259" spans="1:28">
      <c r="A1259" s="4">
        <v>1258</v>
      </c>
      <c r="B1259" s="106">
        <v>12808243</v>
      </c>
      <c r="C1259" s="5">
        <v>203118579</v>
      </c>
      <c r="D1259" s="115" t="s">
        <v>611</v>
      </c>
      <c r="E1259" s="4" t="s">
        <v>612</v>
      </c>
      <c r="F1259" s="7" t="s">
        <v>82</v>
      </c>
      <c r="G1259" s="7" t="s">
        <v>75</v>
      </c>
      <c r="H1259" s="7" t="s">
        <v>76</v>
      </c>
      <c r="I1259" s="6" t="s">
        <v>593</v>
      </c>
      <c r="J1259" s="7" t="s">
        <v>1102</v>
      </c>
      <c r="K1259" s="4" t="s">
        <v>594</v>
      </c>
      <c r="L1259" s="4" t="s">
        <v>21</v>
      </c>
      <c r="M1259" s="4" t="s">
        <v>600</v>
      </c>
      <c r="N1259" s="4"/>
      <c r="O1259" s="89"/>
      <c r="P1259" s="25">
        <v>45378</v>
      </c>
      <c r="Q1259" s="7" t="s">
        <v>1223</v>
      </c>
      <c r="R1259" s="90" t="s">
        <v>3264</v>
      </c>
      <c r="S1259" s="6" t="s">
        <v>1795</v>
      </c>
      <c r="T1259" s="4" t="s">
        <v>81</v>
      </c>
      <c r="U1259" s="4" t="s">
        <v>107</v>
      </c>
      <c r="V1259" s="4">
        <v>3</v>
      </c>
      <c r="W1259" s="85"/>
      <c r="X1259" s="4" t="s">
        <v>1212</v>
      </c>
      <c r="Y1259" s="4">
        <v>0</v>
      </c>
      <c r="Z1259" s="4" t="e">
        <v>#N/A</v>
      </c>
      <c r="AA1259" s="4" t="s">
        <v>1194</v>
      </c>
      <c r="AB1259" s="4" t="s">
        <v>4289</v>
      </c>
    </row>
    <row r="1260" spans="1:28">
      <c r="A1260" s="4">
        <v>1259</v>
      </c>
      <c r="B1260" s="106">
        <v>15111748</v>
      </c>
      <c r="C1260" s="5">
        <v>203073561</v>
      </c>
      <c r="D1260" s="115" t="s">
        <v>605</v>
      </c>
      <c r="E1260" s="4" t="s">
        <v>606</v>
      </c>
      <c r="F1260" s="7" t="s">
        <v>74</v>
      </c>
      <c r="G1260" s="7" t="s">
        <v>87</v>
      </c>
      <c r="H1260" s="7" t="s">
        <v>75</v>
      </c>
      <c r="I1260" s="6" t="s">
        <v>593</v>
      </c>
      <c r="J1260" s="7" t="s">
        <v>1102</v>
      </c>
      <c r="K1260" s="4" t="s">
        <v>594</v>
      </c>
      <c r="L1260" s="4" t="s">
        <v>21</v>
      </c>
      <c r="M1260" s="4" t="s">
        <v>600</v>
      </c>
      <c r="N1260" s="4"/>
      <c r="O1260" s="89"/>
      <c r="P1260" s="25">
        <v>45397</v>
      </c>
      <c r="Q1260" s="7" t="s">
        <v>1223</v>
      </c>
      <c r="R1260" s="90" t="s">
        <v>3254</v>
      </c>
      <c r="S1260" s="6" t="s">
        <v>1795</v>
      </c>
      <c r="T1260" s="4" t="s">
        <v>81</v>
      </c>
      <c r="U1260" s="4" t="s">
        <v>112</v>
      </c>
      <c r="V1260" s="4">
        <v>3</v>
      </c>
      <c r="W1260" s="85"/>
      <c r="X1260" s="4" t="s">
        <v>1212</v>
      </c>
      <c r="Y1260" s="4">
        <v>0</v>
      </c>
      <c r="Z1260" s="4" t="e">
        <v>#N/A</v>
      </c>
      <c r="AA1260" s="4" t="s">
        <v>1194</v>
      </c>
      <c r="AB1260" s="4" t="s">
        <v>4289</v>
      </c>
    </row>
    <row r="1261" spans="1:28">
      <c r="A1261" s="4">
        <v>1260</v>
      </c>
      <c r="B1261" s="106">
        <v>15037335</v>
      </c>
      <c r="C1261" s="5">
        <v>203052856</v>
      </c>
      <c r="D1261" s="115" t="s">
        <v>601</v>
      </c>
      <c r="E1261" s="4" t="s">
        <v>602</v>
      </c>
      <c r="F1261" s="7" t="s">
        <v>82</v>
      </c>
      <c r="G1261" s="7" t="s">
        <v>76</v>
      </c>
      <c r="H1261" s="7" t="s">
        <v>88</v>
      </c>
      <c r="I1261" s="6" t="s">
        <v>593</v>
      </c>
      <c r="J1261" s="7" t="s">
        <v>1102</v>
      </c>
      <c r="K1261" s="4" t="s">
        <v>594</v>
      </c>
      <c r="L1261" s="4" t="s">
        <v>21</v>
      </c>
      <c r="M1261" s="4" t="s">
        <v>600</v>
      </c>
      <c r="N1261" s="4"/>
      <c r="O1261" s="89"/>
      <c r="P1261" s="25">
        <v>45411</v>
      </c>
      <c r="Q1261" s="7" t="s">
        <v>1223</v>
      </c>
      <c r="R1261" s="90" t="s">
        <v>3254</v>
      </c>
      <c r="S1261" s="6" t="s">
        <v>1795</v>
      </c>
      <c r="T1261" s="4" t="s">
        <v>81</v>
      </c>
      <c r="U1261" s="4" t="s">
        <v>107</v>
      </c>
      <c r="V1261" s="4">
        <v>3</v>
      </c>
      <c r="W1261" s="85"/>
      <c r="X1261" s="4" t="s">
        <v>1212</v>
      </c>
      <c r="Y1261" s="4">
        <v>0</v>
      </c>
      <c r="Z1261" s="4" t="e">
        <v>#N/A</v>
      </c>
      <c r="AA1261" s="4" t="s">
        <v>1194</v>
      </c>
      <c r="AB1261" s="4" t="s">
        <v>4289</v>
      </c>
    </row>
    <row r="1262" spans="1:28">
      <c r="A1262" s="4">
        <v>1261</v>
      </c>
      <c r="B1262" s="106">
        <v>13972116</v>
      </c>
      <c r="C1262" s="5">
        <v>203073425</v>
      </c>
      <c r="D1262" s="115" t="s">
        <v>603</v>
      </c>
      <c r="E1262" s="4" t="s">
        <v>604</v>
      </c>
      <c r="F1262" s="7" t="s">
        <v>74</v>
      </c>
      <c r="G1262" s="7" t="s">
        <v>88</v>
      </c>
      <c r="H1262" s="7" t="s">
        <v>94</v>
      </c>
      <c r="I1262" s="6" t="s">
        <v>593</v>
      </c>
      <c r="J1262" s="7" t="s">
        <v>1102</v>
      </c>
      <c r="K1262" s="4" t="s">
        <v>594</v>
      </c>
      <c r="L1262" s="4" t="s">
        <v>21</v>
      </c>
      <c r="M1262" s="4" t="s">
        <v>600</v>
      </c>
      <c r="N1262" s="4"/>
      <c r="O1262" s="89"/>
      <c r="P1262" s="25">
        <v>45411</v>
      </c>
      <c r="Q1262" s="7" t="s">
        <v>1223</v>
      </c>
      <c r="R1262" s="90" t="s">
        <v>3262</v>
      </c>
      <c r="S1262" s="6" t="s">
        <v>1795</v>
      </c>
      <c r="T1262" s="4" t="s">
        <v>81</v>
      </c>
      <c r="U1262" s="4" t="s">
        <v>103</v>
      </c>
      <c r="V1262" s="4">
        <v>3</v>
      </c>
      <c r="W1262" s="85"/>
      <c r="X1262" s="4" t="s">
        <v>1212</v>
      </c>
      <c r="Y1262" s="4">
        <v>0</v>
      </c>
      <c r="Z1262" s="4" t="e">
        <v>#N/A</v>
      </c>
      <c r="AA1262" s="4" t="s">
        <v>1194</v>
      </c>
      <c r="AB1262" s="4" t="s">
        <v>4289</v>
      </c>
    </row>
    <row r="1263" spans="1:28" ht="14.5" customHeight="1">
      <c r="A1263" s="4">
        <v>1262</v>
      </c>
      <c r="B1263" s="106">
        <v>15335526</v>
      </c>
      <c r="C1263" s="5">
        <v>203940975</v>
      </c>
      <c r="D1263" s="115" t="s">
        <v>1220</v>
      </c>
      <c r="E1263" s="4" t="s">
        <v>1221</v>
      </c>
      <c r="F1263" s="7" t="s">
        <v>74</v>
      </c>
      <c r="G1263" s="7" t="s">
        <v>88</v>
      </c>
      <c r="H1263" s="7" t="s">
        <v>94</v>
      </c>
      <c r="I1263" s="6" t="s">
        <v>4322</v>
      </c>
      <c r="J1263" s="7" t="s">
        <v>633</v>
      </c>
      <c r="K1263" s="4" t="s">
        <v>594</v>
      </c>
      <c r="L1263" s="4" t="s">
        <v>20</v>
      </c>
      <c r="M1263" s="4" t="s">
        <v>4319</v>
      </c>
      <c r="N1263" s="4"/>
      <c r="O1263" s="89"/>
      <c r="P1263" s="25">
        <v>45540</v>
      </c>
      <c r="Q1263" s="7" t="s">
        <v>1104</v>
      </c>
      <c r="R1263" s="90" t="s">
        <v>3252</v>
      </c>
      <c r="S1263" s="6" t="s">
        <v>1795</v>
      </c>
      <c r="T1263" s="4" t="s">
        <v>81</v>
      </c>
      <c r="U1263" s="4" t="s">
        <v>1193</v>
      </c>
      <c r="V1263" s="4">
        <v>99</v>
      </c>
      <c r="W1263" s="85"/>
      <c r="X1263" s="4" t="s">
        <v>1215</v>
      </c>
      <c r="Y1263" s="4">
        <v>543902166</v>
      </c>
      <c r="Z1263" s="4" t="s">
        <v>1222</v>
      </c>
      <c r="AA1263" s="4" t="s">
        <v>127</v>
      </c>
      <c r="AB1263" s="4" t="s">
        <v>4290</v>
      </c>
    </row>
    <row r="1264" spans="1:28">
      <c r="A1264" s="4">
        <v>1263</v>
      </c>
      <c r="B1264" s="106">
        <v>12682765</v>
      </c>
      <c r="C1264" s="5">
        <v>207383780</v>
      </c>
      <c r="D1264" s="115" t="s">
        <v>4298</v>
      </c>
      <c r="E1264" s="4" t="s">
        <v>4299</v>
      </c>
      <c r="F1264" s="7" t="s">
        <v>82</v>
      </c>
      <c r="G1264" s="7" t="s">
        <v>75</v>
      </c>
      <c r="H1264" s="7" t="s">
        <v>76</v>
      </c>
      <c r="I1264" s="6" t="s">
        <v>2646</v>
      </c>
      <c r="J1264" s="7" t="s">
        <v>633</v>
      </c>
      <c r="K1264" s="4" t="s">
        <v>594</v>
      </c>
      <c r="L1264" s="4" t="s">
        <v>23</v>
      </c>
      <c r="M1264" s="4" t="s">
        <v>4317</v>
      </c>
      <c r="N1264" s="4"/>
      <c r="O1264" s="89"/>
      <c r="P1264" s="25">
        <v>46141</v>
      </c>
      <c r="Q1264" s="7" t="s">
        <v>1104</v>
      </c>
      <c r="R1264" s="90" t="s">
        <v>2586</v>
      </c>
      <c r="S1264" s="6" t="s">
        <v>1795</v>
      </c>
      <c r="T1264" s="4" t="s">
        <v>81</v>
      </c>
      <c r="U1264" s="4" t="s">
        <v>103</v>
      </c>
      <c r="V1264" s="4">
        <v>99</v>
      </c>
      <c r="W1264" s="85"/>
      <c r="X1264" s="4"/>
      <c r="Y1264" s="4"/>
      <c r="Z1264" s="4"/>
      <c r="AA1264" s="4" t="s">
        <v>1194</v>
      </c>
      <c r="AB1264" s="4" t="s">
        <v>4290</v>
      </c>
    </row>
    <row r="1265" spans="1:28">
      <c r="A1265" s="4">
        <v>1264</v>
      </c>
      <c r="B1265" s="106">
        <v>13700108</v>
      </c>
      <c r="C1265" s="5">
        <v>112875012</v>
      </c>
      <c r="D1265" s="115" t="s">
        <v>628</v>
      </c>
      <c r="E1265" s="4" t="s">
        <v>629</v>
      </c>
      <c r="F1265" s="7" t="s">
        <v>74</v>
      </c>
      <c r="G1265" s="7" t="s">
        <v>94</v>
      </c>
      <c r="H1265" s="7" t="s">
        <v>89</v>
      </c>
      <c r="I1265" s="6" t="s">
        <v>632</v>
      </c>
      <c r="J1265" s="7" t="s">
        <v>633</v>
      </c>
      <c r="K1265" s="4" t="s">
        <v>594</v>
      </c>
      <c r="L1265" s="4" t="s">
        <v>21</v>
      </c>
      <c r="M1265" s="4" t="s">
        <v>4317</v>
      </c>
      <c r="N1265" s="4"/>
      <c r="O1265" s="89"/>
      <c r="P1265" s="25">
        <v>45250</v>
      </c>
      <c r="Q1265" s="7" t="s">
        <v>1104</v>
      </c>
      <c r="R1265" s="90" t="s">
        <v>3262</v>
      </c>
      <c r="S1265" s="6" t="s">
        <v>1795</v>
      </c>
      <c r="T1265" s="4" t="s">
        <v>81</v>
      </c>
      <c r="U1265" s="4" t="s">
        <v>107</v>
      </c>
      <c r="V1265" s="4">
        <v>3</v>
      </c>
      <c r="W1265" s="85"/>
      <c r="X1265" s="4" t="s">
        <v>3473</v>
      </c>
      <c r="Y1265" s="4">
        <v>0</v>
      </c>
      <c r="Z1265" s="4" t="e">
        <v>#N/A</v>
      </c>
      <c r="AA1265" s="4" t="s">
        <v>85</v>
      </c>
      <c r="AB1265" s="4" t="s">
        <v>4289</v>
      </c>
    </row>
    <row r="1266" spans="1:28">
      <c r="A1266" s="4">
        <v>1265</v>
      </c>
      <c r="B1266" s="106">
        <v>14883210</v>
      </c>
      <c r="C1266" s="5">
        <v>204341339</v>
      </c>
      <c r="D1266" s="115" t="s">
        <v>1777</v>
      </c>
      <c r="E1266" s="4" t="s">
        <v>1755</v>
      </c>
      <c r="F1266" s="7" t="s">
        <v>82</v>
      </c>
      <c r="G1266" s="7" t="s">
        <v>87</v>
      </c>
      <c r="H1266" s="7" t="s">
        <v>75</v>
      </c>
      <c r="I1266" s="6" t="s">
        <v>1792</v>
      </c>
      <c r="J1266" s="7" t="s">
        <v>633</v>
      </c>
      <c r="K1266" s="4" t="s">
        <v>594</v>
      </c>
      <c r="L1266" s="4" t="s">
        <v>22</v>
      </c>
      <c r="M1266" s="4" t="s">
        <v>4317</v>
      </c>
      <c r="N1266" s="4"/>
      <c r="O1266" s="89"/>
      <c r="P1266" s="25">
        <v>45589</v>
      </c>
      <c r="Q1266" s="7" t="s">
        <v>1104</v>
      </c>
      <c r="R1266" s="90" t="s">
        <v>3264</v>
      </c>
      <c r="S1266" s="6" t="s">
        <v>1795</v>
      </c>
      <c r="T1266" s="4" t="s">
        <v>92</v>
      </c>
      <c r="U1266" s="4" t="s">
        <v>103</v>
      </c>
      <c r="V1266" s="4">
        <v>99</v>
      </c>
      <c r="W1266" s="85"/>
      <c r="X1266" s="4" t="s">
        <v>3703</v>
      </c>
      <c r="Y1266" s="4"/>
      <c r="Z1266" s="4"/>
      <c r="AA1266" s="4" t="s">
        <v>95</v>
      </c>
      <c r="AB1266" s="4" t="s">
        <v>4289</v>
      </c>
    </row>
    <row r="1267" spans="1:28">
      <c r="A1267" s="4">
        <v>1266</v>
      </c>
      <c r="B1267" s="106">
        <v>12020550</v>
      </c>
      <c r="C1267" s="5">
        <v>203090005</v>
      </c>
      <c r="D1267" s="115" t="s">
        <v>1478</v>
      </c>
      <c r="E1267" s="4" t="s">
        <v>1479</v>
      </c>
      <c r="F1267" s="7" t="s">
        <v>74</v>
      </c>
      <c r="G1267" s="7" t="s">
        <v>88</v>
      </c>
      <c r="H1267" s="7" t="s">
        <v>94</v>
      </c>
      <c r="I1267" s="6" t="s">
        <v>4323</v>
      </c>
      <c r="J1267" s="7" t="s">
        <v>633</v>
      </c>
      <c r="K1267" s="4" t="s">
        <v>594</v>
      </c>
      <c r="L1267" s="4" t="s">
        <v>21</v>
      </c>
      <c r="M1267" s="4" t="s">
        <v>4318</v>
      </c>
      <c r="N1267" s="4"/>
      <c r="O1267" s="89"/>
      <c r="P1267" s="25">
        <v>45377</v>
      </c>
      <c r="Q1267" s="7" t="s">
        <v>1104</v>
      </c>
      <c r="R1267" s="90" t="s">
        <v>3262</v>
      </c>
      <c r="S1267" s="6" t="s">
        <v>1795</v>
      </c>
      <c r="T1267" s="4" t="s">
        <v>81</v>
      </c>
      <c r="U1267" s="4" t="s">
        <v>349</v>
      </c>
      <c r="V1267" s="4">
        <v>3</v>
      </c>
      <c r="W1267" s="85"/>
      <c r="X1267" s="4" t="s">
        <v>1212</v>
      </c>
      <c r="Y1267" s="4"/>
      <c r="Z1267" s="4"/>
      <c r="AA1267" s="4" t="s">
        <v>2276</v>
      </c>
      <c r="AB1267" s="4" t="s">
        <v>4290</v>
      </c>
    </row>
    <row r="1268" spans="1:28">
      <c r="A1268" s="4">
        <v>1267</v>
      </c>
      <c r="B1268" s="106">
        <v>11685023</v>
      </c>
      <c r="C1268" s="5">
        <v>204155451</v>
      </c>
      <c r="D1268" s="115" t="s">
        <v>1594</v>
      </c>
      <c r="E1268" s="4" t="s">
        <v>1595</v>
      </c>
      <c r="F1268" s="7" t="s">
        <v>74</v>
      </c>
      <c r="G1268" s="7" t="s">
        <v>89</v>
      </c>
      <c r="H1268" s="7" t="s">
        <v>90</v>
      </c>
      <c r="I1268" s="6" t="s">
        <v>1792</v>
      </c>
      <c r="J1268" s="7" t="s">
        <v>633</v>
      </c>
      <c r="K1268" s="4" t="s">
        <v>594</v>
      </c>
      <c r="L1268" s="4" t="s">
        <v>22</v>
      </c>
      <c r="M1268" s="4" t="s">
        <v>4317</v>
      </c>
      <c r="N1268" s="4"/>
      <c r="O1268" s="89"/>
      <c r="P1268" s="25">
        <v>45567</v>
      </c>
      <c r="Q1268" s="7" t="s">
        <v>1104</v>
      </c>
      <c r="R1268" s="90" t="s">
        <v>3256</v>
      </c>
      <c r="S1268" s="6" t="s">
        <v>1795</v>
      </c>
      <c r="T1268" s="4" t="s">
        <v>92</v>
      </c>
      <c r="U1268" s="4" t="s">
        <v>3263</v>
      </c>
      <c r="V1268" s="4">
        <v>99</v>
      </c>
      <c r="W1268" s="85"/>
      <c r="X1268" s="4" t="s">
        <v>3492</v>
      </c>
      <c r="Y1268" s="4"/>
      <c r="Z1268" s="4"/>
      <c r="AA1268" s="4" t="s">
        <v>127</v>
      </c>
      <c r="AB1268" s="4" t="s">
        <v>4290</v>
      </c>
    </row>
    <row r="1269" spans="1:28">
      <c r="A1269" s="4">
        <v>1268</v>
      </c>
      <c r="B1269" s="106">
        <v>271325</v>
      </c>
      <c r="C1269" s="5">
        <v>204469338</v>
      </c>
      <c r="D1269" s="115" t="s">
        <v>2914</v>
      </c>
      <c r="E1269" s="4" t="s">
        <v>2915</v>
      </c>
      <c r="F1269" s="7" t="s">
        <v>74</v>
      </c>
      <c r="G1269" s="7" t="s">
        <v>90</v>
      </c>
      <c r="H1269" s="7" t="s">
        <v>87</v>
      </c>
      <c r="I1269" s="6" t="s">
        <v>1793</v>
      </c>
      <c r="J1269" s="7" t="s">
        <v>633</v>
      </c>
      <c r="K1269" s="4" t="s">
        <v>594</v>
      </c>
      <c r="L1269" s="4" t="s">
        <v>24</v>
      </c>
      <c r="M1269" s="4" t="s">
        <v>4317</v>
      </c>
      <c r="N1269" s="4"/>
      <c r="O1269" s="89"/>
      <c r="P1269" s="25">
        <v>45603</v>
      </c>
      <c r="Q1269" s="7" t="s">
        <v>1104</v>
      </c>
      <c r="R1269" s="90" t="s">
        <v>3255</v>
      </c>
      <c r="S1269" s="6" t="s">
        <v>1795</v>
      </c>
      <c r="T1269" s="4" t="s">
        <v>81</v>
      </c>
      <c r="U1269" s="4" t="s">
        <v>103</v>
      </c>
      <c r="V1269" s="4">
        <v>99</v>
      </c>
      <c r="W1269" s="85"/>
      <c r="X1269" s="4" t="s">
        <v>3474</v>
      </c>
      <c r="Y1269" s="4">
        <v>564040357</v>
      </c>
      <c r="Z1269" s="4" t="s">
        <v>2916</v>
      </c>
      <c r="AA1269" s="4" t="s">
        <v>1194</v>
      </c>
      <c r="AB1269" s="4" t="s">
        <v>4290</v>
      </c>
    </row>
    <row r="1270" spans="1:28">
      <c r="A1270" s="4">
        <v>1269</v>
      </c>
      <c r="B1270" s="106">
        <v>15132872</v>
      </c>
      <c r="C1270" s="5">
        <v>205837449</v>
      </c>
      <c r="D1270" s="115" t="s">
        <v>2644</v>
      </c>
      <c r="E1270" s="4" t="s">
        <v>2645</v>
      </c>
      <c r="F1270" s="7" t="s">
        <v>74</v>
      </c>
      <c r="G1270" s="7" t="s">
        <v>76</v>
      </c>
      <c r="H1270" s="7" t="s">
        <v>88</v>
      </c>
      <c r="I1270" s="6" t="s">
        <v>2646</v>
      </c>
      <c r="J1270" s="7" t="s">
        <v>633</v>
      </c>
      <c r="K1270" s="4" t="s">
        <v>594</v>
      </c>
      <c r="L1270" s="4" t="s">
        <v>23</v>
      </c>
      <c r="M1270" s="4" t="s">
        <v>4317</v>
      </c>
      <c r="N1270" s="4"/>
      <c r="O1270" s="89"/>
      <c r="P1270" s="25">
        <v>45890</v>
      </c>
      <c r="Q1270" s="7" t="s">
        <v>1104</v>
      </c>
      <c r="R1270" s="4" t="s">
        <v>3264</v>
      </c>
      <c r="S1270" s="6" t="s">
        <v>1795</v>
      </c>
      <c r="T1270" s="4" t="s">
        <v>92</v>
      </c>
      <c r="U1270" s="4" t="s">
        <v>132</v>
      </c>
      <c r="V1270" s="4">
        <v>99</v>
      </c>
      <c r="W1270" s="85"/>
      <c r="X1270" s="4" t="s">
        <v>3657</v>
      </c>
      <c r="Y1270" s="4">
        <v>971506375195</v>
      </c>
      <c r="Z1270" s="4" t="s">
        <v>2647</v>
      </c>
      <c r="AA1270" s="4" t="s">
        <v>1194</v>
      </c>
      <c r="AB1270" s="4" t="s">
        <v>4289</v>
      </c>
    </row>
    <row r="1271" spans="1:28">
      <c r="A1271" s="4">
        <v>1270</v>
      </c>
      <c r="B1271" s="106">
        <v>14127963</v>
      </c>
      <c r="C1271" s="5">
        <v>203174504</v>
      </c>
      <c r="D1271" s="115" t="s">
        <v>4284</v>
      </c>
      <c r="E1271" s="4" t="s">
        <v>4285</v>
      </c>
      <c r="F1271" s="7" t="s">
        <v>74</v>
      </c>
      <c r="G1271" s="7" t="s">
        <v>76</v>
      </c>
      <c r="H1271" s="7" t="s">
        <v>88</v>
      </c>
      <c r="I1271" s="6" t="s">
        <v>632</v>
      </c>
      <c r="J1271" s="7" t="s">
        <v>633</v>
      </c>
      <c r="K1271" s="4" t="s">
        <v>594</v>
      </c>
      <c r="L1271" s="4" t="s">
        <v>21</v>
      </c>
      <c r="M1271" s="4" t="s">
        <v>4317</v>
      </c>
      <c r="N1271" s="4" t="s">
        <v>2584</v>
      </c>
      <c r="O1271" s="4"/>
      <c r="P1271" s="25">
        <v>46076</v>
      </c>
      <c r="Q1271" s="7" t="s">
        <v>1104</v>
      </c>
      <c r="R1271" s="90" t="s">
        <v>4286</v>
      </c>
      <c r="S1271" s="92" t="s">
        <v>1795</v>
      </c>
      <c r="T1271" s="4" t="s">
        <v>1199</v>
      </c>
      <c r="U1271" s="4" t="s">
        <v>3263</v>
      </c>
      <c r="V1271" s="4">
        <v>3</v>
      </c>
      <c r="W1271" s="4"/>
      <c r="X1271" s="4" t="s">
        <v>3474</v>
      </c>
      <c r="Y1271" s="4">
        <v>588947847</v>
      </c>
      <c r="Z1271" s="4" t="s">
        <v>4362</v>
      </c>
      <c r="AA1271" s="4" t="s">
        <v>1194</v>
      </c>
      <c r="AB1271" s="4" t="s">
        <v>4289</v>
      </c>
    </row>
    <row r="1272" spans="1:28">
      <c r="A1272" s="4">
        <v>1271</v>
      </c>
      <c r="B1272" s="106">
        <v>12357296</v>
      </c>
      <c r="C1272" s="5">
        <v>204033425</v>
      </c>
      <c r="D1272" s="115" t="s">
        <v>1438</v>
      </c>
      <c r="E1272" s="4" t="s">
        <v>1439</v>
      </c>
      <c r="F1272" s="7" t="s">
        <v>82</v>
      </c>
      <c r="G1272" s="7" t="s">
        <v>89</v>
      </c>
      <c r="H1272" s="7" t="s">
        <v>90</v>
      </c>
      <c r="I1272" s="6" t="s">
        <v>1793</v>
      </c>
      <c r="J1272" s="7" t="s">
        <v>633</v>
      </c>
      <c r="K1272" s="4" t="s">
        <v>594</v>
      </c>
      <c r="L1272" s="4" t="s">
        <v>24</v>
      </c>
      <c r="M1272" s="4" t="s">
        <v>4317</v>
      </c>
      <c r="N1272" s="4"/>
      <c r="O1272" s="89"/>
      <c r="P1272" s="25">
        <v>45553</v>
      </c>
      <c r="Q1272" s="7" t="s">
        <v>1104</v>
      </c>
      <c r="R1272" s="90" t="s">
        <v>3255</v>
      </c>
      <c r="S1272" s="94" t="s">
        <v>1795</v>
      </c>
      <c r="T1272" s="4" t="s">
        <v>92</v>
      </c>
      <c r="U1272" s="4" t="s">
        <v>103</v>
      </c>
      <c r="V1272" s="4">
        <v>99</v>
      </c>
      <c r="W1272" s="85"/>
      <c r="X1272" s="4" t="s">
        <v>3657</v>
      </c>
      <c r="Y1272" s="4">
        <v>504627323</v>
      </c>
      <c r="Z1272" s="4" t="e">
        <v>#N/A</v>
      </c>
      <c r="AA1272" s="4" t="s">
        <v>1194</v>
      </c>
      <c r="AB1272" s="4" t="s">
        <v>4289</v>
      </c>
    </row>
    <row r="1273" spans="1:28">
      <c r="A1273" s="4">
        <v>1272</v>
      </c>
      <c r="B1273" s="106">
        <v>12145248</v>
      </c>
      <c r="C1273" s="5">
        <v>207282341</v>
      </c>
      <c r="D1273" s="115" t="s">
        <v>4300</v>
      </c>
      <c r="E1273" s="4" t="s">
        <v>4301</v>
      </c>
      <c r="F1273" s="7" t="s">
        <v>82</v>
      </c>
      <c r="G1273" s="7" t="s">
        <v>90</v>
      </c>
      <c r="H1273" s="7" t="s">
        <v>87</v>
      </c>
      <c r="I1273" s="6" t="s">
        <v>2646</v>
      </c>
      <c r="J1273" s="7" t="s">
        <v>633</v>
      </c>
      <c r="K1273" s="4" t="s">
        <v>594</v>
      </c>
      <c r="L1273" s="4" t="s">
        <v>23</v>
      </c>
      <c r="M1273" s="4" t="s">
        <v>4317</v>
      </c>
      <c r="N1273" s="4"/>
      <c r="O1273" s="89"/>
      <c r="P1273" s="25">
        <v>46123</v>
      </c>
      <c r="Q1273" s="7" t="s">
        <v>1104</v>
      </c>
      <c r="R1273" s="90" t="s">
        <v>3255</v>
      </c>
      <c r="S1273" s="6" t="s">
        <v>1795</v>
      </c>
      <c r="T1273" s="4" t="s">
        <v>92</v>
      </c>
      <c r="U1273" s="4" t="s">
        <v>103</v>
      </c>
      <c r="V1273" s="4">
        <v>99</v>
      </c>
      <c r="W1273" s="85"/>
      <c r="X1273" s="4"/>
      <c r="Y1273" s="4">
        <v>507354916</v>
      </c>
      <c r="Z1273" s="4" t="s">
        <v>4302</v>
      </c>
      <c r="AA1273" s="4" t="s">
        <v>3015</v>
      </c>
      <c r="AB1273" s="4" t="s">
        <v>4289</v>
      </c>
    </row>
    <row r="1274" spans="1:28">
      <c r="A1274" s="4">
        <v>1273</v>
      </c>
      <c r="B1274" s="106">
        <v>13318862</v>
      </c>
      <c r="C1274" s="5">
        <v>203555938</v>
      </c>
      <c r="D1274" s="115" t="s">
        <v>635</v>
      </c>
      <c r="E1274" s="4" t="s">
        <v>636</v>
      </c>
      <c r="F1274" s="7" t="s">
        <v>74</v>
      </c>
      <c r="G1274" s="7" t="s">
        <v>90</v>
      </c>
      <c r="H1274" s="7" t="s">
        <v>87</v>
      </c>
      <c r="I1274" s="6" t="s">
        <v>1791</v>
      </c>
      <c r="J1274" s="7" t="s">
        <v>633</v>
      </c>
      <c r="K1274" s="4" t="s">
        <v>594</v>
      </c>
      <c r="L1274" s="4" t="s">
        <v>20</v>
      </c>
      <c r="M1274" s="4" t="s">
        <v>4317</v>
      </c>
      <c r="N1274" s="4"/>
      <c r="O1274" s="89"/>
      <c r="P1274" s="25">
        <v>45469</v>
      </c>
      <c r="Q1274" s="7" t="s">
        <v>1104</v>
      </c>
      <c r="R1274" s="90" t="s">
        <v>3264</v>
      </c>
      <c r="S1274" s="6" t="s">
        <v>1795</v>
      </c>
      <c r="T1274" s="4" t="s">
        <v>81</v>
      </c>
      <c r="U1274" s="4" t="s">
        <v>112</v>
      </c>
      <c r="V1274" s="4">
        <v>99</v>
      </c>
      <c r="W1274" s="85"/>
      <c r="X1274" s="4" t="s">
        <v>3473</v>
      </c>
      <c r="Y1274" s="4">
        <v>562627838</v>
      </c>
      <c r="Z1274" s="4" t="e">
        <v>#N/A</v>
      </c>
      <c r="AA1274" s="4" t="s">
        <v>1194</v>
      </c>
      <c r="AB1274" s="4" t="s">
        <v>4290</v>
      </c>
    </row>
    <row r="1275" spans="1:28" ht="14.5" customHeight="1">
      <c r="A1275" s="4">
        <v>1274</v>
      </c>
      <c r="B1275" s="106">
        <v>14309559</v>
      </c>
      <c r="C1275" s="5">
        <v>203815279</v>
      </c>
      <c r="D1275" s="115" t="s">
        <v>736</v>
      </c>
      <c r="E1275" s="4" t="s">
        <v>737</v>
      </c>
      <c r="F1275" s="7" t="s">
        <v>74</v>
      </c>
      <c r="G1275" s="7" t="s">
        <v>76</v>
      </c>
      <c r="H1275" s="7" t="s">
        <v>88</v>
      </c>
      <c r="I1275" s="6" t="s">
        <v>1793</v>
      </c>
      <c r="J1275" s="7" t="s">
        <v>633</v>
      </c>
      <c r="K1275" s="4" t="s">
        <v>594</v>
      </c>
      <c r="L1275" s="4" t="s">
        <v>24</v>
      </c>
      <c r="M1275" s="4" t="s">
        <v>4317</v>
      </c>
      <c r="N1275" s="4"/>
      <c r="O1275" s="89"/>
      <c r="P1275" s="25">
        <v>45516</v>
      </c>
      <c r="Q1275" s="7" t="s">
        <v>1104</v>
      </c>
      <c r="R1275" s="90" t="s">
        <v>3262</v>
      </c>
      <c r="S1275" s="6" t="s">
        <v>1795</v>
      </c>
      <c r="T1275" s="4" t="s">
        <v>81</v>
      </c>
      <c r="U1275" s="4" t="s">
        <v>103</v>
      </c>
      <c r="V1275" s="4">
        <v>99</v>
      </c>
      <c r="W1275" s="85"/>
      <c r="X1275" s="4" t="s">
        <v>3473</v>
      </c>
      <c r="Y1275" s="4">
        <v>0</v>
      </c>
      <c r="Z1275" s="4" t="e">
        <v>#N/A</v>
      </c>
      <c r="AA1275" s="4" t="s">
        <v>1194</v>
      </c>
      <c r="AB1275" s="4" t="s">
        <v>4290</v>
      </c>
    </row>
    <row r="1276" spans="1:28">
      <c r="A1276" s="4">
        <v>1275</v>
      </c>
      <c r="B1276" s="106">
        <v>11560011</v>
      </c>
      <c r="C1276" s="5">
        <v>203750137</v>
      </c>
      <c r="D1276" s="115" t="s">
        <v>637</v>
      </c>
      <c r="E1276" s="4" t="s">
        <v>638</v>
      </c>
      <c r="F1276" s="7" t="s">
        <v>82</v>
      </c>
      <c r="G1276" s="7" t="s">
        <v>87</v>
      </c>
      <c r="H1276" s="7" t="s">
        <v>75</v>
      </c>
      <c r="I1276" s="6" t="s">
        <v>1793</v>
      </c>
      <c r="J1276" s="7" t="s">
        <v>633</v>
      </c>
      <c r="K1276" s="4" t="s">
        <v>594</v>
      </c>
      <c r="L1276" s="4" t="s">
        <v>24</v>
      </c>
      <c r="M1276" s="4" t="s">
        <v>4317</v>
      </c>
      <c r="N1276" s="4"/>
      <c r="O1276" s="89"/>
      <c r="P1276" s="25">
        <v>45503</v>
      </c>
      <c r="Q1276" s="7" t="s">
        <v>1104</v>
      </c>
      <c r="R1276" s="90" t="s">
        <v>2586</v>
      </c>
      <c r="S1276" s="104" t="s">
        <v>1795</v>
      </c>
      <c r="T1276" s="4" t="s">
        <v>81</v>
      </c>
      <c r="U1276" s="4" t="s">
        <v>349</v>
      </c>
      <c r="V1276" s="4">
        <v>99</v>
      </c>
      <c r="W1276" s="85"/>
      <c r="X1276" s="4" t="s">
        <v>3474</v>
      </c>
      <c r="Y1276" s="4">
        <v>971554596146</v>
      </c>
      <c r="Z1276" s="4" t="e">
        <v>#N/A</v>
      </c>
      <c r="AA1276" s="4" t="s">
        <v>1194</v>
      </c>
      <c r="AB1276" s="4" t="s">
        <v>4290</v>
      </c>
    </row>
    <row r="1277" spans="1:28">
      <c r="A1277" s="4">
        <v>1276</v>
      </c>
      <c r="B1277" s="106">
        <v>15057554</v>
      </c>
      <c r="C1277" s="5">
        <v>203974084</v>
      </c>
      <c r="D1277" s="115" t="s">
        <v>1325</v>
      </c>
      <c r="E1277" s="4" t="s">
        <v>1326</v>
      </c>
      <c r="F1277" s="7" t="s">
        <v>82</v>
      </c>
      <c r="G1277" s="7" t="s">
        <v>90</v>
      </c>
      <c r="H1277" s="7" t="s">
        <v>87</v>
      </c>
      <c r="I1277" s="6" t="s">
        <v>1792</v>
      </c>
      <c r="J1277" s="7" t="s">
        <v>633</v>
      </c>
      <c r="K1277" s="4" t="s">
        <v>594</v>
      </c>
      <c r="L1277" s="4" t="s">
        <v>22</v>
      </c>
      <c r="M1277" s="4" t="s">
        <v>4317</v>
      </c>
      <c r="N1277" s="4"/>
      <c r="O1277" s="89"/>
      <c r="P1277" s="25">
        <v>45545</v>
      </c>
      <c r="Q1277" s="7" t="s">
        <v>1104</v>
      </c>
      <c r="R1277" s="90" t="s">
        <v>3257</v>
      </c>
      <c r="S1277" s="104" t="s">
        <v>1795</v>
      </c>
      <c r="T1277" s="4" t="s">
        <v>81</v>
      </c>
      <c r="U1277" s="4" t="s">
        <v>349</v>
      </c>
      <c r="V1277" s="4">
        <v>99</v>
      </c>
      <c r="W1277" s="85"/>
      <c r="X1277" s="4" t="s">
        <v>1216</v>
      </c>
      <c r="Y1277" s="4"/>
      <c r="Z1277" s="4"/>
      <c r="AA1277" s="4" t="s">
        <v>1194</v>
      </c>
      <c r="AB1277" s="4" t="s">
        <v>4290</v>
      </c>
    </row>
    <row r="1278" spans="1:28">
      <c r="A1278" s="4">
        <v>1277</v>
      </c>
      <c r="B1278" s="123">
        <v>15014127</v>
      </c>
      <c r="C1278" s="96">
        <v>206332542</v>
      </c>
      <c r="D1278" s="117" t="s">
        <v>3221</v>
      </c>
      <c r="E1278" s="97" t="s">
        <v>3222</v>
      </c>
      <c r="F1278" s="7" t="s">
        <v>74</v>
      </c>
      <c r="G1278" s="7" t="s">
        <v>90</v>
      </c>
      <c r="H1278" s="7" t="s">
        <v>87</v>
      </c>
      <c r="I1278" s="98" t="s">
        <v>1792</v>
      </c>
      <c r="J1278" s="99" t="s">
        <v>633</v>
      </c>
      <c r="K1278" s="97" t="s">
        <v>594</v>
      </c>
      <c r="L1278" s="97" t="s">
        <v>22</v>
      </c>
      <c r="M1278" s="97" t="s">
        <v>4317</v>
      </c>
      <c r="N1278" s="97"/>
      <c r="O1278" s="124"/>
      <c r="P1278" s="122">
        <v>45957</v>
      </c>
      <c r="Q1278" s="99" t="s">
        <v>1104</v>
      </c>
      <c r="R1278" s="105" t="s">
        <v>3255</v>
      </c>
      <c r="S1278" s="98" t="s">
        <v>1795</v>
      </c>
      <c r="T1278" s="97" t="s">
        <v>92</v>
      </c>
      <c r="U1278" s="97" t="s">
        <v>107</v>
      </c>
      <c r="V1278" s="97">
        <v>99</v>
      </c>
      <c r="W1278" s="107"/>
      <c r="X1278" s="97" t="s">
        <v>3739</v>
      </c>
      <c r="Y1278" s="97">
        <v>524645669</v>
      </c>
      <c r="Z1278" s="97" t="s">
        <v>3223</v>
      </c>
      <c r="AA1278" s="97" t="s">
        <v>2269</v>
      </c>
      <c r="AB1278" s="97" t="s">
        <v>4289</v>
      </c>
    </row>
    <row r="1279" spans="1:28">
      <c r="A1279" s="4">
        <v>1278</v>
      </c>
      <c r="B1279" s="106">
        <v>12757923</v>
      </c>
      <c r="C1279" s="5">
        <v>205247340</v>
      </c>
      <c r="D1279" s="115" t="s">
        <v>2487</v>
      </c>
      <c r="E1279" s="4" t="s">
        <v>2488</v>
      </c>
      <c r="F1279" s="7" t="s">
        <v>82</v>
      </c>
      <c r="G1279" s="7" t="s">
        <v>89</v>
      </c>
      <c r="H1279" s="7" t="s">
        <v>90</v>
      </c>
      <c r="I1279" s="6" t="s">
        <v>1794</v>
      </c>
      <c r="J1279" s="7" t="s">
        <v>633</v>
      </c>
      <c r="K1279" s="4" t="s">
        <v>594</v>
      </c>
      <c r="L1279" s="4" t="s">
        <v>27</v>
      </c>
      <c r="M1279" s="4" t="s">
        <v>4317</v>
      </c>
      <c r="N1279" s="4"/>
      <c r="O1279" s="89"/>
      <c r="P1279" s="25">
        <v>45784</v>
      </c>
      <c r="Q1279" s="7" t="s">
        <v>1104</v>
      </c>
      <c r="R1279" s="90" t="s">
        <v>3255</v>
      </c>
      <c r="S1279" s="6" t="s">
        <v>1795</v>
      </c>
      <c r="T1279" s="4" t="s">
        <v>81</v>
      </c>
      <c r="U1279" s="4" t="s">
        <v>103</v>
      </c>
      <c r="V1279" s="4">
        <v>99</v>
      </c>
      <c r="W1279" s="85"/>
      <c r="X1279" s="4"/>
      <c r="Y1279" s="4"/>
      <c r="Z1279" s="4"/>
      <c r="AA1279" s="4" t="s">
        <v>127</v>
      </c>
      <c r="AB1279" s="4" t="s">
        <v>4290</v>
      </c>
    </row>
    <row r="1280" spans="1:28">
      <c r="A1280" s="4">
        <v>1279</v>
      </c>
      <c r="B1280" s="106">
        <v>13016317</v>
      </c>
      <c r="C1280" s="5">
        <v>204886250</v>
      </c>
      <c r="D1280" s="115" t="s">
        <v>2353</v>
      </c>
      <c r="E1280" s="4" t="s">
        <v>2354</v>
      </c>
      <c r="F1280" s="7" t="s">
        <v>82</v>
      </c>
      <c r="G1280" s="7" t="s">
        <v>76</v>
      </c>
      <c r="H1280" s="7" t="s">
        <v>88</v>
      </c>
      <c r="I1280" s="6" t="s">
        <v>1794</v>
      </c>
      <c r="J1280" s="7" t="s">
        <v>633</v>
      </c>
      <c r="K1280" s="4" t="s">
        <v>594</v>
      </c>
      <c r="L1280" s="4" t="s">
        <v>27</v>
      </c>
      <c r="M1280" s="4" t="s">
        <v>4317</v>
      </c>
      <c r="N1280" s="4"/>
      <c r="O1280" s="89"/>
      <c r="P1280" s="25">
        <v>45691</v>
      </c>
      <c r="Q1280" s="7" t="s">
        <v>1104</v>
      </c>
      <c r="R1280" s="90" t="s">
        <v>3262</v>
      </c>
      <c r="S1280" s="6" t="s">
        <v>1795</v>
      </c>
      <c r="T1280" s="4" t="s">
        <v>92</v>
      </c>
      <c r="U1280" s="4" t="s">
        <v>132</v>
      </c>
      <c r="V1280" s="4">
        <v>99</v>
      </c>
      <c r="W1280" s="85"/>
      <c r="X1280" s="4" t="s">
        <v>3492</v>
      </c>
      <c r="Y1280" s="4">
        <v>0</v>
      </c>
      <c r="Z1280" s="4">
        <v>0</v>
      </c>
      <c r="AA1280" s="4" t="s">
        <v>1198</v>
      </c>
      <c r="AB1280" s="4" t="s">
        <v>4289</v>
      </c>
    </row>
    <row r="1281" spans="1:28">
      <c r="A1281" s="4">
        <v>1280</v>
      </c>
      <c r="B1281" s="106">
        <v>14092545</v>
      </c>
      <c r="C1281" s="5">
        <v>207283258</v>
      </c>
      <c r="D1281" s="115" t="s">
        <v>4303</v>
      </c>
      <c r="E1281" s="4" t="s">
        <v>4304</v>
      </c>
      <c r="F1281" s="7" t="s">
        <v>82</v>
      </c>
      <c r="G1281" s="7" t="s">
        <v>87</v>
      </c>
      <c r="H1281" s="7" t="s">
        <v>75</v>
      </c>
      <c r="I1281" s="6" t="s">
        <v>1792</v>
      </c>
      <c r="J1281" s="7" t="s">
        <v>633</v>
      </c>
      <c r="K1281" s="4" t="s">
        <v>594</v>
      </c>
      <c r="L1281" s="4" t="s">
        <v>22</v>
      </c>
      <c r="M1281" s="4" t="s">
        <v>4317</v>
      </c>
      <c r="N1281" s="4"/>
      <c r="O1281" s="89"/>
      <c r="P1281" s="25">
        <v>46123</v>
      </c>
      <c r="Q1281" s="7" t="s">
        <v>1104</v>
      </c>
      <c r="R1281" s="90" t="s">
        <v>3258</v>
      </c>
      <c r="S1281" s="6" t="s">
        <v>1795</v>
      </c>
      <c r="T1281" s="4" t="s">
        <v>81</v>
      </c>
      <c r="U1281" s="4" t="s">
        <v>103</v>
      </c>
      <c r="V1281" s="4">
        <v>99</v>
      </c>
      <c r="W1281" s="85"/>
      <c r="X1281" s="4" t="s">
        <v>3739</v>
      </c>
      <c r="Y1281" s="4">
        <v>502405766</v>
      </c>
      <c r="Z1281" s="4" t="s">
        <v>4305</v>
      </c>
      <c r="AA1281" s="4" t="s">
        <v>3015</v>
      </c>
      <c r="AB1281" s="4" t="s">
        <v>4289</v>
      </c>
    </row>
    <row r="1282" spans="1:28">
      <c r="A1282" s="4">
        <v>1281</v>
      </c>
      <c r="B1282" s="106">
        <v>111</v>
      </c>
      <c r="C1282" s="5">
        <v>202383469</v>
      </c>
      <c r="D1282" s="115" t="s">
        <v>1775</v>
      </c>
      <c r="E1282" s="4" t="s">
        <v>1776</v>
      </c>
      <c r="F1282" s="7" t="s">
        <v>74</v>
      </c>
      <c r="G1282" s="7" t="s">
        <v>90</v>
      </c>
      <c r="H1282" s="7" t="s">
        <v>87</v>
      </c>
      <c r="I1282" s="6" t="s">
        <v>1794</v>
      </c>
      <c r="J1282" s="7" t="s">
        <v>633</v>
      </c>
      <c r="K1282" s="4" t="s">
        <v>594</v>
      </c>
      <c r="L1282" s="4" t="s">
        <v>27</v>
      </c>
      <c r="M1282" s="4" t="s">
        <v>4317</v>
      </c>
      <c r="N1282" s="4"/>
      <c r="O1282" s="89"/>
      <c r="P1282" s="25">
        <v>45596</v>
      </c>
      <c r="Q1282" s="7" t="s">
        <v>1104</v>
      </c>
      <c r="R1282" s="90" t="s">
        <v>3257</v>
      </c>
      <c r="S1282" s="6" t="s">
        <v>1795</v>
      </c>
      <c r="T1282" s="4" t="s">
        <v>81</v>
      </c>
      <c r="U1282" s="4" t="s">
        <v>349</v>
      </c>
      <c r="V1282" s="4">
        <v>99</v>
      </c>
      <c r="W1282" s="85"/>
      <c r="X1282" s="4" t="s">
        <v>3473</v>
      </c>
      <c r="Y1282" s="4"/>
      <c r="Z1282" s="4"/>
      <c r="AA1282" s="4" t="s">
        <v>127</v>
      </c>
      <c r="AB1282" s="4" t="s">
        <v>4290</v>
      </c>
    </row>
    <row r="1283" spans="1:28">
      <c r="A1283" s="4">
        <v>1282</v>
      </c>
      <c r="B1283" s="106">
        <v>11413395</v>
      </c>
      <c r="C1283" s="5">
        <v>106495539</v>
      </c>
      <c r="D1283" s="115" t="s">
        <v>630</v>
      </c>
      <c r="E1283" s="4" t="s">
        <v>631</v>
      </c>
      <c r="F1283" s="7" t="s">
        <v>82</v>
      </c>
      <c r="G1283" s="7" t="s">
        <v>76</v>
      </c>
      <c r="H1283" s="7" t="s">
        <v>88</v>
      </c>
      <c r="I1283" s="6" t="s">
        <v>632</v>
      </c>
      <c r="J1283" s="7" t="s">
        <v>633</v>
      </c>
      <c r="K1283" s="4" t="s">
        <v>594</v>
      </c>
      <c r="L1283" s="4" t="s">
        <v>21</v>
      </c>
      <c r="M1283" s="4" t="s">
        <v>4317</v>
      </c>
      <c r="N1283" s="4"/>
      <c r="O1283" s="89"/>
      <c r="P1283" s="25">
        <v>45502</v>
      </c>
      <c r="Q1283" s="7" t="s">
        <v>1104</v>
      </c>
      <c r="R1283" s="90" t="s">
        <v>3255</v>
      </c>
      <c r="S1283" s="6" t="s">
        <v>1795</v>
      </c>
      <c r="T1283" s="4" t="s">
        <v>81</v>
      </c>
      <c r="U1283" s="4" t="s">
        <v>107</v>
      </c>
      <c r="V1283" s="4">
        <v>3</v>
      </c>
      <c r="W1283" s="85"/>
      <c r="X1283" s="4" t="s">
        <v>2355</v>
      </c>
      <c r="Y1283" s="4">
        <v>0</v>
      </c>
      <c r="Z1283" s="4" t="e">
        <v>#N/A</v>
      </c>
      <c r="AA1283" s="4" t="s">
        <v>1194</v>
      </c>
      <c r="AB1283" s="4" t="s">
        <v>4290</v>
      </c>
    </row>
    <row r="1284" spans="1:28">
      <c r="A1284" s="4">
        <v>1283</v>
      </c>
      <c r="B1284" s="106">
        <v>15363832</v>
      </c>
      <c r="C1284" s="5">
        <v>203737146</v>
      </c>
      <c r="D1284" s="115" t="s">
        <v>337</v>
      </c>
      <c r="E1284" s="4" t="s">
        <v>338</v>
      </c>
      <c r="F1284" s="7" t="s">
        <v>74</v>
      </c>
      <c r="G1284" s="7" t="s">
        <v>94</v>
      </c>
      <c r="H1284" s="7" t="s">
        <v>89</v>
      </c>
      <c r="I1284" s="6" t="s">
        <v>1788</v>
      </c>
      <c r="J1284" s="7" t="s">
        <v>5</v>
      </c>
      <c r="K1284" s="4" t="s">
        <v>594</v>
      </c>
      <c r="L1284" s="4" t="s">
        <v>24</v>
      </c>
      <c r="M1284" s="4" t="s">
        <v>4361</v>
      </c>
      <c r="N1284" s="4" t="s">
        <v>2584</v>
      </c>
      <c r="O1284" s="89"/>
      <c r="P1284" s="25">
        <v>45502</v>
      </c>
      <c r="Q1284" s="7" t="s">
        <v>1104</v>
      </c>
      <c r="R1284" s="90" t="s">
        <v>3264</v>
      </c>
      <c r="S1284" s="6" t="s">
        <v>1795</v>
      </c>
      <c r="T1284" s="4" t="s">
        <v>81</v>
      </c>
      <c r="U1284" s="4" t="s">
        <v>107</v>
      </c>
      <c r="V1284" s="4">
        <v>99</v>
      </c>
      <c r="W1284" s="85">
        <v>46232</v>
      </c>
      <c r="X1284" s="4" t="s">
        <v>3688</v>
      </c>
      <c r="Y1284" s="4" t="s">
        <v>2256</v>
      </c>
      <c r="Z1284" s="4">
        <v>0</v>
      </c>
      <c r="AA1284" s="4" t="s">
        <v>2269</v>
      </c>
      <c r="AB1284" s="4" t="s">
        <v>4289</v>
      </c>
    </row>
    <row r="1285" spans="1:28">
      <c r="A1285" s="4">
        <v>1284</v>
      </c>
      <c r="B1285" s="106">
        <v>11633381</v>
      </c>
      <c r="C1285" s="5">
        <v>102865829</v>
      </c>
      <c r="D1285" s="115" t="s">
        <v>644</v>
      </c>
      <c r="E1285" s="4" t="s">
        <v>645</v>
      </c>
      <c r="F1285" s="7" t="s">
        <v>74</v>
      </c>
      <c r="G1285" s="7" t="s">
        <v>90</v>
      </c>
      <c r="H1285" s="7" t="s">
        <v>87</v>
      </c>
      <c r="I1285" s="6" t="s">
        <v>119</v>
      </c>
      <c r="J1285" s="7" t="s">
        <v>5</v>
      </c>
      <c r="K1285" s="4" t="s">
        <v>594</v>
      </c>
      <c r="L1285" s="4" t="s">
        <v>21</v>
      </c>
      <c r="M1285" s="4" t="s">
        <v>4361</v>
      </c>
      <c r="N1285" s="4" t="s">
        <v>2584</v>
      </c>
      <c r="O1285" s="89"/>
      <c r="P1285" s="25">
        <v>43012</v>
      </c>
      <c r="Q1285" s="7" t="s">
        <v>1104</v>
      </c>
      <c r="R1285" s="90" t="s">
        <v>2586</v>
      </c>
      <c r="S1285" s="6" t="s">
        <v>1795</v>
      </c>
      <c r="T1285" s="4" t="s">
        <v>81</v>
      </c>
      <c r="U1285" s="4" t="s">
        <v>349</v>
      </c>
      <c r="V1285" s="4">
        <v>1</v>
      </c>
      <c r="W1285" s="85"/>
      <c r="X1285" s="4" t="s">
        <v>3688</v>
      </c>
      <c r="Y1285" s="4">
        <v>0</v>
      </c>
      <c r="Z1285" s="4" t="e">
        <v>#N/A</v>
      </c>
      <c r="AA1285" s="4" t="s">
        <v>2269</v>
      </c>
      <c r="AB1285" s="4" t="s">
        <v>4289</v>
      </c>
    </row>
    <row r="1286" spans="1:28">
      <c r="A1286" s="4">
        <v>1285</v>
      </c>
      <c r="B1286" s="106">
        <v>11037507</v>
      </c>
      <c r="C1286" s="5">
        <v>203183500</v>
      </c>
      <c r="D1286" s="115" t="s">
        <v>619</v>
      </c>
      <c r="E1286" s="4" t="s">
        <v>620</v>
      </c>
      <c r="F1286" s="7" t="s">
        <v>74</v>
      </c>
      <c r="G1286" s="7" t="s">
        <v>94</v>
      </c>
      <c r="H1286" s="7" t="s">
        <v>89</v>
      </c>
      <c r="I1286" s="6" t="s">
        <v>1109</v>
      </c>
      <c r="J1286" s="7" t="s">
        <v>621</v>
      </c>
      <c r="K1286" s="4" t="s">
        <v>594</v>
      </c>
      <c r="L1286" s="4" t="s">
        <v>21</v>
      </c>
      <c r="M1286" s="4" t="s">
        <v>622</v>
      </c>
      <c r="N1286" s="4"/>
      <c r="O1286" s="89"/>
      <c r="P1286" s="25">
        <v>45439</v>
      </c>
      <c r="Q1286" s="7" t="s">
        <v>1104</v>
      </c>
      <c r="R1286" s="90" t="s">
        <v>3264</v>
      </c>
      <c r="S1286" s="6" t="s">
        <v>1795</v>
      </c>
      <c r="T1286" s="4" t="s">
        <v>92</v>
      </c>
      <c r="U1286" s="4" t="s">
        <v>112</v>
      </c>
      <c r="V1286" s="4">
        <v>3</v>
      </c>
      <c r="W1286" s="85"/>
      <c r="X1286" s="4" t="s">
        <v>1197</v>
      </c>
      <c r="Y1286" s="4">
        <v>0</v>
      </c>
      <c r="Z1286" s="4" t="e">
        <v>#N/A</v>
      </c>
      <c r="AA1286" s="4" t="s">
        <v>1194</v>
      </c>
      <c r="AB1286" s="4" t="s">
        <v>4289</v>
      </c>
    </row>
    <row r="1287" spans="1:28">
      <c r="A1287" s="4">
        <v>1286</v>
      </c>
      <c r="B1287" s="106">
        <v>12399446</v>
      </c>
      <c r="C1287" s="5">
        <v>203183769</v>
      </c>
      <c r="D1287" s="115" t="s">
        <v>623</v>
      </c>
      <c r="E1287" s="4" t="s">
        <v>624</v>
      </c>
      <c r="F1287" s="7" t="s">
        <v>82</v>
      </c>
      <c r="G1287" s="7" t="s">
        <v>94</v>
      </c>
      <c r="H1287" s="7" t="s">
        <v>89</v>
      </c>
      <c r="I1287" s="6" t="s">
        <v>1109</v>
      </c>
      <c r="J1287" s="7" t="s">
        <v>621</v>
      </c>
      <c r="K1287" s="4" t="s">
        <v>594</v>
      </c>
      <c r="L1287" s="4" t="s">
        <v>21</v>
      </c>
      <c r="M1287" s="4" t="s">
        <v>622</v>
      </c>
      <c r="N1287" s="4"/>
      <c r="O1287" s="89"/>
      <c r="P1287" s="25">
        <v>45439</v>
      </c>
      <c r="Q1287" s="7" t="s">
        <v>1104</v>
      </c>
      <c r="R1287" s="90" t="s">
        <v>3258</v>
      </c>
      <c r="S1287" s="6" t="s">
        <v>1795</v>
      </c>
      <c r="T1287" s="4" t="s">
        <v>81</v>
      </c>
      <c r="U1287" s="4" t="s">
        <v>103</v>
      </c>
      <c r="V1287" s="4">
        <v>3</v>
      </c>
      <c r="W1287" s="85"/>
      <c r="X1287" s="4" t="s">
        <v>3731</v>
      </c>
      <c r="Y1287" s="4">
        <v>0</v>
      </c>
      <c r="Z1287" s="4" t="e">
        <v>#N/A</v>
      </c>
      <c r="AA1287" s="4" t="s">
        <v>127</v>
      </c>
      <c r="AB1287" s="4" t="s">
        <v>4290</v>
      </c>
    </row>
    <row r="1288" spans="1:28">
      <c r="A1288" s="4">
        <v>1287</v>
      </c>
      <c r="B1288" s="106">
        <v>14291439</v>
      </c>
      <c r="C1288" s="5">
        <v>205280740</v>
      </c>
      <c r="D1288" s="115" t="s">
        <v>2643</v>
      </c>
      <c r="E1288" s="4" t="s">
        <v>2642</v>
      </c>
      <c r="F1288" s="7" t="s">
        <v>82</v>
      </c>
      <c r="G1288" s="7" t="s">
        <v>76</v>
      </c>
      <c r="H1288" s="7" t="s">
        <v>88</v>
      </c>
      <c r="I1288" s="6" t="s">
        <v>1109</v>
      </c>
      <c r="J1288" s="7" t="s">
        <v>621</v>
      </c>
      <c r="K1288" s="4" t="s">
        <v>594</v>
      </c>
      <c r="L1288" s="4" t="s">
        <v>21</v>
      </c>
      <c r="M1288" s="4" t="s">
        <v>622</v>
      </c>
      <c r="N1288" s="4"/>
      <c r="O1288" s="89"/>
      <c r="P1288" s="25">
        <v>45859</v>
      </c>
      <c r="Q1288" s="7" t="s">
        <v>1104</v>
      </c>
      <c r="R1288" s="90" t="s">
        <v>1200</v>
      </c>
      <c r="S1288" s="6" t="s">
        <v>1795</v>
      </c>
      <c r="T1288" s="4" t="s">
        <v>81</v>
      </c>
      <c r="U1288" s="4" t="s">
        <v>107</v>
      </c>
      <c r="V1288" s="4">
        <v>3</v>
      </c>
      <c r="W1288" s="85"/>
      <c r="X1288" s="4"/>
      <c r="Y1288" s="4"/>
      <c r="Z1288" s="4"/>
      <c r="AA1288" s="4" t="s">
        <v>1202</v>
      </c>
      <c r="AB1288" s="4" t="s">
        <v>4289</v>
      </c>
    </row>
    <row r="1289" spans="1:28">
      <c r="A1289" s="4">
        <v>1288</v>
      </c>
      <c r="B1289" s="106">
        <v>13963370</v>
      </c>
      <c r="C1289" s="5">
        <v>205665079</v>
      </c>
      <c r="D1289" s="115" t="s">
        <v>2800</v>
      </c>
      <c r="E1289" s="4" t="s">
        <v>2801</v>
      </c>
      <c r="F1289" s="7" t="s">
        <v>82</v>
      </c>
      <c r="G1289" s="7" t="s">
        <v>94</v>
      </c>
      <c r="H1289" s="7" t="s">
        <v>89</v>
      </c>
      <c r="I1289" s="6" t="s">
        <v>1108</v>
      </c>
      <c r="J1289" s="7" t="s">
        <v>625</v>
      </c>
      <c r="K1289" s="4" t="s">
        <v>594</v>
      </c>
      <c r="L1289" s="4" t="s">
        <v>21</v>
      </c>
      <c r="M1289" s="4" t="s">
        <v>850</v>
      </c>
      <c r="N1289" s="4"/>
      <c r="O1289" s="89"/>
      <c r="P1289" s="25">
        <v>45908</v>
      </c>
      <c r="Q1289" s="7" t="s">
        <v>1107</v>
      </c>
      <c r="R1289" s="90" t="s">
        <v>1200</v>
      </c>
      <c r="S1289" s="6" t="s">
        <v>1795</v>
      </c>
      <c r="T1289" s="4" t="s">
        <v>92</v>
      </c>
      <c r="U1289" s="4" t="s">
        <v>107</v>
      </c>
      <c r="V1289" s="4">
        <v>3</v>
      </c>
      <c r="W1289" s="85"/>
      <c r="X1289" s="4"/>
      <c r="Y1289" s="4"/>
      <c r="Z1289" s="4"/>
      <c r="AA1289" s="4" t="s">
        <v>1194</v>
      </c>
      <c r="AB1289" s="4" t="s">
        <v>4290</v>
      </c>
    </row>
    <row r="1290" spans="1:28">
      <c r="A1290" s="4">
        <v>1289</v>
      </c>
      <c r="B1290" s="106">
        <v>12848898</v>
      </c>
      <c r="C1290" s="5">
        <v>205537427</v>
      </c>
      <c r="D1290" s="115" t="s">
        <v>3070</v>
      </c>
      <c r="E1290" s="4" t="s">
        <v>3071</v>
      </c>
      <c r="F1290" s="7" t="s">
        <v>74</v>
      </c>
      <c r="G1290" s="7" t="s">
        <v>76</v>
      </c>
      <c r="H1290" s="7" t="s">
        <v>88</v>
      </c>
      <c r="I1290" s="6" t="s">
        <v>1108</v>
      </c>
      <c r="J1290" s="7" t="s">
        <v>625</v>
      </c>
      <c r="K1290" s="4" t="s">
        <v>594</v>
      </c>
      <c r="L1290" s="4" t="s">
        <v>21</v>
      </c>
      <c r="M1290" s="4" t="s">
        <v>850</v>
      </c>
      <c r="N1290" s="4" t="s">
        <v>2584</v>
      </c>
      <c r="O1290" s="89"/>
      <c r="P1290" s="25">
        <v>45943</v>
      </c>
      <c r="Q1290" s="7" t="s">
        <v>1107</v>
      </c>
      <c r="R1290" s="90" t="s">
        <v>1200</v>
      </c>
      <c r="S1290" s="6" t="s">
        <v>3012</v>
      </c>
      <c r="T1290" s="4" t="s">
        <v>92</v>
      </c>
      <c r="U1290" s="4" t="s">
        <v>349</v>
      </c>
      <c r="V1290" s="4">
        <v>3</v>
      </c>
      <c r="W1290" s="85" t="s">
        <v>3072</v>
      </c>
      <c r="X1290" s="4" t="s">
        <v>3703</v>
      </c>
      <c r="Y1290" s="4"/>
      <c r="Z1290" s="4"/>
      <c r="AA1290" s="4" t="s">
        <v>3016</v>
      </c>
      <c r="AB1290" s="4" t="s">
        <v>4289</v>
      </c>
    </row>
    <row r="1291" spans="1:28">
      <c r="A1291" s="4">
        <v>1290</v>
      </c>
      <c r="B1291" s="106">
        <v>14401928</v>
      </c>
      <c r="C1291" s="5">
        <v>205079247</v>
      </c>
      <c r="D1291" s="115" t="s">
        <v>2515</v>
      </c>
      <c r="E1291" s="4" t="s">
        <v>2516</v>
      </c>
      <c r="F1291" s="7" t="s">
        <v>74</v>
      </c>
      <c r="G1291" s="7" t="s">
        <v>76</v>
      </c>
      <c r="H1291" s="7" t="s">
        <v>88</v>
      </c>
      <c r="I1291" s="6" t="s">
        <v>1108</v>
      </c>
      <c r="J1291" s="7" t="s">
        <v>625</v>
      </c>
      <c r="K1291" s="4" t="s">
        <v>594</v>
      </c>
      <c r="L1291" s="4" t="s">
        <v>21</v>
      </c>
      <c r="M1291" s="4" t="s">
        <v>850</v>
      </c>
      <c r="N1291" s="4"/>
      <c r="O1291" s="89"/>
      <c r="P1291" s="25">
        <v>45789</v>
      </c>
      <c r="Q1291" s="7" t="s">
        <v>1107</v>
      </c>
      <c r="R1291" s="90" t="s">
        <v>3255</v>
      </c>
      <c r="S1291" s="6" t="s">
        <v>1795</v>
      </c>
      <c r="T1291" s="4" t="s">
        <v>92</v>
      </c>
      <c r="U1291" s="4" t="s">
        <v>103</v>
      </c>
      <c r="V1291" s="4">
        <v>3</v>
      </c>
      <c r="W1291" s="85"/>
      <c r="X1291" s="4"/>
      <c r="Y1291" s="4"/>
      <c r="Z1291" s="4"/>
      <c r="AA1291" s="4" t="s">
        <v>127</v>
      </c>
      <c r="AB1291" s="4" t="s">
        <v>4290</v>
      </c>
    </row>
    <row r="1292" spans="1:28">
      <c r="A1292" s="4">
        <v>1291</v>
      </c>
      <c r="B1292" s="106">
        <v>12751462</v>
      </c>
      <c r="C1292" s="5">
        <v>205001264</v>
      </c>
      <c r="D1292" s="115" t="s">
        <v>2482</v>
      </c>
      <c r="E1292" s="4" t="s">
        <v>2483</v>
      </c>
      <c r="F1292" s="7" t="s">
        <v>82</v>
      </c>
      <c r="G1292" s="7" t="s">
        <v>76</v>
      </c>
      <c r="H1292" s="7" t="s">
        <v>88</v>
      </c>
      <c r="I1292" s="6" t="s">
        <v>1108</v>
      </c>
      <c r="J1292" s="7" t="s">
        <v>625</v>
      </c>
      <c r="K1292" s="4" t="s">
        <v>594</v>
      </c>
      <c r="L1292" s="4" t="s">
        <v>21</v>
      </c>
      <c r="M1292" s="4" t="s">
        <v>850</v>
      </c>
      <c r="N1292" s="4"/>
      <c r="O1292" s="89"/>
      <c r="P1292" s="25">
        <v>45754</v>
      </c>
      <c r="Q1292" s="7" t="s">
        <v>1107</v>
      </c>
      <c r="R1292" s="90" t="s">
        <v>3252</v>
      </c>
      <c r="S1292" s="6" t="s">
        <v>1795</v>
      </c>
      <c r="T1292" s="4" t="s">
        <v>81</v>
      </c>
      <c r="U1292" s="4" t="s">
        <v>107</v>
      </c>
      <c r="V1292" s="4">
        <v>3</v>
      </c>
      <c r="W1292" s="85"/>
      <c r="X1292" s="4"/>
      <c r="Y1292" s="4"/>
      <c r="Z1292" s="4"/>
      <c r="AA1292" s="4" t="s">
        <v>1205</v>
      </c>
      <c r="AB1292" s="4" t="s">
        <v>4290</v>
      </c>
    </row>
    <row r="1293" spans="1:28">
      <c r="A1293" s="4">
        <v>1292</v>
      </c>
      <c r="B1293" s="106">
        <v>12798844</v>
      </c>
      <c r="C1293" s="5">
        <v>205024343</v>
      </c>
      <c r="D1293" s="115" t="s">
        <v>2485</v>
      </c>
      <c r="E1293" s="4" t="s">
        <v>2486</v>
      </c>
      <c r="F1293" s="7" t="s">
        <v>74</v>
      </c>
      <c r="G1293" s="7" t="s">
        <v>94</v>
      </c>
      <c r="H1293" s="7" t="s">
        <v>89</v>
      </c>
      <c r="I1293" s="6" t="s">
        <v>1108</v>
      </c>
      <c r="J1293" s="7" t="s">
        <v>625</v>
      </c>
      <c r="K1293" s="4" t="s">
        <v>594</v>
      </c>
      <c r="L1293" s="4" t="s">
        <v>21</v>
      </c>
      <c r="M1293" s="4" t="s">
        <v>850</v>
      </c>
      <c r="N1293" s="4"/>
      <c r="O1293" s="89"/>
      <c r="P1293" s="25">
        <v>45775</v>
      </c>
      <c r="Q1293" s="7" t="s">
        <v>1107</v>
      </c>
      <c r="R1293" s="90" t="s">
        <v>2586</v>
      </c>
      <c r="S1293" s="6" t="s">
        <v>1795</v>
      </c>
      <c r="T1293" s="4" t="s">
        <v>92</v>
      </c>
      <c r="U1293" s="4" t="s">
        <v>112</v>
      </c>
      <c r="V1293" s="4">
        <v>3</v>
      </c>
      <c r="W1293" s="85"/>
      <c r="X1293" s="4"/>
      <c r="Y1293" s="4"/>
      <c r="Z1293" s="4"/>
      <c r="AA1293" s="4" t="s">
        <v>1194</v>
      </c>
      <c r="AB1293" s="4" t="s">
        <v>4289</v>
      </c>
    </row>
    <row r="1294" spans="1:28">
      <c r="A1294" s="4">
        <v>1293</v>
      </c>
      <c r="B1294" s="106">
        <v>11396098</v>
      </c>
      <c r="C1294" s="5">
        <v>203794558</v>
      </c>
      <c r="D1294" s="115" t="s">
        <v>1764</v>
      </c>
      <c r="E1294" s="4" t="s">
        <v>1765</v>
      </c>
      <c r="F1294" s="7" t="s">
        <v>74</v>
      </c>
      <c r="G1294" s="7" t="s">
        <v>76</v>
      </c>
      <c r="H1294" s="7" t="s">
        <v>88</v>
      </c>
      <c r="I1294" s="6" t="s">
        <v>1108</v>
      </c>
      <c r="J1294" s="7" t="s">
        <v>625</v>
      </c>
      <c r="K1294" s="4" t="s">
        <v>594</v>
      </c>
      <c r="L1294" s="4" t="s">
        <v>21</v>
      </c>
      <c r="M1294" s="4" t="s">
        <v>850</v>
      </c>
      <c r="N1294" s="4"/>
      <c r="O1294" s="89"/>
      <c r="P1294" s="25">
        <v>45593</v>
      </c>
      <c r="Q1294" s="7" t="s">
        <v>1107</v>
      </c>
      <c r="R1294" s="90" t="s">
        <v>3262</v>
      </c>
      <c r="S1294" s="6" t="s">
        <v>1795</v>
      </c>
      <c r="T1294" s="4" t="s">
        <v>92</v>
      </c>
      <c r="U1294" s="4" t="s">
        <v>112</v>
      </c>
      <c r="V1294" s="4">
        <v>3</v>
      </c>
      <c r="W1294" s="85"/>
      <c r="X1294" s="4" t="s">
        <v>2357</v>
      </c>
      <c r="Y1294" s="4"/>
      <c r="Z1294" s="4"/>
      <c r="AA1294" s="4" t="s">
        <v>1194</v>
      </c>
      <c r="AB1294" s="4" t="s">
        <v>4289</v>
      </c>
    </row>
    <row r="1295" spans="1:28">
      <c r="A1295" s="4">
        <v>1294</v>
      </c>
      <c r="B1295" s="106">
        <v>12798107</v>
      </c>
      <c r="C1295" s="5">
        <v>203927111</v>
      </c>
      <c r="D1295" s="115" t="s">
        <v>1190</v>
      </c>
      <c r="E1295" s="4" t="s">
        <v>2802</v>
      </c>
      <c r="F1295" s="7" t="s">
        <v>74</v>
      </c>
      <c r="G1295" s="7" t="s">
        <v>94</v>
      </c>
      <c r="H1295" s="7" t="s">
        <v>89</v>
      </c>
      <c r="I1295" s="6" t="s">
        <v>1108</v>
      </c>
      <c r="J1295" s="7" t="s">
        <v>625</v>
      </c>
      <c r="K1295" s="4" t="s">
        <v>594</v>
      </c>
      <c r="L1295" s="4" t="s">
        <v>21</v>
      </c>
      <c r="M1295" s="4" t="s">
        <v>850</v>
      </c>
      <c r="N1295" s="4"/>
      <c r="O1295" s="89"/>
      <c r="P1295" s="25">
        <v>45908</v>
      </c>
      <c r="Q1295" s="7" t="s">
        <v>1107</v>
      </c>
      <c r="R1295" s="90" t="s">
        <v>1200</v>
      </c>
      <c r="S1295" s="6" t="s">
        <v>1795</v>
      </c>
      <c r="T1295" s="4" t="s">
        <v>92</v>
      </c>
      <c r="U1295" s="4" t="s">
        <v>107</v>
      </c>
      <c r="V1295" s="4">
        <v>3</v>
      </c>
      <c r="W1295" s="85"/>
      <c r="X1295" s="4"/>
      <c r="Y1295" s="4"/>
      <c r="Z1295" s="4"/>
      <c r="AA1295" s="4" t="s">
        <v>1194</v>
      </c>
      <c r="AB1295" s="4" t="s">
        <v>4289</v>
      </c>
    </row>
    <row r="1296" spans="1:28">
      <c r="A1296" s="4">
        <v>1295</v>
      </c>
      <c r="B1296" s="106">
        <v>13979979</v>
      </c>
      <c r="C1296" s="5">
        <v>205207923</v>
      </c>
      <c r="D1296" s="115" t="s">
        <v>2582</v>
      </c>
      <c r="E1296" s="4" t="s">
        <v>2581</v>
      </c>
      <c r="F1296" s="7" t="s">
        <v>74</v>
      </c>
      <c r="G1296" s="7" t="s">
        <v>76</v>
      </c>
      <c r="H1296" s="7" t="s">
        <v>88</v>
      </c>
      <c r="I1296" s="6" t="s">
        <v>1108</v>
      </c>
      <c r="J1296" s="7" t="s">
        <v>625</v>
      </c>
      <c r="K1296" s="4" t="s">
        <v>594</v>
      </c>
      <c r="L1296" s="4" t="s">
        <v>21</v>
      </c>
      <c r="M1296" s="4" t="s">
        <v>850</v>
      </c>
      <c r="N1296" s="4"/>
      <c r="O1296" s="89"/>
      <c r="P1296" s="25">
        <v>45831</v>
      </c>
      <c r="Q1296" s="7" t="s">
        <v>1107</v>
      </c>
      <c r="R1296" s="90" t="s">
        <v>1200</v>
      </c>
      <c r="S1296" s="6" t="s">
        <v>1795</v>
      </c>
      <c r="T1296" s="4" t="s">
        <v>92</v>
      </c>
      <c r="U1296" s="4" t="s">
        <v>132</v>
      </c>
      <c r="V1296" s="4">
        <v>3</v>
      </c>
      <c r="W1296" s="85"/>
      <c r="X1296" s="4"/>
      <c r="Y1296" s="4"/>
      <c r="Z1296" s="4"/>
      <c r="AA1296" s="4" t="s">
        <v>1194</v>
      </c>
      <c r="AB1296" s="4" t="s">
        <v>4289</v>
      </c>
    </row>
    <row r="1297" spans="1:28">
      <c r="A1297" s="4">
        <v>1296</v>
      </c>
      <c r="B1297" s="106">
        <v>11727750</v>
      </c>
      <c r="C1297" s="5">
        <v>112836630</v>
      </c>
      <c r="D1297" s="115" t="s">
        <v>640</v>
      </c>
      <c r="E1297" s="4" t="s">
        <v>641</v>
      </c>
      <c r="F1297" s="7" t="s">
        <v>74</v>
      </c>
      <c r="G1297" s="7" t="s">
        <v>94</v>
      </c>
      <c r="H1297" s="7" t="s">
        <v>89</v>
      </c>
      <c r="I1297" s="6" t="s">
        <v>1110</v>
      </c>
      <c r="J1297" s="7" t="s">
        <v>639</v>
      </c>
      <c r="K1297" s="4" t="s">
        <v>594</v>
      </c>
      <c r="L1297" s="4" t="s">
        <v>21</v>
      </c>
      <c r="M1297" s="4" t="s">
        <v>4316</v>
      </c>
      <c r="N1297" s="4"/>
      <c r="O1297" s="89"/>
      <c r="P1297" s="25">
        <v>44767</v>
      </c>
      <c r="Q1297" s="7" t="s">
        <v>1104</v>
      </c>
      <c r="R1297" s="90" t="s">
        <v>3254</v>
      </c>
      <c r="S1297" s="6" t="s">
        <v>1795</v>
      </c>
      <c r="T1297" s="4" t="s">
        <v>81</v>
      </c>
      <c r="U1297" s="4" t="s">
        <v>103</v>
      </c>
      <c r="V1297" s="4">
        <v>3</v>
      </c>
      <c r="W1297" s="85"/>
      <c r="X1297" s="4" t="s">
        <v>1212</v>
      </c>
      <c r="Y1297" s="4">
        <v>0</v>
      </c>
      <c r="Z1297" s="4" t="e">
        <v>#N/A</v>
      </c>
      <c r="AA1297" s="4" t="s">
        <v>127</v>
      </c>
      <c r="AB1297" s="4" t="s">
        <v>4290</v>
      </c>
    </row>
    <row r="1298" spans="1:28">
      <c r="A1298" s="4">
        <v>1297</v>
      </c>
      <c r="B1298" s="106">
        <v>11631455</v>
      </c>
      <c r="C1298" s="5">
        <v>102865821</v>
      </c>
      <c r="D1298" s="115" t="s">
        <v>1786</v>
      </c>
      <c r="E1298" s="4" t="s">
        <v>1787</v>
      </c>
      <c r="F1298" s="7" t="s">
        <v>74</v>
      </c>
      <c r="G1298" s="7" t="s">
        <v>88</v>
      </c>
      <c r="H1298" s="7" t="s">
        <v>94</v>
      </c>
      <c r="I1298" s="6" t="s">
        <v>4324</v>
      </c>
      <c r="J1298" s="7" t="s">
        <v>642</v>
      </c>
      <c r="K1298" s="4" t="s">
        <v>594</v>
      </c>
      <c r="L1298" s="4" t="s">
        <v>21</v>
      </c>
      <c r="M1298" s="4" t="s">
        <v>643</v>
      </c>
      <c r="N1298" s="4"/>
      <c r="O1298" s="89"/>
      <c r="P1298" s="25">
        <v>43012</v>
      </c>
      <c r="Q1298" s="7" t="s">
        <v>1104</v>
      </c>
      <c r="R1298" s="90" t="s">
        <v>3255</v>
      </c>
      <c r="S1298" s="6" t="s">
        <v>1795</v>
      </c>
      <c r="T1298" s="4" t="s">
        <v>81</v>
      </c>
      <c r="U1298" s="4" t="s">
        <v>349</v>
      </c>
      <c r="V1298" s="4">
        <v>3</v>
      </c>
      <c r="W1298" s="85"/>
      <c r="X1298" s="4" t="s">
        <v>3688</v>
      </c>
      <c r="Y1298" s="4"/>
      <c r="Z1298" s="4"/>
      <c r="AA1298" s="4" t="s">
        <v>2269</v>
      </c>
      <c r="AB1298" s="4" t="s">
        <v>4289</v>
      </c>
    </row>
    <row r="1299" spans="1:28">
      <c r="A1299" s="4">
        <v>1298</v>
      </c>
      <c r="B1299" s="106">
        <v>13042317</v>
      </c>
      <c r="C1299" s="5">
        <v>206884114</v>
      </c>
      <c r="D1299" s="115" t="s">
        <v>4282</v>
      </c>
      <c r="E1299" s="4" t="s">
        <v>4283</v>
      </c>
      <c r="F1299" s="7" t="s">
        <v>74</v>
      </c>
      <c r="G1299" s="7" t="s">
        <v>75</v>
      </c>
      <c r="H1299" s="7" t="s">
        <v>76</v>
      </c>
      <c r="I1299" s="6" t="s">
        <v>4321</v>
      </c>
      <c r="J1299" s="7" t="s">
        <v>1103</v>
      </c>
      <c r="K1299" s="4" t="s">
        <v>594</v>
      </c>
      <c r="L1299" s="4" t="s">
        <v>21</v>
      </c>
      <c r="M1299" s="4" t="s">
        <v>595</v>
      </c>
      <c r="N1299" s="89"/>
      <c r="O1299" s="25"/>
      <c r="P1299" s="25">
        <v>46069</v>
      </c>
      <c r="Q1299" s="90" t="s">
        <v>1104</v>
      </c>
      <c r="R1299" s="6"/>
      <c r="S1299" s="4" t="s">
        <v>1795</v>
      </c>
      <c r="T1299" s="4" t="s">
        <v>1199</v>
      </c>
      <c r="U1299" s="4"/>
      <c r="V1299" s="5">
        <v>3</v>
      </c>
      <c r="W1299" s="4"/>
      <c r="X1299" s="90"/>
      <c r="Y1299" s="4"/>
      <c r="Z1299" s="4"/>
      <c r="AA1299" s="4"/>
      <c r="AB1299" s="4" t="s">
        <v>4290</v>
      </c>
    </row>
    <row r="1300" spans="1:28">
      <c r="A1300" s="4">
        <v>1299</v>
      </c>
      <c r="B1300" s="106">
        <v>12287423</v>
      </c>
      <c r="C1300" s="5">
        <v>206980506</v>
      </c>
      <c r="D1300" s="115" t="s">
        <v>4294</v>
      </c>
      <c r="E1300" s="4" t="s">
        <v>4295</v>
      </c>
      <c r="F1300" s="7" t="s">
        <v>82</v>
      </c>
      <c r="G1300" s="7" t="s">
        <v>94</v>
      </c>
      <c r="H1300" s="7" t="s">
        <v>89</v>
      </c>
      <c r="I1300" s="6" t="s">
        <v>4321</v>
      </c>
      <c r="J1300" s="7" t="s">
        <v>1103</v>
      </c>
      <c r="K1300" s="4" t="s">
        <v>594</v>
      </c>
      <c r="L1300" s="4" t="s">
        <v>21</v>
      </c>
      <c r="M1300" s="4" t="s">
        <v>595</v>
      </c>
      <c r="N1300" s="89"/>
      <c r="O1300" s="25"/>
      <c r="P1300" s="25">
        <v>46125</v>
      </c>
      <c r="Q1300" s="7" t="s">
        <v>1104</v>
      </c>
      <c r="R1300" s="90" t="s">
        <v>3261</v>
      </c>
      <c r="S1300" s="6" t="s">
        <v>1795</v>
      </c>
      <c r="T1300" s="4" t="s">
        <v>92</v>
      </c>
      <c r="U1300" s="4" t="s">
        <v>103</v>
      </c>
      <c r="V1300" s="4">
        <v>3</v>
      </c>
      <c r="W1300" s="85"/>
      <c r="X1300" s="4"/>
      <c r="Y1300" s="4">
        <v>507825593</v>
      </c>
      <c r="Z1300" s="4" t="s">
        <v>4296</v>
      </c>
      <c r="AA1300" s="4"/>
      <c r="AB1300" s="4" t="s">
        <v>4289</v>
      </c>
    </row>
    <row r="1301" spans="1:28">
      <c r="A1301" s="4">
        <v>1300</v>
      </c>
      <c r="B1301" s="106">
        <v>11884851</v>
      </c>
      <c r="C1301" s="5">
        <v>206930467</v>
      </c>
      <c r="D1301" s="115" t="s">
        <v>4287</v>
      </c>
      <c r="E1301" s="4" t="s">
        <v>4281</v>
      </c>
      <c r="F1301" s="7" t="s">
        <v>82</v>
      </c>
      <c r="G1301" s="7" t="s">
        <v>76</v>
      </c>
      <c r="H1301" s="7" t="s">
        <v>88</v>
      </c>
      <c r="I1301" s="6" t="s">
        <v>4321</v>
      </c>
      <c r="J1301" s="7" t="s">
        <v>1103</v>
      </c>
      <c r="K1301" s="4" t="s">
        <v>594</v>
      </c>
      <c r="L1301" s="4" t="s">
        <v>21</v>
      </c>
      <c r="M1301" s="4" t="s">
        <v>595</v>
      </c>
      <c r="N1301" s="89"/>
      <c r="O1301" s="25"/>
      <c r="P1301" s="25">
        <v>46069</v>
      </c>
      <c r="Q1301" s="90" t="s">
        <v>1104</v>
      </c>
      <c r="R1301" s="6"/>
      <c r="S1301" s="4" t="s">
        <v>1795</v>
      </c>
      <c r="T1301" s="4" t="s">
        <v>1199</v>
      </c>
      <c r="U1301" s="4"/>
      <c r="V1301" s="5">
        <v>3</v>
      </c>
      <c r="W1301" s="4"/>
      <c r="X1301" s="90"/>
      <c r="Y1301" s="4"/>
      <c r="Z1301" s="4"/>
      <c r="AA1301" s="4"/>
      <c r="AB1301" s="4" t="s">
        <v>4289</v>
      </c>
    </row>
    <row r="1302" spans="1:28">
      <c r="A1302" s="4">
        <v>1301</v>
      </c>
      <c r="B1302" s="106">
        <v>12729805</v>
      </c>
      <c r="C1302" s="5">
        <v>113239078</v>
      </c>
      <c r="D1302" s="115" t="s">
        <v>596</v>
      </c>
      <c r="E1302" s="4" t="s">
        <v>597</v>
      </c>
      <c r="F1302" s="7" t="s">
        <v>74</v>
      </c>
      <c r="G1302" s="7" t="s">
        <v>87</v>
      </c>
      <c r="H1302" s="7" t="s">
        <v>75</v>
      </c>
      <c r="I1302" s="6" t="s">
        <v>4321</v>
      </c>
      <c r="J1302" s="7" t="s">
        <v>1103</v>
      </c>
      <c r="K1302" s="4" t="s">
        <v>594</v>
      </c>
      <c r="L1302" s="4" t="s">
        <v>21</v>
      </c>
      <c r="M1302" s="4" t="s">
        <v>595</v>
      </c>
      <c r="N1302" s="4"/>
      <c r="O1302" s="89"/>
      <c r="P1302" s="25">
        <v>44935</v>
      </c>
      <c r="Q1302" s="7" t="s">
        <v>1104</v>
      </c>
      <c r="R1302" s="90" t="s">
        <v>3256</v>
      </c>
      <c r="S1302" s="6" t="s">
        <v>1795</v>
      </c>
      <c r="T1302" s="4" t="s">
        <v>81</v>
      </c>
      <c r="U1302" s="4" t="s">
        <v>112</v>
      </c>
      <c r="V1302" s="4">
        <v>3</v>
      </c>
      <c r="W1302" s="85"/>
      <c r="X1302" s="4" t="s">
        <v>2357</v>
      </c>
      <c r="Y1302" s="4">
        <v>0</v>
      </c>
      <c r="Z1302" s="4" t="e">
        <v>#N/A</v>
      </c>
      <c r="AA1302" s="4" t="s">
        <v>1194</v>
      </c>
      <c r="AB1302" s="4" t="s">
        <v>4290</v>
      </c>
    </row>
    <row r="1303" spans="1:28">
      <c r="A1303" s="4">
        <v>1302</v>
      </c>
      <c r="B1303" s="106">
        <v>14031406</v>
      </c>
      <c r="C1303" s="5">
        <v>203875181</v>
      </c>
      <c r="D1303" s="115" t="s">
        <v>1166</v>
      </c>
      <c r="E1303" s="4" t="s">
        <v>1167</v>
      </c>
      <c r="F1303" s="7" t="s">
        <v>82</v>
      </c>
      <c r="G1303" s="7" t="s">
        <v>94</v>
      </c>
      <c r="H1303" s="7" t="s">
        <v>89</v>
      </c>
      <c r="I1303" s="6" t="s">
        <v>1788</v>
      </c>
      <c r="J1303" s="7" t="s">
        <v>7</v>
      </c>
      <c r="K1303" s="4" t="s">
        <v>594</v>
      </c>
      <c r="L1303" s="4" t="s">
        <v>24</v>
      </c>
      <c r="M1303" s="4" t="s">
        <v>4315</v>
      </c>
      <c r="N1303" s="4" t="s">
        <v>2584</v>
      </c>
      <c r="O1303" s="89"/>
      <c r="P1303" s="25">
        <v>45530</v>
      </c>
      <c r="Q1303" s="7" t="s">
        <v>7</v>
      </c>
      <c r="R1303" s="90" t="s">
        <v>3252</v>
      </c>
      <c r="S1303" s="6" t="s">
        <v>1796</v>
      </c>
      <c r="T1303" s="4" t="s">
        <v>81</v>
      </c>
      <c r="U1303" s="4" t="s">
        <v>112</v>
      </c>
      <c r="V1303" s="4">
        <v>99</v>
      </c>
      <c r="W1303" s="85">
        <v>45895</v>
      </c>
      <c r="X1303" s="4" t="s">
        <v>3688</v>
      </c>
      <c r="Y1303" s="4">
        <v>586769751</v>
      </c>
      <c r="Z1303" s="4" t="s">
        <v>2257</v>
      </c>
      <c r="AA1303" s="4" t="s">
        <v>1196</v>
      </c>
      <c r="AB1303" s="4" t="s">
        <v>4289</v>
      </c>
    </row>
    <row r="1304" spans="1:28">
      <c r="A1304" s="4">
        <v>1303</v>
      </c>
      <c r="B1304" s="106">
        <v>13393444</v>
      </c>
      <c r="C1304" s="5">
        <v>203875184</v>
      </c>
      <c r="D1304" s="115" t="s">
        <v>1168</v>
      </c>
      <c r="E1304" s="4" t="s">
        <v>1169</v>
      </c>
      <c r="F1304" s="7" t="s">
        <v>82</v>
      </c>
      <c r="G1304" s="7" t="s">
        <v>75</v>
      </c>
      <c r="H1304" s="7" t="s">
        <v>76</v>
      </c>
      <c r="I1304" s="6" t="s">
        <v>1788</v>
      </c>
      <c r="J1304" s="7" t="s">
        <v>7</v>
      </c>
      <c r="K1304" s="4" t="s">
        <v>594</v>
      </c>
      <c r="L1304" s="4" t="s">
        <v>24</v>
      </c>
      <c r="M1304" s="4" t="s">
        <v>4315</v>
      </c>
      <c r="N1304" s="4" t="s">
        <v>2584</v>
      </c>
      <c r="O1304" s="89"/>
      <c r="P1304" s="25">
        <v>45530</v>
      </c>
      <c r="Q1304" s="7" t="s">
        <v>7</v>
      </c>
      <c r="R1304" s="90" t="s">
        <v>3262</v>
      </c>
      <c r="S1304" s="6" t="s">
        <v>1796</v>
      </c>
      <c r="T1304" s="4" t="s">
        <v>81</v>
      </c>
      <c r="U1304" s="4" t="s">
        <v>3263</v>
      </c>
      <c r="V1304" s="4">
        <v>99</v>
      </c>
      <c r="W1304" s="85">
        <v>45895</v>
      </c>
      <c r="X1304" s="4" t="s">
        <v>3694</v>
      </c>
      <c r="Y1304" s="4">
        <v>544773997</v>
      </c>
      <c r="Z1304" s="4" t="s">
        <v>2258</v>
      </c>
      <c r="AA1304" s="4" t="s">
        <v>85</v>
      </c>
      <c r="AB1304" s="4" t="s">
        <v>4289</v>
      </c>
    </row>
    <row r="1305" spans="1:28">
      <c r="A1305" s="4">
        <v>1304</v>
      </c>
      <c r="B1305" s="106">
        <v>14272272</v>
      </c>
      <c r="C1305" s="5">
        <v>203875092</v>
      </c>
      <c r="D1305" s="115" t="s">
        <v>1170</v>
      </c>
      <c r="E1305" s="4" t="s">
        <v>1171</v>
      </c>
      <c r="F1305" s="7" t="s">
        <v>82</v>
      </c>
      <c r="G1305" s="7" t="s">
        <v>90</v>
      </c>
      <c r="H1305" s="7" t="s">
        <v>87</v>
      </c>
      <c r="I1305" s="6" t="s">
        <v>1788</v>
      </c>
      <c r="J1305" s="7" t="s">
        <v>7</v>
      </c>
      <c r="K1305" s="4" t="s">
        <v>594</v>
      </c>
      <c r="L1305" s="4" t="s">
        <v>24</v>
      </c>
      <c r="M1305" s="4" t="s">
        <v>4315</v>
      </c>
      <c r="N1305" s="4" t="s">
        <v>2584</v>
      </c>
      <c r="O1305" s="89"/>
      <c r="P1305" s="25">
        <v>45530</v>
      </c>
      <c r="Q1305" s="7" t="s">
        <v>7</v>
      </c>
      <c r="R1305" s="90" t="s">
        <v>3256</v>
      </c>
      <c r="S1305" s="6" t="s">
        <v>1796</v>
      </c>
      <c r="T1305" s="4" t="s">
        <v>81</v>
      </c>
      <c r="U1305" s="4" t="s">
        <v>349</v>
      </c>
      <c r="V1305" s="4">
        <v>99</v>
      </c>
      <c r="W1305" s="85">
        <v>45895</v>
      </c>
      <c r="X1305" s="4" t="s">
        <v>3694</v>
      </c>
      <c r="Y1305" s="4">
        <v>527345895</v>
      </c>
      <c r="Z1305" s="4" t="s">
        <v>2259</v>
      </c>
      <c r="AA1305" s="4" t="s">
        <v>85</v>
      </c>
      <c r="AB1305" s="4" t="s">
        <v>4289</v>
      </c>
    </row>
    <row r="1306" spans="1:28">
      <c r="A1306" s="4">
        <v>1305</v>
      </c>
      <c r="B1306" s="106">
        <v>12630096</v>
      </c>
      <c r="C1306" s="5">
        <v>203875089</v>
      </c>
      <c r="D1306" s="115" t="s">
        <v>1172</v>
      </c>
      <c r="E1306" s="4" t="s">
        <v>1173</v>
      </c>
      <c r="F1306" s="7" t="s">
        <v>82</v>
      </c>
      <c r="G1306" s="7" t="s">
        <v>75</v>
      </c>
      <c r="H1306" s="7" t="s">
        <v>76</v>
      </c>
      <c r="I1306" s="6" t="s">
        <v>1788</v>
      </c>
      <c r="J1306" s="7" t="s">
        <v>7</v>
      </c>
      <c r="K1306" s="4" t="s">
        <v>594</v>
      </c>
      <c r="L1306" s="4" t="s">
        <v>24</v>
      </c>
      <c r="M1306" s="4" t="s">
        <v>4315</v>
      </c>
      <c r="N1306" s="4" t="s">
        <v>2584</v>
      </c>
      <c r="O1306" s="89"/>
      <c r="P1306" s="25">
        <v>45530</v>
      </c>
      <c r="Q1306" s="7" t="s">
        <v>7</v>
      </c>
      <c r="R1306" s="90" t="s">
        <v>3255</v>
      </c>
      <c r="S1306" s="6" t="s">
        <v>1796</v>
      </c>
      <c r="T1306" s="4" t="s">
        <v>92</v>
      </c>
      <c r="U1306" s="4" t="s">
        <v>107</v>
      </c>
      <c r="V1306" s="4">
        <v>99</v>
      </c>
      <c r="W1306" s="85">
        <v>45895</v>
      </c>
      <c r="X1306" s="4" t="s">
        <v>3688</v>
      </c>
      <c r="Y1306" s="4">
        <v>522359586</v>
      </c>
      <c r="Z1306" s="4" t="s">
        <v>2260</v>
      </c>
      <c r="AA1306" s="4" t="s">
        <v>85</v>
      </c>
      <c r="AB1306" s="4" t="s">
        <v>4289</v>
      </c>
    </row>
    <row r="1307" spans="1:28">
      <c r="A1307" s="4">
        <v>1306</v>
      </c>
      <c r="B1307" s="106">
        <v>12629515</v>
      </c>
      <c r="C1307" s="5">
        <v>203875090</v>
      </c>
      <c r="D1307" s="115" t="s">
        <v>1174</v>
      </c>
      <c r="E1307" s="4" t="s">
        <v>1175</v>
      </c>
      <c r="F1307" s="7" t="s">
        <v>82</v>
      </c>
      <c r="G1307" s="7" t="s">
        <v>76</v>
      </c>
      <c r="H1307" s="7" t="s">
        <v>88</v>
      </c>
      <c r="I1307" s="6" t="s">
        <v>1788</v>
      </c>
      <c r="J1307" s="7" t="s">
        <v>7</v>
      </c>
      <c r="K1307" s="4" t="s">
        <v>594</v>
      </c>
      <c r="L1307" s="4" t="s">
        <v>24</v>
      </c>
      <c r="M1307" s="4" t="s">
        <v>4315</v>
      </c>
      <c r="N1307" s="4" t="s">
        <v>2584</v>
      </c>
      <c r="O1307" s="89"/>
      <c r="P1307" s="25">
        <v>45530</v>
      </c>
      <c r="Q1307" s="7" t="s">
        <v>7</v>
      </c>
      <c r="R1307" s="90" t="s">
        <v>3260</v>
      </c>
      <c r="S1307" s="6" t="s">
        <v>1796</v>
      </c>
      <c r="T1307" s="4" t="s">
        <v>92</v>
      </c>
      <c r="U1307" s="4" t="s">
        <v>107</v>
      </c>
      <c r="V1307" s="4">
        <v>99</v>
      </c>
      <c r="W1307" s="85">
        <v>45895</v>
      </c>
      <c r="X1307" s="4" t="s">
        <v>3694</v>
      </c>
      <c r="Y1307" s="4">
        <v>554536389</v>
      </c>
      <c r="Z1307" s="4" t="s">
        <v>2261</v>
      </c>
      <c r="AA1307" s="4" t="s">
        <v>85</v>
      </c>
      <c r="AB1307" s="4" t="s">
        <v>4289</v>
      </c>
    </row>
    <row r="1308" spans="1:28">
      <c r="A1308" s="4">
        <v>1307</v>
      </c>
      <c r="B1308" s="106">
        <v>14861503</v>
      </c>
      <c r="C1308" s="5">
        <v>203875180</v>
      </c>
      <c r="D1308" s="115" t="s">
        <v>1176</v>
      </c>
      <c r="E1308" s="4" t="s">
        <v>1177</v>
      </c>
      <c r="F1308" s="7" t="s">
        <v>82</v>
      </c>
      <c r="G1308" s="7" t="s">
        <v>94</v>
      </c>
      <c r="H1308" s="7" t="s">
        <v>89</v>
      </c>
      <c r="I1308" s="6" t="s">
        <v>1788</v>
      </c>
      <c r="J1308" s="7" t="s">
        <v>7</v>
      </c>
      <c r="K1308" s="4" t="s">
        <v>594</v>
      </c>
      <c r="L1308" s="4" t="s">
        <v>24</v>
      </c>
      <c r="M1308" s="4" t="s">
        <v>4315</v>
      </c>
      <c r="N1308" s="4" t="s">
        <v>2584</v>
      </c>
      <c r="O1308" s="89"/>
      <c r="P1308" s="25">
        <v>45530</v>
      </c>
      <c r="Q1308" s="7" t="s">
        <v>7</v>
      </c>
      <c r="R1308" s="90" t="s">
        <v>3254</v>
      </c>
      <c r="S1308" s="6" t="s">
        <v>1796</v>
      </c>
      <c r="T1308" s="4" t="s">
        <v>81</v>
      </c>
      <c r="U1308" s="4" t="s">
        <v>349</v>
      </c>
      <c r="V1308" s="4">
        <v>99</v>
      </c>
      <c r="W1308" s="85">
        <v>45895</v>
      </c>
      <c r="X1308" s="4" t="s">
        <v>3703</v>
      </c>
      <c r="Y1308" s="4">
        <v>551165731</v>
      </c>
      <c r="Z1308" s="4" t="s">
        <v>2262</v>
      </c>
      <c r="AA1308" s="4" t="s">
        <v>85</v>
      </c>
      <c r="AB1308" s="4" t="s">
        <v>4289</v>
      </c>
    </row>
    <row r="1309" spans="1:28">
      <c r="A1309" s="4">
        <v>1308</v>
      </c>
      <c r="B1309" s="106">
        <v>13385397</v>
      </c>
      <c r="C1309" s="5">
        <v>203875183</v>
      </c>
      <c r="D1309" s="115" t="s">
        <v>1178</v>
      </c>
      <c r="E1309" s="4" t="s">
        <v>1179</v>
      </c>
      <c r="F1309" s="7" t="s">
        <v>82</v>
      </c>
      <c r="G1309" s="7" t="s">
        <v>87</v>
      </c>
      <c r="H1309" s="7" t="s">
        <v>75</v>
      </c>
      <c r="I1309" s="6" t="s">
        <v>1788</v>
      </c>
      <c r="J1309" s="7" t="s">
        <v>7</v>
      </c>
      <c r="K1309" s="4" t="s">
        <v>594</v>
      </c>
      <c r="L1309" s="4" t="s">
        <v>24</v>
      </c>
      <c r="M1309" s="4" t="s">
        <v>4315</v>
      </c>
      <c r="N1309" s="4" t="s">
        <v>2584</v>
      </c>
      <c r="O1309" s="89"/>
      <c r="P1309" s="25">
        <v>45530</v>
      </c>
      <c r="Q1309" s="7" t="s">
        <v>7</v>
      </c>
      <c r="R1309" s="90" t="s">
        <v>3257</v>
      </c>
      <c r="S1309" s="6" t="s">
        <v>1796</v>
      </c>
      <c r="T1309" s="4" t="s">
        <v>81</v>
      </c>
      <c r="U1309" s="4" t="s">
        <v>349</v>
      </c>
      <c r="V1309" s="4">
        <v>99</v>
      </c>
      <c r="W1309" s="85">
        <v>45895</v>
      </c>
      <c r="X1309" s="4" t="s">
        <v>3698</v>
      </c>
      <c r="Y1309" s="4">
        <v>528961950</v>
      </c>
      <c r="Z1309" s="4" t="s">
        <v>2263</v>
      </c>
      <c r="AA1309" s="4" t="s">
        <v>85</v>
      </c>
      <c r="AB1309" s="4" t="s">
        <v>4289</v>
      </c>
    </row>
    <row r="1310" spans="1:28">
      <c r="A1310" s="4">
        <v>1309</v>
      </c>
      <c r="B1310" s="106">
        <v>14270157</v>
      </c>
      <c r="C1310" s="5">
        <v>112463068</v>
      </c>
      <c r="D1310" s="115" t="s">
        <v>1180</v>
      </c>
      <c r="E1310" s="4" t="s">
        <v>1181</v>
      </c>
      <c r="F1310" s="7" t="s">
        <v>82</v>
      </c>
      <c r="G1310" s="7" t="s">
        <v>75</v>
      </c>
      <c r="H1310" s="7" t="s">
        <v>76</v>
      </c>
      <c r="I1310" s="6" t="s">
        <v>1788</v>
      </c>
      <c r="J1310" s="7" t="s">
        <v>7</v>
      </c>
      <c r="K1310" s="4" t="s">
        <v>594</v>
      </c>
      <c r="L1310" s="4" t="s">
        <v>24</v>
      </c>
      <c r="M1310" s="4" t="s">
        <v>4315</v>
      </c>
      <c r="N1310" s="4" t="s">
        <v>2584</v>
      </c>
      <c r="O1310" s="89"/>
      <c r="P1310" s="25">
        <v>45530</v>
      </c>
      <c r="Q1310" s="7" t="s">
        <v>7</v>
      </c>
      <c r="R1310" s="90" t="s">
        <v>3262</v>
      </c>
      <c r="S1310" s="6" t="s">
        <v>1796</v>
      </c>
      <c r="T1310" s="4" t="s">
        <v>81</v>
      </c>
      <c r="U1310" s="4" t="s">
        <v>132</v>
      </c>
      <c r="V1310" s="4">
        <v>99</v>
      </c>
      <c r="W1310" s="85">
        <v>45895</v>
      </c>
      <c r="X1310" s="4" t="s">
        <v>3474</v>
      </c>
      <c r="Y1310" s="4">
        <v>506756540</v>
      </c>
      <c r="Z1310" s="4" t="s">
        <v>2264</v>
      </c>
      <c r="AA1310" s="4" t="s">
        <v>127</v>
      </c>
      <c r="AB1310" s="4" t="s">
        <v>4290</v>
      </c>
    </row>
    <row r="1311" spans="1:28">
      <c r="A1311" s="4">
        <v>1310</v>
      </c>
      <c r="B1311" s="106">
        <v>13150503</v>
      </c>
      <c r="C1311" s="5">
        <v>203875088</v>
      </c>
      <c r="D1311" s="115" t="s">
        <v>1182</v>
      </c>
      <c r="E1311" s="4" t="s">
        <v>1183</v>
      </c>
      <c r="F1311" s="7" t="s">
        <v>82</v>
      </c>
      <c r="G1311" s="7" t="s">
        <v>89</v>
      </c>
      <c r="H1311" s="7" t="s">
        <v>90</v>
      </c>
      <c r="I1311" s="6" t="s">
        <v>1788</v>
      </c>
      <c r="J1311" s="7" t="s">
        <v>7</v>
      </c>
      <c r="K1311" s="4" t="s">
        <v>594</v>
      </c>
      <c r="L1311" s="4" t="s">
        <v>24</v>
      </c>
      <c r="M1311" s="4" t="s">
        <v>4315</v>
      </c>
      <c r="N1311" s="4" t="s">
        <v>2583</v>
      </c>
      <c r="O1311" s="89"/>
      <c r="P1311" s="25">
        <v>45530</v>
      </c>
      <c r="Q1311" s="7" t="s">
        <v>7</v>
      </c>
      <c r="R1311" s="90" t="s">
        <v>3252</v>
      </c>
      <c r="S1311" s="6" t="s">
        <v>1796</v>
      </c>
      <c r="T1311" s="4" t="s">
        <v>92</v>
      </c>
      <c r="U1311" s="4" t="s">
        <v>3259</v>
      </c>
      <c r="V1311" s="4">
        <v>99</v>
      </c>
      <c r="W1311" s="85">
        <v>45895</v>
      </c>
      <c r="X1311" s="4" t="s">
        <v>3694</v>
      </c>
      <c r="Y1311" s="4">
        <v>566330934</v>
      </c>
      <c r="Z1311" s="4" t="s">
        <v>2265</v>
      </c>
      <c r="AA1311" s="4" t="s">
        <v>85</v>
      </c>
      <c r="AB1311" s="4" t="s">
        <v>4289</v>
      </c>
    </row>
    <row r="1312" spans="1:28">
      <c r="A1312" s="4">
        <v>1311</v>
      </c>
      <c r="B1312" s="106">
        <v>12631521</v>
      </c>
      <c r="C1312" s="5">
        <v>203875091</v>
      </c>
      <c r="D1312" s="115" t="s">
        <v>1184</v>
      </c>
      <c r="E1312" s="4" t="s">
        <v>1185</v>
      </c>
      <c r="F1312" s="7" t="s">
        <v>82</v>
      </c>
      <c r="G1312" s="7" t="s">
        <v>90</v>
      </c>
      <c r="H1312" s="7" t="s">
        <v>87</v>
      </c>
      <c r="I1312" s="6" t="s">
        <v>1788</v>
      </c>
      <c r="J1312" s="7" t="s">
        <v>7</v>
      </c>
      <c r="K1312" s="4" t="s">
        <v>594</v>
      </c>
      <c r="L1312" s="4" t="s">
        <v>24</v>
      </c>
      <c r="M1312" s="4" t="s">
        <v>4315</v>
      </c>
      <c r="N1312" s="4" t="s">
        <v>2584</v>
      </c>
      <c r="O1312" s="89"/>
      <c r="P1312" s="25">
        <v>45530</v>
      </c>
      <c r="Q1312" s="7" t="s">
        <v>7</v>
      </c>
      <c r="R1312" s="90" t="s">
        <v>3257</v>
      </c>
      <c r="S1312" s="6" t="s">
        <v>1796</v>
      </c>
      <c r="T1312" s="4" t="s">
        <v>81</v>
      </c>
      <c r="U1312" s="4" t="s">
        <v>107</v>
      </c>
      <c r="V1312" s="4">
        <v>99</v>
      </c>
      <c r="W1312" s="85">
        <v>45895</v>
      </c>
      <c r="X1312" s="4" t="s">
        <v>3694</v>
      </c>
      <c r="Y1312" s="4">
        <v>544792913</v>
      </c>
      <c r="Z1312" s="4" t="s">
        <v>2266</v>
      </c>
      <c r="AA1312" s="4" t="s">
        <v>85</v>
      </c>
      <c r="AB1312" s="4" t="s">
        <v>4289</v>
      </c>
    </row>
    <row r="1313" spans="1:28">
      <c r="A1313" s="4">
        <v>1312</v>
      </c>
      <c r="B1313" s="106">
        <v>13097354</v>
      </c>
      <c r="C1313" s="5">
        <v>203875185</v>
      </c>
      <c r="D1313" s="115" t="s">
        <v>1186</v>
      </c>
      <c r="E1313" s="4" t="s">
        <v>1187</v>
      </c>
      <c r="F1313" s="7" t="s">
        <v>82</v>
      </c>
      <c r="G1313" s="7" t="s">
        <v>76</v>
      </c>
      <c r="H1313" s="7" t="s">
        <v>88</v>
      </c>
      <c r="I1313" s="6" t="s">
        <v>1788</v>
      </c>
      <c r="J1313" s="7" t="s">
        <v>7</v>
      </c>
      <c r="K1313" s="4" t="s">
        <v>594</v>
      </c>
      <c r="L1313" s="4" t="s">
        <v>24</v>
      </c>
      <c r="M1313" s="4" t="s">
        <v>4315</v>
      </c>
      <c r="N1313" s="4" t="s">
        <v>2584</v>
      </c>
      <c r="O1313" s="89"/>
      <c r="P1313" s="25">
        <v>45530</v>
      </c>
      <c r="Q1313" s="7" t="s">
        <v>7</v>
      </c>
      <c r="R1313" s="90" t="s">
        <v>3256</v>
      </c>
      <c r="S1313" s="6" t="s">
        <v>1796</v>
      </c>
      <c r="T1313" s="4" t="s">
        <v>92</v>
      </c>
      <c r="U1313" s="4" t="s">
        <v>107</v>
      </c>
      <c r="V1313" s="4">
        <v>99</v>
      </c>
      <c r="W1313" s="85">
        <v>45895</v>
      </c>
      <c r="X1313" s="4" t="s">
        <v>3694</v>
      </c>
      <c r="Y1313" s="4">
        <v>586816307</v>
      </c>
      <c r="Z1313" s="4" t="s">
        <v>2267</v>
      </c>
      <c r="AA1313" s="4" t="s">
        <v>85</v>
      </c>
      <c r="AB1313" s="4" t="s">
        <v>4289</v>
      </c>
    </row>
    <row r="1314" spans="1:28">
      <c r="A1314" s="4">
        <v>1313</v>
      </c>
      <c r="B1314" s="106">
        <v>13398390</v>
      </c>
      <c r="C1314" s="5">
        <v>203875186</v>
      </c>
      <c r="D1314" s="115" t="s">
        <v>1188</v>
      </c>
      <c r="E1314" s="4" t="s">
        <v>1189</v>
      </c>
      <c r="F1314" s="7" t="s">
        <v>82</v>
      </c>
      <c r="G1314" s="7" t="s">
        <v>88</v>
      </c>
      <c r="H1314" s="7" t="s">
        <v>94</v>
      </c>
      <c r="I1314" s="6" t="s">
        <v>1788</v>
      </c>
      <c r="J1314" s="7" t="s">
        <v>7</v>
      </c>
      <c r="K1314" s="4" t="s">
        <v>594</v>
      </c>
      <c r="L1314" s="4" t="s">
        <v>24</v>
      </c>
      <c r="M1314" s="4" t="s">
        <v>4315</v>
      </c>
      <c r="N1314" s="4" t="s">
        <v>2584</v>
      </c>
      <c r="O1314" s="89"/>
      <c r="P1314" s="25">
        <v>45528</v>
      </c>
      <c r="Q1314" s="7" t="s">
        <v>7</v>
      </c>
      <c r="R1314" s="90" t="s">
        <v>3264</v>
      </c>
      <c r="S1314" s="104" t="s">
        <v>1796</v>
      </c>
      <c r="T1314" s="4" t="s">
        <v>92</v>
      </c>
      <c r="U1314" s="4" t="s">
        <v>349</v>
      </c>
      <c r="V1314" s="4">
        <v>99</v>
      </c>
      <c r="W1314" s="85">
        <v>45895</v>
      </c>
      <c r="X1314" s="4" t="s">
        <v>3703</v>
      </c>
      <c r="Y1314" s="4">
        <v>588291168</v>
      </c>
      <c r="Z1314" s="4" t="s">
        <v>2268</v>
      </c>
      <c r="AA1314" s="4" t="s">
        <v>1198</v>
      </c>
      <c r="AB1314" s="4" t="s">
        <v>4289</v>
      </c>
    </row>
    <row r="1315" spans="1:28">
      <c r="A1315" s="4">
        <v>1314</v>
      </c>
      <c r="B1315" s="106">
        <v>15370302</v>
      </c>
      <c r="C1315" s="5">
        <v>206926977</v>
      </c>
      <c r="D1315" s="115" t="s">
        <v>3919</v>
      </c>
      <c r="E1315" s="115" t="s">
        <v>3920</v>
      </c>
      <c r="F1315" s="7" t="s">
        <v>82</v>
      </c>
      <c r="G1315" s="7" t="s">
        <v>76</v>
      </c>
      <c r="H1315" s="7" t="s">
        <v>88</v>
      </c>
      <c r="I1315" s="7" t="s">
        <v>1789</v>
      </c>
      <c r="J1315" s="7" t="s">
        <v>5</v>
      </c>
      <c r="K1315" s="7" t="s">
        <v>10</v>
      </c>
      <c r="L1315" s="7" t="s">
        <v>24</v>
      </c>
      <c r="M1315" s="7" t="s">
        <v>4361</v>
      </c>
      <c r="N1315" s="4" t="s">
        <v>2584</v>
      </c>
      <c r="O1315" s="89"/>
      <c r="P1315" s="25">
        <v>46247</v>
      </c>
      <c r="Q1315" s="7" t="s">
        <v>1192</v>
      </c>
      <c r="R1315" s="4" t="s">
        <v>3264</v>
      </c>
      <c r="S1315" s="104" t="s">
        <v>1796</v>
      </c>
      <c r="T1315" s="4" t="s">
        <v>92</v>
      </c>
      <c r="U1315" s="4" t="s">
        <v>349</v>
      </c>
      <c r="V1315" s="4">
        <v>99</v>
      </c>
      <c r="W1315" s="85"/>
      <c r="X1315" s="4"/>
      <c r="Y1315" s="4"/>
      <c r="Z1315" s="4"/>
      <c r="AA1315" s="4"/>
      <c r="AB1315" s="4"/>
    </row>
    <row r="1316" spans="1:28">
      <c r="A1316" s="4">
        <v>1315</v>
      </c>
      <c r="B1316" s="106">
        <v>15227763</v>
      </c>
      <c r="C1316" s="5">
        <v>206897639</v>
      </c>
      <c r="D1316" s="115" t="s">
        <v>3629</v>
      </c>
      <c r="E1316" s="115" t="s">
        <v>3650</v>
      </c>
      <c r="F1316" s="7" t="s">
        <v>82</v>
      </c>
      <c r="G1316" s="7" t="s">
        <v>89</v>
      </c>
      <c r="H1316" s="7" t="s">
        <v>90</v>
      </c>
      <c r="I1316" s="7" t="s">
        <v>1789</v>
      </c>
      <c r="J1316" s="7" t="s">
        <v>5</v>
      </c>
      <c r="K1316" s="7" t="s">
        <v>10</v>
      </c>
      <c r="L1316" s="7" t="s">
        <v>24</v>
      </c>
      <c r="M1316" s="7" t="s">
        <v>4314</v>
      </c>
      <c r="N1316" s="4" t="s">
        <v>2584</v>
      </c>
      <c r="O1316" s="89"/>
      <c r="P1316" s="25">
        <v>46247</v>
      </c>
      <c r="Q1316" s="7" t="s">
        <v>1192</v>
      </c>
      <c r="R1316" s="4" t="s">
        <v>3261</v>
      </c>
      <c r="S1316" s="104" t="s">
        <v>1796</v>
      </c>
      <c r="T1316" s="4" t="s">
        <v>92</v>
      </c>
      <c r="U1316" s="4" t="s">
        <v>349</v>
      </c>
      <c r="V1316" s="4">
        <v>99</v>
      </c>
      <c r="W1316" s="85"/>
      <c r="X1316" s="4"/>
      <c r="Y1316" s="4"/>
      <c r="Z1316" s="4"/>
      <c r="AA1316" s="4"/>
      <c r="AB1316" s="4"/>
    </row>
    <row r="1317" spans="1:28">
      <c r="A1317" s="4">
        <v>1316</v>
      </c>
      <c r="B1317" s="106">
        <v>15340869</v>
      </c>
      <c r="C1317" s="5">
        <v>206239217</v>
      </c>
      <c r="D1317" s="115" t="s">
        <v>3110</v>
      </c>
      <c r="E1317" s="115" t="s">
        <v>3056</v>
      </c>
      <c r="F1317" s="7" t="s">
        <v>82</v>
      </c>
      <c r="G1317" s="7" t="s">
        <v>87</v>
      </c>
      <c r="H1317" s="7" t="s">
        <v>75</v>
      </c>
      <c r="I1317" s="7" t="s">
        <v>1789</v>
      </c>
      <c r="J1317" s="7" t="s">
        <v>5</v>
      </c>
      <c r="K1317" s="7" t="s">
        <v>10</v>
      </c>
      <c r="L1317" s="7" t="s">
        <v>24</v>
      </c>
      <c r="M1317" s="7" t="s">
        <v>4361</v>
      </c>
      <c r="N1317" s="4" t="s">
        <v>2584</v>
      </c>
      <c r="O1317" s="89"/>
      <c r="P1317" s="25">
        <v>46247</v>
      </c>
      <c r="Q1317" s="7" t="s">
        <v>1192</v>
      </c>
      <c r="R1317" s="90" t="s">
        <v>3256</v>
      </c>
      <c r="S1317" s="104" t="s">
        <v>1796</v>
      </c>
      <c r="T1317" s="4" t="s">
        <v>81</v>
      </c>
      <c r="U1317" s="4" t="s">
        <v>349</v>
      </c>
      <c r="V1317" s="4">
        <v>99</v>
      </c>
      <c r="W1317" s="85"/>
      <c r="X1317" s="4"/>
      <c r="Y1317" s="4"/>
      <c r="Z1317" s="4"/>
      <c r="AA1317" s="4"/>
      <c r="AB1317" s="4"/>
    </row>
    <row r="1318" spans="1:28">
      <c r="A1318" s="4">
        <v>1317</v>
      </c>
      <c r="B1318" s="106">
        <v>14703402</v>
      </c>
      <c r="C1318" s="5">
        <v>206926985</v>
      </c>
      <c r="D1318" s="115" t="s">
        <v>3923</v>
      </c>
      <c r="E1318" s="115" t="s">
        <v>3924</v>
      </c>
      <c r="F1318" s="7" t="s">
        <v>82</v>
      </c>
      <c r="G1318" s="7" t="s">
        <v>75</v>
      </c>
      <c r="H1318" s="7" t="s">
        <v>76</v>
      </c>
      <c r="I1318" s="7" t="s">
        <v>1788</v>
      </c>
      <c r="J1318" s="7" t="s">
        <v>5</v>
      </c>
      <c r="K1318" s="7" t="s">
        <v>10</v>
      </c>
      <c r="L1318" s="7" t="s">
        <v>24</v>
      </c>
      <c r="M1318" s="7" t="s">
        <v>374</v>
      </c>
      <c r="N1318" s="4" t="s">
        <v>2584</v>
      </c>
      <c r="O1318" s="89"/>
      <c r="P1318" s="25">
        <v>46247</v>
      </c>
      <c r="Q1318" s="7" t="s">
        <v>1192</v>
      </c>
      <c r="R1318" s="90" t="s">
        <v>2586</v>
      </c>
      <c r="S1318" s="104" t="s">
        <v>1796</v>
      </c>
      <c r="T1318" s="4" t="s">
        <v>81</v>
      </c>
      <c r="U1318" s="4" t="s">
        <v>349</v>
      </c>
      <c r="V1318" s="4">
        <v>99</v>
      </c>
      <c r="W1318" s="85"/>
      <c r="X1318" s="4"/>
      <c r="Y1318" s="4"/>
      <c r="Z1318" s="4"/>
      <c r="AA1318" s="4"/>
      <c r="AB1318" s="4"/>
    </row>
    <row r="1319" spans="1:28">
      <c r="A1319" s="4">
        <v>1318</v>
      </c>
      <c r="B1319" s="106">
        <v>15320854</v>
      </c>
      <c r="C1319" s="5">
        <v>206868290</v>
      </c>
      <c r="D1319" s="115" t="s">
        <v>3354</v>
      </c>
      <c r="E1319" s="115" t="s">
        <v>3355</v>
      </c>
      <c r="F1319" s="7" t="s">
        <v>82</v>
      </c>
      <c r="G1319" s="7" t="s">
        <v>76</v>
      </c>
      <c r="H1319" s="7" t="s">
        <v>88</v>
      </c>
      <c r="I1319" s="7" t="s">
        <v>1789</v>
      </c>
      <c r="J1319" s="7" t="s">
        <v>5</v>
      </c>
      <c r="K1319" s="7" t="s">
        <v>10</v>
      </c>
      <c r="L1319" s="7" t="s">
        <v>24</v>
      </c>
      <c r="M1319" s="7" t="s">
        <v>390</v>
      </c>
      <c r="N1319" s="4" t="s">
        <v>2584</v>
      </c>
      <c r="O1319" s="89"/>
      <c r="P1319" s="25">
        <v>46247</v>
      </c>
      <c r="Q1319" s="7" t="s">
        <v>1192</v>
      </c>
      <c r="R1319" s="90" t="s">
        <v>2586</v>
      </c>
      <c r="S1319" s="104" t="s">
        <v>1796</v>
      </c>
      <c r="T1319" s="4" t="s">
        <v>81</v>
      </c>
      <c r="U1319" s="4" t="s">
        <v>349</v>
      </c>
      <c r="V1319" s="4">
        <v>99</v>
      </c>
      <c r="W1319" s="85"/>
      <c r="X1319" s="4"/>
      <c r="Y1319" s="4"/>
      <c r="Z1319" s="4"/>
      <c r="AA1319" s="4"/>
      <c r="AB1319" s="4"/>
    </row>
    <row r="1320" spans="1:28">
      <c r="A1320" s="4">
        <v>1319</v>
      </c>
      <c r="B1320" s="106">
        <v>14577555</v>
      </c>
      <c r="C1320" s="5">
        <v>206191963</v>
      </c>
      <c r="D1320" s="115" t="s">
        <v>3017</v>
      </c>
      <c r="E1320" s="115" t="s">
        <v>3018</v>
      </c>
      <c r="F1320" s="7" t="s">
        <v>82</v>
      </c>
      <c r="G1320" s="7" t="s">
        <v>88</v>
      </c>
      <c r="H1320" s="7" t="s">
        <v>94</v>
      </c>
      <c r="I1320" s="7" t="s">
        <v>1789</v>
      </c>
      <c r="J1320" s="7" t="s">
        <v>5</v>
      </c>
      <c r="K1320" s="7" t="s">
        <v>10</v>
      </c>
      <c r="L1320" s="7" t="s">
        <v>23</v>
      </c>
      <c r="M1320" s="7" t="s">
        <v>4361</v>
      </c>
      <c r="N1320" s="4" t="s">
        <v>2584</v>
      </c>
      <c r="O1320" s="89"/>
      <c r="P1320" s="25">
        <v>46247</v>
      </c>
      <c r="Q1320" s="7" t="s">
        <v>1113</v>
      </c>
      <c r="R1320" s="4" t="s">
        <v>3255</v>
      </c>
      <c r="S1320" s="104" t="s">
        <v>1796</v>
      </c>
      <c r="T1320" s="4" t="s">
        <v>92</v>
      </c>
      <c r="U1320" s="4" t="s">
        <v>349</v>
      </c>
      <c r="V1320" s="4">
        <v>99</v>
      </c>
      <c r="W1320" s="85"/>
      <c r="X1320" s="4"/>
      <c r="Y1320" s="4"/>
      <c r="Z1320" s="4"/>
      <c r="AA1320" s="4"/>
      <c r="AB1320" s="4"/>
    </row>
    <row r="1321" spans="1:28">
      <c r="A1321" s="4">
        <v>1320</v>
      </c>
      <c r="B1321" s="106">
        <v>11880944</v>
      </c>
      <c r="C1321" s="5">
        <v>205275633</v>
      </c>
      <c r="D1321" s="115" t="s">
        <v>3882</v>
      </c>
      <c r="E1321" s="115" t="s">
        <v>3883</v>
      </c>
      <c r="F1321" s="7" t="s">
        <v>82</v>
      </c>
      <c r="G1321" s="7" t="s">
        <v>94</v>
      </c>
      <c r="H1321" s="7" t="s">
        <v>89</v>
      </c>
      <c r="I1321" s="7" t="s">
        <v>1789</v>
      </c>
      <c r="J1321" s="7" t="s">
        <v>5</v>
      </c>
      <c r="K1321" s="7" t="s">
        <v>10</v>
      </c>
      <c r="L1321" s="7" t="s">
        <v>23</v>
      </c>
      <c r="M1321" s="7" t="s">
        <v>374</v>
      </c>
      <c r="N1321" s="4" t="s">
        <v>2584</v>
      </c>
      <c r="O1321" s="89"/>
      <c r="P1321" s="25">
        <v>46247</v>
      </c>
      <c r="Q1321" s="7" t="s">
        <v>1113</v>
      </c>
      <c r="R1321" s="4" t="s">
        <v>3261</v>
      </c>
      <c r="S1321" s="104" t="s">
        <v>1796</v>
      </c>
      <c r="T1321" s="4" t="s">
        <v>92</v>
      </c>
      <c r="U1321" s="4" t="s">
        <v>349</v>
      </c>
      <c r="V1321" s="4">
        <v>99</v>
      </c>
      <c r="W1321" s="85"/>
      <c r="X1321" s="4"/>
      <c r="Y1321" s="4"/>
      <c r="Z1321" s="4"/>
      <c r="AA1321" s="4"/>
      <c r="AB1321" s="4"/>
    </row>
    <row r="1322" spans="1:28">
      <c r="A1322" s="4">
        <v>1321</v>
      </c>
      <c r="B1322" s="106">
        <v>13164488</v>
      </c>
      <c r="C1322" s="5">
        <v>206606700</v>
      </c>
      <c r="D1322" s="115" t="s">
        <v>4090</v>
      </c>
      <c r="E1322" s="115" t="s">
        <v>4115</v>
      </c>
      <c r="F1322" s="7" t="s">
        <v>82</v>
      </c>
      <c r="G1322" s="7" t="s">
        <v>89</v>
      </c>
      <c r="H1322" s="7" t="s">
        <v>90</v>
      </c>
      <c r="I1322" s="7" t="s">
        <v>1789</v>
      </c>
      <c r="J1322" s="7" t="s">
        <v>5</v>
      </c>
      <c r="K1322" s="7" t="s">
        <v>10</v>
      </c>
      <c r="L1322" s="7" t="s">
        <v>23</v>
      </c>
      <c r="M1322" s="7" t="s">
        <v>390</v>
      </c>
      <c r="N1322" s="4" t="s">
        <v>2584</v>
      </c>
      <c r="O1322" s="89"/>
      <c r="P1322" s="25">
        <v>46247</v>
      </c>
      <c r="Q1322" s="7" t="s">
        <v>1112</v>
      </c>
      <c r="R1322" s="90" t="s">
        <v>3256</v>
      </c>
      <c r="S1322" s="104" t="s">
        <v>1796</v>
      </c>
      <c r="T1322" s="4" t="s">
        <v>81</v>
      </c>
      <c r="U1322" s="4" t="s">
        <v>349</v>
      </c>
      <c r="V1322" s="4">
        <v>99</v>
      </c>
      <c r="W1322" s="85"/>
      <c r="X1322" s="4"/>
      <c r="Y1322" s="4"/>
      <c r="Z1322" s="4"/>
      <c r="AA1322" s="4"/>
      <c r="AB1322" s="4"/>
    </row>
    <row r="1323" spans="1:28">
      <c r="A1323" s="4">
        <v>1322</v>
      </c>
      <c r="B1323" s="106">
        <v>12424878</v>
      </c>
      <c r="C1323" s="5">
        <v>206128850</v>
      </c>
      <c r="D1323" s="115" t="s">
        <v>2935</v>
      </c>
      <c r="E1323" s="115" t="s">
        <v>2936</v>
      </c>
      <c r="F1323" s="7" t="s">
        <v>82</v>
      </c>
      <c r="G1323" s="7" t="s">
        <v>90</v>
      </c>
      <c r="H1323" s="7" t="s">
        <v>87</v>
      </c>
      <c r="I1323" s="7" t="s">
        <v>1789</v>
      </c>
      <c r="J1323" s="7" t="s">
        <v>5</v>
      </c>
      <c r="K1323" s="7" t="s">
        <v>10</v>
      </c>
      <c r="L1323" s="7" t="s">
        <v>23</v>
      </c>
      <c r="M1323" s="7" t="s">
        <v>3321</v>
      </c>
      <c r="N1323" s="4" t="s">
        <v>2584</v>
      </c>
      <c r="O1323" s="89"/>
      <c r="P1323" s="25">
        <v>46247</v>
      </c>
      <c r="Q1323" s="7" t="s">
        <v>1192</v>
      </c>
      <c r="R1323" s="4" t="s">
        <v>349</v>
      </c>
      <c r="S1323" s="104" t="s">
        <v>1796</v>
      </c>
      <c r="T1323" s="4" t="s">
        <v>92</v>
      </c>
      <c r="U1323" s="4" t="s">
        <v>349</v>
      </c>
      <c r="V1323" s="4">
        <v>99</v>
      </c>
      <c r="W1323" s="85"/>
      <c r="X1323" s="4"/>
      <c r="Y1323" s="4"/>
      <c r="Z1323" s="4"/>
      <c r="AA1323" s="4"/>
      <c r="AB1323" s="4"/>
    </row>
    <row r="1324" spans="1:28">
      <c r="A1324" s="4">
        <v>1323</v>
      </c>
      <c r="B1324" s="106">
        <v>13122148</v>
      </c>
      <c r="C1324" s="5">
        <v>205853572</v>
      </c>
      <c r="D1324" s="115" t="s">
        <v>2712</v>
      </c>
      <c r="E1324" s="115" t="s">
        <v>2713</v>
      </c>
      <c r="F1324" s="7" t="s">
        <v>82</v>
      </c>
      <c r="G1324" s="7" t="s">
        <v>87</v>
      </c>
      <c r="H1324" s="7" t="s">
        <v>75</v>
      </c>
      <c r="I1324" s="7" t="s">
        <v>1789</v>
      </c>
      <c r="J1324" s="7" t="s">
        <v>5</v>
      </c>
      <c r="K1324" s="7" t="s">
        <v>10</v>
      </c>
      <c r="L1324" s="7" t="s">
        <v>23</v>
      </c>
      <c r="M1324" s="7" t="s">
        <v>4314</v>
      </c>
      <c r="N1324" s="4" t="s">
        <v>2584</v>
      </c>
      <c r="O1324" s="89"/>
      <c r="P1324" s="25">
        <v>46247</v>
      </c>
      <c r="Q1324" s="7" t="s">
        <v>1112</v>
      </c>
      <c r="R1324" s="4" t="s">
        <v>349</v>
      </c>
      <c r="S1324" s="104" t="s">
        <v>1796</v>
      </c>
      <c r="T1324" s="4" t="s">
        <v>92</v>
      </c>
      <c r="U1324" s="4" t="s">
        <v>349</v>
      </c>
      <c r="V1324" s="4">
        <v>99</v>
      </c>
      <c r="W1324" s="85"/>
      <c r="X1324" s="4"/>
      <c r="Y1324" s="4"/>
      <c r="Z1324" s="4"/>
      <c r="AA1324" s="4"/>
      <c r="AB1324" s="4"/>
    </row>
    <row r="1325" spans="1:28">
      <c r="A1325" s="4">
        <v>1324</v>
      </c>
      <c r="B1325" s="106">
        <v>11227502</v>
      </c>
      <c r="C1325" s="5">
        <v>205271087</v>
      </c>
      <c r="D1325" s="115" t="s">
        <v>4087</v>
      </c>
      <c r="E1325" s="115" t="s">
        <v>4112</v>
      </c>
      <c r="F1325" s="7" t="s">
        <v>82</v>
      </c>
      <c r="G1325" s="7" t="s">
        <v>75</v>
      </c>
      <c r="H1325" s="7" t="s">
        <v>76</v>
      </c>
      <c r="I1325" s="7" t="s">
        <v>1789</v>
      </c>
      <c r="J1325" s="7" t="s">
        <v>5</v>
      </c>
      <c r="K1325" s="7" t="s">
        <v>10</v>
      </c>
      <c r="L1325" s="7" t="s">
        <v>23</v>
      </c>
      <c r="M1325" s="7" t="s">
        <v>374</v>
      </c>
      <c r="N1325" s="4" t="s">
        <v>2584</v>
      </c>
      <c r="O1325" s="89"/>
      <c r="P1325" s="25">
        <v>46247</v>
      </c>
      <c r="Q1325" s="7" t="s">
        <v>1112</v>
      </c>
      <c r="R1325" s="7" t="s">
        <v>3257</v>
      </c>
      <c r="S1325" s="104" t="s">
        <v>1796</v>
      </c>
      <c r="T1325" s="4" t="s">
        <v>81</v>
      </c>
      <c r="U1325" s="4" t="s">
        <v>349</v>
      </c>
      <c r="V1325" s="4">
        <v>99</v>
      </c>
      <c r="W1325" s="85"/>
      <c r="X1325" s="4"/>
      <c r="Y1325" s="4"/>
      <c r="Z1325" s="4"/>
      <c r="AA1325" s="4"/>
      <c r="AB1325" s="4"/>
    </row>
    <row r="1326" spans="1:28">
      <c r="A1326" s="4">
        <v>1325</v>
      </c>
      <c r="B1326" s="106">
        <v>13453893</v>
      </c>
      <c r="C1326" s="5">
        <v>206890214</v>
      </c>
      <c r="D1326" s="115" t="s">
        <v>3609</v>
      </c>
      <c r="E1326" s="115" t="s">
        <v>3547</v>
      </c>
      <c r="F1326" s="7" t="s">
        <v>82</v>
      </c>
      <c r="G1326" s="7" t="s">
        <v>88</v>
      </c>
      <c r="H1326" s="7" t="s">
        <v>94</v>
      </c>
      <c r="I1326" s="7" t="s">
        <v>1789</v>
      </c>
      <c r="J1326" s="7" t="s">
        <v>5</v>
      </c>
      <c r="K1326" s="7" t="s">
        <v>10</v>
      </c>
      <c r="L1326" s="7" t="s">
        <v>23</v>
      </c>
      <c r="M1326" s="7" t="s">
        <v>3321</v>
      </c>
      <c r="N1326" s="4" t="s">
        <v>2584</v>
      </c>
      <c r="O1326" s="89"/>
      <c r="P1326" s="25">
        <v>46247</v>
      </c>
      <c r="Q1326" s="7" t="s">
        <v>1112</v>
      </c>
      <c r="R1326" s="4" t="s">
        <v>3260</v>
      </c>
      <c r="S1326" s="104" t="s">
        <v>1796</v>
      </c>
      <c r="T1326" s="4" t="s">
        <v>92</v>
      </c>
      <c r="U1326" s="4" t="s">
        <v>349</v>
      </c>
      <c r="V1326" s="4">
        <v>99</v>
      </c>
      <c r="W1326" s="85"/>
      <c r="X1326" s="4"/>
      <c r="Y1326" s="4"/>
      <c r="Z1326" s="4"/>
      <c r="AA1326" s="4"/>
      <c r="AB1326" s="4"/>
    </row>
    <row r="1327" spans="1:28">
      <c r="A1327" s="4">
        <v>1326</v>
      </c>
      <c r="B1327" s="106">
        <v>13487714</v>
      </c>
      <c r="C1327" s="5">
        <v>206192238</v>
      </c>
      <c r="D1327" s="115" t="s">
        <v>3019</v>
      </c>
      <c r="E1327" s="115" t="s">
        <v>3020</v>
      </c>
      <c r="F1327" s="7" t="s">
        <v>82</v>
      </c>
      <c r="G1327" s="7" t="s">
        <v>88</v>
      </c>
      <c r="H1327" s="7" t="s">
        <v>94</v>
      </c>
      <c r="I1327" s="7" t="s">
        <v>1789</v>
      </c>
      <c r="J1327" s="7" t="s">
        <v>5</v>
      </c>
      <c r="K1327" s="7" t="s">
        <v>10</v>
      </c>
      <c r="L1327" s="7" t="s">
        <v>23</v>
      </c>
      <c r="M1327" s="7" t="s">
        <v>4361</v>
      </c>
      <c r="N1327" s="4" t="s">
        <v>2584</v>
      </c>
      <c r="O1327" s="89"/>
      <c r="P1327" s="25">
        <v>46247</v>
      </c>
      <c r="Q1327" s="7" t="s">
        <v>1113</v>
      </c>
      <c r="R1327" s="90" t="s">
        <v>3256</v>
      </c>
      <c r="S1327" s="104" t="s">
        <v>1796</v>
      </c>
      <c r="T1327" s="4" t="s">
        <v>92</v>
      </c>
      <c r="U1327" s="4" t="s">
        <v>349</v>
      </c>
      <c r="V1327" s="4">
        <v>99</v>
      </c>
      <c r="W1327" s="85"/>
      <c r="X1327" s="4"/>
      <c r="Y1327" s="4"/>
      <c r="Z1327" s="4"/>
      <c r="AA1327" s="4"/>
      <c r="AB1327" s="4"/>
    </row>
    <row r="1328" spans="1:28">
      <c r="A1328" s="4">
        <v>1327</v>
      </c>
      <c r="B1328" s="106">
        <v>13829698</v>
      </c>
      <c r="C1328" s="5">
        <v>205853574</v>
      </c>
      <c r="D1328" s="115" t="s">
        <v>2710</v>
      </c>
      <c r="E1328" s="115" t="s">
        <v>2711</v>
      </c>
      <c r="F1328" s="7" t="s">
        <v>82</v>
      </c>
      <c r="G1328" s="7" t="s">
        <v>94</v>
      </c>
      <c r="H1328" s="7" t="s">
        <v>89</v>
      </c>
      <c r="I1328" s="7" t="s">
        <v>1788</v>
      </c>
      <c r="J1328" s="7" t="s">
        <v>5</v>
      </c>
      <c r="K1328" s="7" t="s">
        <v>10</v>
      </c>
      <c r="L1328" s="7" t="s">
        <v>23</v>
      </c>
      <c r="M1328" s="7" t="s">
        <v>4314</v>
      </c>
      <c r="N1328" s="4" t="s">
        <v>2584</v>
      </c>
      <c r="O1328" s="133"/>
      <c r="P1328" s="25">
        <v>46247</v>
      </c>
      <c r="Q1328" s="7" t="s">
        <v>1112</v>
      </c>
      <c r="R1328" s="4" t="s">
        <v>349</v>
      </c>
      <c r="S1328" s="104" t="s">
        <v>1796</v>
      </c>
      <c r="T1328" s="4" t="s">
        <v>92</v>
      </c>
      <c r="U1328" s="4" t="s">
        <v>349</v>
      </c>
      <c r="V1328" s="4">
        <v>99</v>
      </c>
      <c r="W1328" s="85"/>
      <c r="X1328" s="4"/>
      <c r="Y1328" s="4"/>
      <c r="Z1328" s="4"/>
      <c r="AA1328" s="4"/>
      <c r="AB1328" s="4"/>
    </row>
    <row r="1329" spans="1:28">
      <c r="A1329" s="4">
        <v>1328</v>
      </c>
      <c r="B1329" s="4">
        <v>12569383</v>
      </c>
      <c r="C1329" s="4">
        <v>205281151</v>
      </c>
      <c r="D1329" s="115" t="s">
        <v>4080</v>
      </c>
      <c r="E1329" s="4" t="s">
        <v>4106</v>
      </c>
      <c r="F1329" s="7" t="s">
        <v>82</v>
      </c>
      <c r="G1329" s="7" t="s">
        <v>89</v>
      </c>
      <c r="H1329" s="7" t="s">
        <v>90</v>
      </c>
      <c r="I1329" s="4" t="s">
        <v>1789</v>
      </c>
      <c r="J1329" s="4" t="s">
        <v>5</v>
      </c>
      <c r="K1329" s="4" t="s">
        <v>10</v>
      </c>
      <c r="L1329" s="4" t="s">
        <v>23</v>
      </c>
      <c r="M1329" s="4" t="s">
        <v>374</v>
      </c>
      <c r="N1329" s="4"/>
      <c r="O1329" s="133"/>
      <c r="P1329" s="25">
        <v>46252</v>
      </c>
      <c r="Q1329" s="7" t="s">
        <v>1112</v>
      </c>
      <c r="R1329" s="7" t="s">
        <v>3257</v>
      </c>
      <c r="S1329" s="104" t="s">
        <v>1796</v>
      </c>
      <c r="T1329" s="4" t="s">
        <v>81</v>
      </c>
      <c r="U1329" s="4" t="s">
        <v>349</v>
      </c>
      <c r="V1329" s="4">
        <v>99</v>
      </c>
      <c r="W1329" s="85"/>
      <c r="X1329" s="4"/>
      <c r="Y1329" s="4"/>
      <c r="Z1329" s="4"/>
      <c r="AA1329" s="4"/>
      <c r="AB1329" s="4"/>
    </row>
    <row r="1330" spans="1:28">
      <c r="A1330" s="4">
        <v>1329</v>
      </c>
      <c r="B1330" s="4">
        <v>13446194</v>
      </c>
      <c r="C1330" s="4">
        <v>206897551</v>
      </c>
      <c r="D1330" s="115" t="s">
        <v>3635</v>
      </c>
      <c r="E1330" s="4" t="s">
        <v>3655</v>
      </c>
      <c r="F1330" s="7" t="s">
        <v>82</v>
      </c>
      <c r="G1330" s="7" t="s">
        <v>90</v>
      </c>
      <c r="H1330" s="7" t="s">
        <v>87</v>
      </c>
      <c r="I1330" s="7" t="s">
        <v>1788</v>
      </c>
      <c r="J1330" s="4" t="s">
        <v>5</v>
      </c>
      <c r="K1330" s="4" t="s">
        <v>10</v>
      </c>
      <c r="L1330" s="4" t="s">
        <v>24</v>
      </c>
      <c r="M1330" s="4" t="s">
        <v>390</v>
      </c>
      <c r="N1330" s="4"/>
      <c r="O1330" s="133"/>
      <c r="P1330" s="25">
        <v>46252</v>
      </c>
      <c r="Q1330" s="7" t="s">
        <v>1113</v>
      </c>
      <c r="R1330" s="4" t="s">
        <v>3252</v>
      </c>
      <c r="S1330" s="104" t="s">
        <v>1796</v>
      </c>
      <c r="T1330" s="4" t="s">
        <v>81</v>
      </c>
      <c r="U1330" s="4" t="s">
        <v>349</v>
      </c>
      <c r="V1330" s="4">
        <v>99</v>
      </c>
      <c r="W1330" s="85"/>
      <c r="X1330" s="4"/>
      <c r="Y1330" s="4"/>
      <c r="Z1330" s="4"/>
      <c r="AA1330" s="4"/>
      <c r="AB1330" s="4"/>
    </row>
    <row r="1331" spans="1:28">
      <c r="A1331" s="4">
        <v>1330</v>
      </c>
      <c r="B1331" s="4">
        <v>13737864</v>
      </c>
      <c r="C1331" s="4">
        <v>205276302</v>
      </c>
      <c r="D1331" s="115" t="s">
        <v>4088</v>
      </c>
      <c r="E1331" s="4" t="s">
        <v>4113</v>
      </c>
      <c r="F1331" s="7" t="s">
        <v>82</v>
      </c>
      <c r="G1331" s="7" t="s">
        <v>87</v>
      </c>
      <c r="H1331" s="7" t="s">
        <v>75</v>
      </c>
      <c r="I1331" s="4" t="s">
        <v>1789</v>
      </c>
      <c r="J1331" s="4" t="s">
        <v>5</v>
      </c>
      <c r="K1331" s="4" t="s">
        <v>10</v>
      </c>
      <c r="L1331" s="4" t="s">
        <v>23</v>
      </c>
      <c r="M1331" s="4" t="s">
        <v>374</v>
      </c>
      <c r="N1331" s="4"/>
      <c r="O1331" s="133"/>
      <c r="P1331" s="25">
        <v>46252</v>
      </c>
      <c r="Q1331" s="7" t="s">
        <v>1112</v>
      </c>
      <c r="R1331" s="90" t="s">
        <v>3254</v>
      </c>
      <c r="S1331" s="104" t="s">
        <v>1796</v>
      </c>
      <c r="T1331" s="4" t="s">
        <v>81</v>
      </c>
      <c r="U1331" s="4" t="s">
        <v>349</v>
      </c>
      <c r="V1331" s="4">
        <v>99</v>
      </c>
      <c r="W1331" s="85"/>
      <c r="X1331" s="4"/>
      <c r="Y1331" s="4"/>
      <c r="Z1331" s="4"/>
      <c r="AA1331" s="4"/>
      <c r="AB1331" s="4"/>
    </row>
    <row r="1332" spans="1:28">
      <c r="A1332" s="4">
        <v>1331</v>
      </c>
      <c r="B1332" s="4">
        <v>12631953</v>
      </c>
      <c r="C1332" s="4">
        <v>206897556</v>
      </c>
      <c r="D1332" s="115" t="s">
        <v>3628</v>
      </c>
      <c r="E1332" s="4" t="s">
        <v>3649</v>
      </c>
      <c r="F1332" s="7" t="s">
        <v>82</v>
      </c>
      <c r="G1332" s="7" t="s">
        <v>94</v>
      </c>
      <c r="H1332" s="7" t="s">
        <v>89</v>
      </c>
      <c r="I1332" s="7" t="s">
        <v>1788</v>
      </c>
      <c r="J1332" s="4" t="s">
        <v>5</v>
      </c>
      <c r="K1332" s="4" t="s">
        <v>10</v>
      </c>
      <c r="L1332" s="4" t="s">
        <v>24</v>
      </c>
      <c r="M1332" s="4" t="s">
        <v>390</v>
      </c>
      <c r="N1332" s="4"/>
      <c r="O1332" s="133"/>
      <c r="P1332" s="25">
        <v>46252</v>
      </c>
      <c r="Q1332" s="7" t="s">
        <v>1112</v>
      </c>
      <c r="R1332" s="4" t="s">
        <v>3260</v>
      </c>
      <c r="S1332" s="104" t="s">
        <v>1796</v>
      </c>
      <c r="T1332" s="4" t="s">
        <v>81</v>
      </c>
      <c r="U1332" s="4" t="s">
        <v>349</v>
      </c>
      <c r="V1332" s="4">
        <v>99</v>
      </c>
      <c r="W1332" s="85"/>
      <c r="X1332" s="4"/>
      <c r="Y1332" s="4"/>
      <c r="Z1332" s="4"/>
      <c r="AA1332" s="4"/>
      <c r="AB1332" s="4"/>
    </row>
    <row r="1333" spans="1:28">
      <c r="A1333" s="4">
        <v>1332</v>
      </c>
      <c r="B1333" s="4">
        <v>13800260</v>
      </c>
      <c r="C1333" s="4">
        <v>206128580</v>
      </c>
      <c r="D1333" s="115" t="s">
        <v>2925</v>
      </c>
      <c r="E1333" s="4" t="s">
        <v>2926</v>
      </c>
      <c r="F1333" s="7" t="s">
        <v>82</v>
      </c>
      <c r="G1333" s="7" t="s">
        <v>89</v>
      </c>
      <c r="H1333" s="7" t="s">
        <v>90</v>
      </c>
      <c r="I1333" s="4" t="s">
        <v>1789</v>
      </c>
      <c r="J1333" s="4" t="s">
        <v>5</v>
      </c>
      <c r="K1333" s="4" t="s">
        <v>10</v>
      </c>
      <c r="L1333" s="4" t="s">
        <v>23</v>
      </c>
      <c r="M1333" s="4" t="s">
        <v>374</v>
      </c>
      <c r="N1333" s="4"/>
      <c r="O1333" s="133"/>
      <c r="P1333" s="25">
        <v>46252</v>
      </c>
      <c r="Q1333" s="7" t="s">
        <v>1192</v>
      </c>
      <c r="R1333" s="4" t="s">
        <v>349</v>
      </c>
      <c r="S1333" s="104" t="s">
        <v>1796</v>
      </c>
      <c r="T1333" s="4" t="s">
        <v>92</v>
      </c>
      <c r="U1333" s="4" t="s">
        <v>349</v>
      </c>
      <c r="V1333" s="4">
        <v>99</v>
      </c>
      <c r="W1333" s="85"/>
      <c r="X1333" s="4"/>
      <c r="Y1333" s="4"/>
      <c r="Z1333" s="4"/>
      <c r="AA1333" s="4"/>
      <c r="AB1333" s="4"/>
    </row>
    <row r="1334" spans="1:28">
      <c r="A1334" s="4">
        <v>1333</v>
      </c>
      <c r="B1334" s="4">
        <v>14332890</v>
      </c>
      <c r="C1334" s="4">
        <v>205854276</v>
      </c>
      <c r="D1334" s="115" t="s">
        <v>2685</v>
      </c>
      <c r="E1334" s="4" t="s">
        <v>2686</v>
      </c>
      <c r="F1334" s="7" t="s">
        <v>82</v>
      </c>
      <c r="G1334" s="7" t="s">
        <v>90</v>
      </c>
      <c r="H1334" s="7" t="s">
        <v>87</v>
      </c>
      <c r="I1334" s="4" t="s">
        <v>1789</v>
      </c>
      <c r="J1334" s="4" t="s">
        <v>5</v>
      </c>
      <c r="K1334" s="4" t="s">
        <v>10</v>
      </c>
      <c r="L1334" s="4" t="s">
        <v>23</v>
      </c>
      <c r="M1334" s="4" t="s">
        <v>374</v>
      </c>
      <c r="N1334" s="4"/>
      <c r="O1334" s="133"/>
      <c r="P1334" s="25">
        <v>46252</v>
      </c>
      <c r="Q1334" s="7" t="s">
        <v>1112</v>
      </c>
      <c r="R1334" s="4" t="s">
        <v>349</v>
      </c>
      <c r="S1334" s="104" t="s">
        <v>1796</v>
      </c>
      <c r="T1334" s="4" t="s">
        <v>92</v>
      </c>
      <c r="U1334" s="4" t="s">
        <v>349</v>
      </c>
      <c r="V1334" s="4">
        <v>99</v>
      </c>
      <c r="W1334" s="85"/>
      <c r="X1334" s="4"/>
      <c r="Y1334" s="4"/>
      <c r="Z1334" s="4"/>
      <c r="AA1334" s="4"/>
      <c r="AB1334" s="4"/>
    </row>
    <row r="1335" spans="1:28">
      <c r="A1335" s="4">
        <v>1334</v>
      </c>
      <c r="B1335" s="4">
        <v>14757317</v>
      </c>
      <c r="C1335" s="4">
        <v>206886517</v>
      </c>
      <c r="D1335" s="115" t="s">
        <v>3602</v>
      </c>
      <c r="E1335" s="4" t="s">
        <v>3539</v>
      </c>
      <c r="F1335" s="7" t="s">
        <v>82</v>
      </c>
      <c r="G1335" s="7" t="s">
        <v>87</v>
      </c>
      <c r="H1335" s="7" t="s">
        <v>75</v>
      </c>
      <c r="I1335" s="4" t="s">
        <v>1789</v>
      </c>
      <c r="J1335" s="4" t="s">
        <v>5</v>
      </c>
      <c r="K1335" s="4" t="s">
        <v>10</v>
      </c>
      <c r="L1335" s="4" t="s">
        <v>23</v>
      </c>
      <c r="M1335" s="4" t="s">
        <v>374</v>
      </c>
      <c r="N1335" s="4"/>
      <c r="O1335" s="133"/>
      <c r="P1335" s="25">
        <v>46252</v>
      </c>
      <c r="Q1335" s="7" t="s">
        <v>1112</v>
      </c>
      <c r="R1335" s="4" t="s">
        <v>3260</v>
      </c>
      <c r="S1335" s="104" t="s">
        <v>1796</v>
      </c>
      <c r="T1335" s="4" t="s">
        <v>81</v>
      </c>
      <c r="U1335" s="4" t="s">
        <v>349</v>
      </c>
      <c r="V1335" s="4">
        <v>99</v>
      </c>
      <c r="W1335" s="85"/>
      <c r="X1335" s="4"/>
      <c r="Y1335" s="4"/>
      <c r="Z1335" s="4"/>
      <c r="AA1335" s="4"/>
      <c r="AB1335" s="4"/>
    </row>
    <row r="1336" spans="1:28">
      <c r="A1336" s="4">
        <v>1335</v>
      </c>
      <c r="B1336" s="4">
        <v>13137181</v>
      </c>
      <c r="C1336" s="4">
        <v>205271074</v>
      </c>
      <c r="D1336" s="115" t="s">
        <v>4086</v>
      </c>
      <c r="E1336" s="4" t="s">
        <v>4111</v>
      </c>
      <c r="F1336" s="7" t="s">
        <v>82</v>
      </c>
      <c r="G1336" s="7" t="s">
        <v>75</v>
      </c>
      <c r="H1336" s="7" t="s">
        <v>76</v>
      </c>
      <c r="I1336" s="4" t="s">
        <v>1789</v>
      </c>
      <c r="J1336" s="4" t="s">
        <v>5</v>
      </c>
      <c r="K1336" s="4" t="s">
        <v>10</v>
      </c>
      <c r="L1336" s="4" t="s">
        <v>23</v>
      </c>
      <c r="M1336" s="4" t="s">
        <v>374</v>
      </c>
      <c r="N1336" s="4"/>
      <c r="O1336" s="133"/>
      <c r="P1336" s="25">
        <v>46252</v>
      </c>
      <c r="Q1336" s="7" t="s">
        <v>1112</v>
      </c>
      <c r="R1336" s="4" t="s">
        <v>3258</v>
      </c>
      <c r="S1336" s="104" t="s">
        <v>1796</v>
      </c>
      <c r="T1336" s="4" t="s">
        <v>81</v>
      </c>
      <c r="U1336" s="4" t="s">
        <v>349</v>
      </c>
      <c r="V1336" s="4">
        <v>99</v>
      </c>
      <c r="W1336" s="85"/>
      <c r="X1336" s="4"/>
      <c r="Y1336" s="4"/>
      <c r="Z1336" s="4"/>
      <c r="AA1336" s="4"/>
      <c r="AB1336" s="4"/>
    </row>
    <row r="1337" spans="1:28">
      <c r="A1337" s="4">
        <v>1336</v>
      </c>
      <c r="B1337" s="4">
        <v>12047468</v>
      </c>
      <c r="C1337" s="4">
        <v>205852634</v>
      </c>
      <c r="D1337" s="115" t="s">
        <v>2691</v>
      </c>
      <c r="E1337" s="4" t="s">
        <v>2692</v>
      </c>
      <c r="F1337" s="7" t="s">
        <v>82</v>
      </c>
      <c r="G1337" s="7" t="s">
        <v>76</v>
      </c>
      <c r="H1337" s="7" t="s">
        <v>88</v>
      </c>
      <c r="I1337" s="7" t="s">
        <v>1788</v>
      </c>
      <c r="J1337" s="4" t="s">
        <v>5</v>
      </c>
      <c r="K1337" s="4" t="s">
        <v>10</v>
      </c>
      <c r="L1337" s="4" t="s">
        <v>23</v>
      </c>
      <c r="M1337" s="4" t="s">
        <v>374</v>
      </c>
      <c r="N1337" s="4"/>
      <c r="O1337" s="133"/>
      <c r="P1337" s="25">
        <v>46252</v>
      </c>
      <c r="Q1337" s="7" t="s">
        <v>1112</v>
      </c>
      <c r="R1337" s="4" t="s">
        <v>349</v>
      </c>
      <c r="S1337" s="104" t="s">
        <v>1796</v>
      </c>
      <c r="T1337" s="4" t="s">
        <v>92</v>
      </c>
      <c r="U1337" s="4" t="s">
        <v>349</v>
      </c>
      <c r="V1337" s="4">
        <v>99</v>
      </c>
      <c r="W1337" s="85"/>
      <c r="X1337" s="4"/>
      <c r="Y1337" s="4"/>
      <c r="Z1337" s="4"/>
      <c r="AA1337" s="4"/>
      <c r="AB1337" s="4"/>
    </row>
    <row r="1338" spans="1:28">
      <c r="A1338" s="4">
        <v>1337</v>
      </c>
      <c r="B1338" s="4">
        <v>11233896</v>
      </c>
      <c r="C1338" s="4">
        <v>205127248</v>
      </c>
      <c r="D1338" s="115" t="s">
        <v>4092</v>
      </c>
      <c r="E1338" s="4" t="s">
        <v>4117</v>
      </c>
      <c r="F1338" s="7" t="s">
        <v>82</v>
      </c>
      <c r="G1338" s="7" t="s">
        <v>88</v>
      </c>
      <c r="H1338" s="7" t="s">
        <v>94</v>
      </c>
      <c r="I1338" s="4" t="s">
        <v>1789</v>
      </c>
      <c r="J1338" s="4" t="s">
        <v>5</v>
      </c>
      <c r="K1338" s="4" t="s">
        <v>10</v>
      </c>
      <c r="L1338" s="4" t="s">
        <v>23</v>
      </c>
      <c r="M1338" s="4" t="s">
        <v>374</v>
      </c>
      <c r="N1338" s="4"/>
      <c r="O1338" s="133"/>
      <c r="P1338" s="25">
        <v>46252</v>
      </c>
      <c r="Q1338" s="7" t="s">
        <v>1112</v>
      </c>
      <c r="R1338" s="90" t="s">
        <v>2586</v>
      </c>
      <c r="S1338" s="104" t="s">
        <v>1796</v>
      </c>
      <c r="T1338" s="4" t="s">
        <v>81</v>
      </c>
      <c r="U1338" s="4" t="s">
        <v>349</v>
      </c>
      <c r="V1338" s="4">
        <v>99</v>
      </c>
      <c r="W1338" s="85"/>
      <c r="X1338" s="4"/>
      <c r="Y1338" s="4"/>
      <c r="Z1338" s="4"/>
      <c r="AA1338" s="4"/>
      <c r="AB1338" s="4"/>
    </row>
    <row r="1339" spans="1:28">
      <c r="A1339" s="4">
        <v>1338</v>
      </c>
      <c r="B1339" s="4">
        <v>14625077</v>
      </c>
      <c r="C1339" s="4">
        <v>206138681</v>
      </c>
      <c r="D1339" s="115" t="s">
        <v>2962</v>
      </c>
      <c r="E1339" s="4" t="s">
        <v>2963</v>
      </c>
      <c r="F1339" s="7" t="s">
        <v>82</v>
      </c>
      <c r="G1339" s="7" t="s">
        <v>94</v>
      </c>
      <c r="H1339" s="7" t="s">
        <v>89</v>
      </c>
      <c r="I1339" s="7" t="s">
        <v>1788</v>
      </c>
      <c r="J1339" s="4" t="s">
        <v>5</v>
      </c>
      <c r="K1339" s="4" t="s">
        <v>10</v>
      </c>
      <c r="L1339" s="4" t="s">
        <v>24</v>
      </c>
      <c r="M1339" s="4" t="s">
        <v>390</v>
      </c>
      <c r="N1339" s="4"/>
      <c r="O1339" s="133"/>
      <c r="P1339" s="25">
        <v>46252</v>
      </c>
      <c r="Q1339" s="7" t="s">
        <v>1112</v>
      </c>
      <c r="R1339" s="4" t="s">
        <v>349</v>
      </c>
      <c r="S1339" s="104" t="s">
        <v>1796</v>
      </c>
      <c r="T1339" s="4" t="s">
        <v>81</v>
      </c>
      <c r="U1339" s="4" t="s">
        <v>349</v>
      </c>
      <c r="V1339" s="4">
        <v>99</v>
      </c>
      <c r="W1339" s="85"/>
      <c r="X1339" s="4"/>
      <c r="Y1339" s="4"/>
      <c r="Z1339" s="4"/>
      <c r="AA1339" s="4"/>
      <c r="AB1339" s="4"/>
    </row>
    <row r="1340" spans="1:28">
      <c r="A1340" s="4">
        <v>1339</v>
      </c>
      <c r="B1340" s="4">
        <v>15195048</v>
      </c>
      <c r="C1340" s="4">
        <v>205252530</v>
      </c>
      <c r="D1340" s="115" t="s">
        <v>4166</v>
      </c>
      <c r="E1340" s="4" t="s">
        <v>4167</v>
      </c>
      <c r="F1340" s="7" t="s">
        <v>82</v>
      </c>
      <c r="G1340" s="7" t="s">
        <v>90</v>
      </c>
      <c r="H1340" s="7" t="s">
        <v>87</v>
      </c>
      <c r="I1340" s="4" t="s">
        <v>1789</v>
      </c>
      <c r="J1340" s="4" t="s">
        <v>5</v>
      </c>
      <c r="K1340" s="4" t="s">
        <v>10</v>
      </c>
      <c r="L1340" s="4" t="s">
        <v>23</v>
      </c>
      <c r="M1340" s="4" t="s">
        <v>374</v>
      </c>
      <c r="N1340" s="4"/>
      <c r="O1340" s="133"/>
      <c r="P1340" s="25">
        <v>46252</v>
      </c>
      <c r="Q1340" s="7" t="s">
        <v>1112</v>
      </c>
      <c r="R1340" s="4" t="s">
        <v>3252</v>
      </c>
      <c r="S1340" s="104" t="s">
        <v>1796</v>
      </c>
      <c r="T1340" s="4" t="s">
        <v>81</v>
      </c>
      <c r="U1340" s="4" t="s">
        <v>349</v>
      </c>
      <c r="V1340" s="4">
        <v>99</v>
      </c>
      <c r="W1340" s="85"/>
      <c r="X1340" s="4"/>
      <c r="Y1340" s="4"/>
      <c r="Z1340" s="4"/>
      <c r="AA1340" s="4"/>
      <c r="AB1340" s="4"/>
    </row>
    <row r="1341" spans="1:28">
      <c r="A1341" s="4">
        <v>1340</v>
      </c>
      <c r="B1341" s="4">
        <v>12369880</v>
      </c>
      <c r="C1341" s="4">
        <v>205852637</v>
      </c>
      <c r="D1341" s="115" t="s">
        <v>2696</v>
      </c>
      <c r="E1341" s="4" t="s">
        <v>2697</v>
      </c>
      <c r="F1341" s="7" t="s">
        <v>82</v>
      </c>
      <c r="G1341" s="7" t="s">
        <v>87</v>
      </c>
      <c r="H1341" s="7" t="s">
        <v>75</v>
      </c>
      <c r="I1341" s="7" t="s">
        <v>1788</v>
      </c>
      <c r="J1341" s="4" t="s">
        <v>5</v>
      </c>
      <c r="K1341" s="4" t="s">
        <v>10</v>
      </c>
      <c r="L1341" s="4" t="s">
        <v>23</v>
      </c>
      <c r="M1341" s="4" t="s">
        <v>374</v>
      </c>
      <c r="N1341" s="4"/>
      <c r="O1341" s="133"/>
      <c r="P1341" s="25">
        <v>46252</v>
      </c>
      <c r="Q1341" s="7" t="s">
        <v>1112</v>
      </c>
      <c r="R1341" s="4" t="s">
        <v>349</v>
      </c>
      <c r="S1341" s="104" t="s">
        <v>1796</v>
      </c>
      <c r="T1341" s="4" t="s">
        <v>92</v>
      </c>
      <c r="U1341" s="4" t="s">
        <v>349</v>
      </c>
      <c r="V1341" s="4">
        <v>99</v>
      </c>
      <c r="W1341" s="85"/>
      <c r="X1341" s="4"/>
      <c r="Y1341" s="4"/>
      <c r="Z1341" s="4"/>
      <c r="AA1341" s="4"/>
      <c r="AB1341" s="4"/>
    </row>
    <row r="1342" spans="1:28">
      <c r="A1342" s="4">
        <v>1341</v>
      </c>
      <c r="B1342" s="4">
        <v>14499970</v>
      </c>
      <c r="C1342" s="4">
        <v>206868289</v>
      </c>
      <c r="D1342" s="115" t="s">
        <v>3352</v>
      </c>
      <c r="E1342" s="4" t="s">
        <v>3353</v>
      </c>
      <c r="F1342" s="7" t="s">
        <v>82</v>
      </c>
      <c r="G1342" s="7" t="s">
        <v>75</v>
      </c>
      <c r="H1342" s="7" t="s">
        <v>76</v>
      </c>
      <c r="I1342" s="4" t="s">
        <v>1789</v>
      </c>
      <c r="J1342" s="4" t="s">
        <v>5</v>
      </c>
      <c r="K1342" s="4" t="s">
        <v>10</v>
      </c>
      <c r="L1342" s="4" t="s">
        <v>24</v>
      </c>
      <c r="M1342" s="4" t="s">
        <v>390</v>
      </c>
      <c r="N1342" s="4"/>
      <c r="O1342" s="133"/>
      <c r="P1342" s="25">
        <v>46252</v>
      </c>
      <c r="Q1342" s="7" t="s">
        <v>1192</v>
      </c>
      <c r="R1342" s="4" t="s">
        <v>3252</v>
      </c>
      <c r="S1342" s="104" t="s">
        <v>1796</v>
      </c>
      <c r="T1342" s="4" t="s">
        <v>92</v>
      </c>
      <c r="U1342" s="4" t="s">
        <v>349</v>
      </c>
      <c r="V1342" s="4">
        <v>99</v>
      </c>
      <c r="W1342" s="85"/>
      <c r="X1342" s="4"/>
      <c r="Y1342" s="4"/>
      <c r="Z1342" s="4"/>
      <c r="AA1342" s="4"/>
      <c r="AB1342" s="4"/>
    </row>
    <row r="1343" spans="1:28">
      <c r="A1343" s="4">
        <v>1342</v>
      </c>
      <c r="B1343" s="4">
        <v>12295594</v>
      </c>
      <c r="C1343" s="4">
        <v>206605136</v>
      </c>
      <c r="D1343" s="115" t="s">
        <v>4074</v>
      </c>
      <c r="E1343" s="4" t="s">
        <v>4100</v>
      </c>
      <c r="F1343" s="7" t="s">
        <v>82</v>
      </c>
      <c r="G1343" s="7" t="s">
        <v>76</v>
      </c>
      <c r="H1343" s="7" t="s">
        <v>88</v>
      </c>
      <c r="I1343" s="4" t="s">
        <v>1789</v>
      </c>
      <c r="J1343" s="4" t="s">
        <v>5</v>
      </c>
      <c r="K1343" s="4" t="s">
        <v>10</v>
      </c>
      <c r="L1343" s="4" t="s">
        <v>23</v>
      </c>
      <c r="M1343" s="4" t="s">
        <v>4314</v>
      </c>
      <c r="N1343" s="4"/>
      <c r="O1343" s="133"/>
      <c r="P1343" s="25">
        <v>46252</v>
      </c>
      <c r="Q1343" s="7" t="s">
        <v>1112</v>
      </c>
      <c r="R1343" s="7" t="s">
        <v>3257</v>
      </c>
      <c r="S1343" s="104" t="s">
        <v>1796</v>
      </c>
      <c r="T1343" s="4" t="s">
        <v>81</v>
      </c>
      <c r="U1343" s="4" t="s">
        <v>349</v>
      </c>
      <c r="V1343" s="4">
        <v>99</v>
      </c>
      <c r="W1343" s="85"/>
      <c r="X1343" s="4"/>
      <c r="Y1343" s="4"/>
      <c r="Z1343" s="4"/>
      <c r="AA1343" s="4"/>
      <c r="AB1343" s="4"/>
    </row>
    <row r="1344" spans="1:28">
      <c r="A1344" s="4">
        <v>1343</v>
      </c>
      <c r="B1344" s="4">
        <v>11981870</v>
      </c>
      <c r="C1344" s="4">
        <v>206886736</v>
      </c>
      <c r="D1344" s="115" t="s">
        <v>3613</v>
      </c>
      <c r="E1344" s="4" t="s">
        <v>3551</v>
      </c>
      <c r="F1344" s="7" t="s">
        <v>82</v>
      </c>
      <c r="G1344" s="7" t="s">
        <v>88</v>
      </c>
      <c r="H1344" s="7" t="s">
        <v>94</v>
      </c>
      <c r="I1344" s="4" t="s">
        <v>1789</v>
      </c>
      <c r="J1344" s="4" t="s">
        <v>5</v>
      </c>
      <c r="K1344" s="4" t="s">
        <v>10</v>
      </c>
      <c r="L1344" s="4" t="s">
        <v>23</v>
      </c>
      <c r="M1344" s="4" t="s">
        <v>4314</v>
      </c>
      <c r="N1344" s="4"/>
      <c r="O1344" s="133"/>
      <c r="P1344" s="25">
        <v>46252</v>
      </c>
      <c r="Q1344" s="7" t="s">
        <v>1113</v>
      </c>
      <c r="R1344" s="90" t="s">
        <v>3253</v>
      </c>
      <c r="S1344" s="104" t="s">
        <v>1796</v>
      </c>
      <c r="T1344" s="4" t="s">
        <v>92</v>
      </c>
      <c r="U1344" s="4" t="s">
        <v>349</v>
      </c>
      <c r="V1344" s="4">
        <v>99</v>
      </c>
      <c r="W1344" s="85"/>
      <c r="X1344" s="4"/>
      <c r="Y1344" s="4"/>
      <c r="Z1344" s="4"/>
      <c r="AA1344" s="4"/>
      <c r="AB1344" s="4"/>
    </row>
    <row r="1345" spans="1:28">
      <c r="A1345" s="4">
        <v>1344</v>
      </c>
      <c r="B1345" s="4">
        <v>14356477</v>
      </c>
      <c r="C1345" s="4">
        <v>206868002</v>
      </c>
      <c r="D1345" s="115" t="s">
        <v>3348</v>
      </c>
      <c r="E1345" s="4" t="s">
        <v>3346</v>
      </c>
      <c r="F1345" s="7" t="s">
        <v>82</v>
      </c>
      <c r="G1345" s="7" t="s">
        <v>94</v>
      </c>
      <c r="H1345" s="7" t="s">
        <v>89</v>
      </c>
      <c r="I1345" s="4" t="s">
        <v>1789</v>
      </c>
      <c r="J1345" s="4" t="s">
        <v>5</v>
      </c>
      <c r="K1345" s="4" t="s">
        <v>10</v>
      </c>
      <c r="L1345" s="4" t="s">
        <v>24</v>
      </c>
      <c r="M1345" s="4" t="s">
        <v>390</v>
      </c>
      <c r="N1345" s="4"/>
      <c r="O1345" s="133"/>
      <c r="P1345" s="25">
        <v>46252</v>
      </c>
      <c r="Q1345" s="7" t="s">
        <v>1192</v>
      </c>
      <c r="R1345" s="4" t="s">
        <v>3255</v>
      </c>
      <c r="S1345" s="104" t="s">
        <v>1796</v>
      </c>
      <c r="T1345" s="4" t="s">
        <v>92</v>
      </c>
      <c r="U1345" s="4" t="s">
        <v>349</v>
      </c>
      <c r="V1345" s="4">
        <v>99</v>
      </c>
      <c r="W1345" s="85"/>
      <c r="X1345" s="4"/>
      <c r="Y1345" s="4"/>
      <c r="Z1345" s="4"/>
      <c r="AA1345" s="4"/>
      <c r="AB1345" s="4"/>
    </row>
    <row r="1346" spans="1:28">
      <c r="A1346" s="4">
        <v>1345</v>
      </c>
      <c r="B1346" s="4">
        <v>11496536</v>
      </c>
      <c r="C1346" s="4">
        <v>206884029</v>
      </c>
      <c r="D1346" s="115" t="s">
        <v>3614</v>
      </c>
      <c r="E1346" s="4" t="s">
        <v>3552</v>
      </c>
      <c r="F1346" s="7" t="s">
        <v>82</v>
      </c>
      <c r="G1346" s="7" t="s">
        <v>89</v>
      </c>
      <c r="H1346" s="7" t="s">
        <v>90</v>
      </c>
      <c r="I1346" s="4" t="s">
        <v>1789</v>
      </c>
      <c r="J1346" s="4" t="s">
        <v>5</v>
      </c>
      <c r="K1346" s="4" t="s">
        <v>10</v>
      </c>
      <c r="L1346" s="4" t="s">
        <v>23</v>
      </c>
      <c r="M1346" s="4" t="s">
        <v>4314</v>
      </c>
      <c r="N1346" s="4"/>
      <c r="O1346" s="133"/>
      <c r="P1346" s="25">
        <v>46252</v>
      </c>
      <c r="Q1346" s="7" t="s">
        <v>1113</v>
      </c>
      <c r="R1346" s="4" t="s">
        <v>3261</v>
      </c>
      <c r="S1346" s="104" t="s">
        <v>1796</v>
      </c>
      <c r="T1346" s="4" t="s">
        <v>92</v>
      </c>
      <c r="U1346" s="4" t="s">
        <v>349</v>
      </c>
      <c r="V1346" s="4">
        <v>99</v>
      </c>
      <c r="W1346" s="85"/>
      <c r="X1346" s="4"/>
      <c r="Y1346" s="4"/>
      <c r="Z1346" s="4"/>
      <c r="AA1346" s="4"/>
      <c r="AB1346" s="4"/>
    </row>
    <row r="1347" spans="1:28">
      <c r="A1347" s="4">
        <v>1346</v>
      </c>
      <c r="B1347" s="4">
        <v>11735730</v>
      </c>
      <c r="C1347" s="4">
        <v>206890216</v>
      </c>
      <c r="D1347" s="115" t="s">
        <v>3599</v>
      </c>
      <c r="E1347" s="4" t="s">
        <v>3534</v>
      </c>
      <c r="F1347" s="7" t="s">
        <v>82</v>
      </c>
      <c r="G1347" s="7" t="s">
        <v>90</v>
      </c>
      <c r="H1347" s="7" t="s">
        <v>87</v>
      </c>
      <c r="I1347" s="4" t="s">
        <v>1789</v>
      </c>
      <c r="J1347" s="4" t="s">
        <v>5</v>
      </c>
      <c r="K1347" s="4" t="s">
        <v>10</v>
      </c>
      <c r="L1347" s="4" t="s">
        <v>23</v>
      </c>
      <c r="M1347" s="4" t="s">
        <v>4314</v>
      </c>
      <c r="N1347" s="4"/>
      <c r="O1347" s="133"/>
      <c r="P1347" s="25">
        <v>46252</v>
      </c>
      <c r="Q1347" s="7" t="s">
        <v>1112</v>
      </c>
      <c r="R1347" s="4" t="s">
        <v>3262</v>
      </c>
      <c r="S1347" s="104" t="s">
        <v>1796</v>
      </c>
      <c r="T1347" s="4" t="s">
        <v>92</v>
      </c>
      <c r="U1347" s="4" t="s">
        <v>349</v>
      </c>
      <c r="V1347" s="4">
        <v>99</v>
      </c>
      <c r="W1347" s="85"/>
      <c r="X1347" s="4"/>
      <c r="Y1347" s="4"/>
      <c r="Z1347" s="4"/>
      <c r="AA1347" s="4"/>
      <c r="AB1347" s="4"/>
    </row>
    <row r="1348" spans="1:28">
      <c r="A1348" s="4">
        <v>1347</v>
      </c>
      <c r="B1348" s="4">
        <v>14688389</v>
      </c>
      <c r="C1348" s="4">
        <v>205252539</v>
      </c>
      <c r="D1348" s="115" t="s">
        <v>4169</v>
      </c>
      <c r="E1348" s="4" t="s">
        <v>4170</v>
      </c>
      <c r="F1348" s="7" t="s">
        <v>82</v>
      </c>
      <c r="G1348" s="7" t="s">
        <v>87</v>
      </c>
      <c r="H1348" s="7" t="s">
        <v>75</v>
      </c>
      <c r="I1348" s="4" t="s">
        <v>1789</v>
      </c>
      <c r="J1348" s="4" t="s">
        <v>5</v>
      </c>
      <c r="K1348" s="4" t="s">
        <v>10</v>
      </c>
      <c r="L1348" s="4" t="s">
        <v>23</v>
      </c>
      <c r="M1348" s="4" t="s">
        <v>4314</v>
      </c>
      <c r="N1348" s="4"/>
      <c r="O1348" s="133"/>
      <c r="P1348" s="25">
        <v>46252</v>
      </c>
      <c r="Q1348" s="7" t="s">
        <v>1112</v>
      </c>
      <c r="R1348" s="4" t="s">
        <v>3262</v>
      </c>
      <c r="S1348" s="104" t="s">
        <v>1796</v>
      </c>
      <c r="T1348" s="4" t="s">
        <v>92</v>
      </c>
      <c r="U1348" s="4" t="s">
        <v>349</v>
      </c>
      <c r="V1348" s="4">
        <v>99</v>
      </c>
      <c r="W1348" s="85"/>
      <c r="X1348" s="4"/>
      <c r="Y1348" s="4"/>
      <c r="Z1348" s="4"/>
      <c r="AA1348" s="4"/>
      <c r="AB1348" s="4"/>
    </row>
    <row r="1349" spans="1:28">
      <c r="A1349" s="4">
        <v>1348</v>
      </c>
      <c r="B1349" s="4">
        <v>261182</v>
      </c>
      <c r="C1349" s="4">
        <v>205627233</v>
      </c>
      <c r="D1349" s="115" t="s">
        <v>4077</v>
      </c>
      <c r="E1349" s="4" t="s">
        <v>4103</v>
      </c>
      <c r="F1349" s="7" t="s">
        <v>82</v>
      </c>
      <c r="G1349" s="7" t="s">
        <v>75</v>
      </c>
      <c r="H1349" s="7" t="s">
        <v>76</v>
      </c>
      <c r="I1349" s="4" t="s">
        <v>1789</v>
      </c>
      <c r="J1349" s="4" t="s">
        <v>5</v>
      </c>
      <c r="K1349" s="4" t="s">
        <v>10</v>
      </c>
      <c r="L1349" s="4" t="s">
        <v>23</v>
      </c>
      <c r="M1349" s="4" t="s">
        <v>4314</v>
      </c>
      <c r="N1349" s="4"/>
      <c r="O1349" s="133"/>
      <c r="P1349" s="25">
        <v>46252</v>
      </c>
      <c r="Q1349" s="7" t="s">
        <v>1112</v>
      </c>
      <c r="R1349" s="90" t="s">
        <v>3254</v>
      </c>
      <c r="S1349" s="104" t="s">
        <v>1796</v>
      </c>
      <c r="T1349" s="4" t="s">
        <v>81</v>
      </c>
      <c r="U1349" s="4" t="s">
        <v>349</v>
      </c>
      <c r="V1349" s="4">
        <v>99</v>
      </c>
      <c r="W1349" s="85"/>
      <c r="X1349" s="4"/>
      <c r="Y1349" s="4"/>
      <c r="Z1349" s="4"/>
      <c r="AA1349" s="4"/>
      <c r="AB1349" s="4"/>
    </row>
    <row r="1350" spans="1:28">
      <c r="A1350" s="4">
        <v>1349</v>
      </c>
      <c r="B1350" s="4">
        <v>14791969</v>
      </c>
      <c r="C1350" s="4">
        <v>205996133</v>
      </c>
      <c r="D1350" s="115" t="s">
        <v>2862</v>
      </c>
      <c r="E1350" s="4" t="s">
        <v>2863</v>
      </c>
      <c r="F1350" s="7" t="s">
        <v>82</v>
      </c>
      <c r="G1350" s="7" t="s">
        <v>76</v>
      </c>
      <c r="H1350" s="7" t="s">
        <v>88</v>
      </c>
      <c r="I1350" s="4" t="s">
        <v>1789</v>
      </c>
      <c r="J1350" s="4" t="s">
        <v>5</v>
      </c>
      <c r="K1350" s="4" t="s">
        <v>10</v>
      </c>
      <c r="L1350" s="4" t="s">
        <v>24</v>
      </c>
      <c r="M1350" s="4" t="s">
        <v>390</v>
      </c>
      <c r="N1350" s="4"/>
      <c r="O1350" s="133"/>
      <c r="P1350" s="25">
        <v>46252</v>
      </c>
      <c r="Q1350" s="7" t="s">
        <v>1112</v>
      </c>
      <c r="R1350" s="4" t="s">
        <v>349</v>
      </c>
      <c r="S1350" s="104" t="s">
        <v>1796</v>
      </c>
      <c r="T1350" s="4" t="s">
        <v>81</v>
      </c>
      <c r="U1350" s="4" t="s">
        <v>349</v>
      </c>
      <c r="V1350" s="4">
        <v>99</v>
      </c>
      <c r="W1350" s="85"/>
      <c r="X1350" s="4"/>
      <c r="Y1350" s="4"/>
      <c r="Z1350" s="4"/>
      <c r="AA1350" s="4"/>
      <c r="AB1350" s="4"/>
    </row>
    <row r="1351" spans="1:28">
      <c r="A1351" s="4">
        <v>1350</v>
      </c>
      <c r="B1351" s="4">
        <v>13730562</v>
      </c>
      <c r="C1351" s="4">
        <v>206491340</v>
      </c>
      <c r="D1351" s="115" t="s">
        <v>4180</v>
      </c>
      <c r="E1351" s="4" t="s">
        <v>4181</v>
      </c>
      <c r="F1351" s="7" t="s">
        <v>82</v>
      </c>
      <c r="G1351" s="7" t="s">
        <v>88</v>
      </c>
      <c r="H1351" s="7" t="s">
        <v>94</v>
      </c>
      <c r="I1351" s="4" t="s">
        <v>1789</v>
      </c>
      <c r="J1351" s="4" t="s">
        <v>5</v>
      </c>
      <c r="K1351" s="4" t="s">
        <v>10</v>
      </c>
      <c r="L1351" s="4" t="s">
        <v>23</v>
      </c>
      <c r="M1351" s="4" t="s">
        <v>4314</v>
      </c>
      <c r="N1351" s="4"/>
      <c r="O1351" s="133"/>
      <c r="P1351" s="25">
        <v>46252</v>
      </c>
      <c r="Q1351" s="7" t="s">
        <v>1112</v>
      </c>
      <c r="R1351" s="7" t="s">
        <v>3257</v>
      </c>
      <c r="S1351" s="104" t="s">
        <v>1796</v>
      </c>
      <c r="T1351" s="4" t="s">
        <v>92</v>
      </c>
      <c r="U1351" s="4" t="s">
        <v>349</v>
      </c>
      <c r="V1351" s="4">
        <v>99</v>
      </c>
      <c r="W1351" s="85"/>
      <c r="X1351" s="4"/>
      <c r="Y1351" s="4"/>
      <c r="Z1351" s="4"/>
      <c r="AA1351" s="4"/>
      <c r="AB1351" s="4"/>
    </row>
    <row r="1352" spans="1:28">
      <c r="A1352" s="4">
        <v>1351</v>
      </c>
      <c r="B1352" s="4">
        <v>13760885</v>
      </c>
      <c r="C1352" s="4">
        <v>206607035</v>
      </c>
      <c r="D1352" s="115" t="s">
        <v>4091</v>
      </c>
      <c r="E1352" s="4" t="s">
        <v>4116</v>
      </c>
      <c r="F1352" s="7" t="s">
        <v>82</v>
      </c>
      <c r="G1352" s="7" t="s">
        <v>94</v>
      </c>
      <c r="H1352" s="7" t="s">
        <v>89</v>
      </c>
      <c r="I1352" s="4" t="s">
        <v>1789</v>
      </c>
      <c r="J1352" s="4" t="s">
        <v>5</v>
      </c>
      <c r="K1352" s="4" t="s">
        <v>10</v>
      </c>
      <c r="L1352" s="4" t="s">
        <v>23</v>
      </c>
      <c r="M1352" s="4" t="s">
        <v>4314</v>
      </c>
      <c r="N1352" s="4"/>
      <c r="O1352" s="133"/>
      <c r="P1352" s="25">
        <v>46252</v>
      </c>
      <c r="Q1352" s="7" t="s">
        <v>1112</v>
      </c>
      <c r="R1352" s="4" t="s">
        <v>3255</v>
      </c>
      <c r="S1352" s="104" t="s">
        <v>1796</v>
      </c>
      <c r="T1352" s="4" t="s">
        <v>81</v>
      </c>
      <c r="U1352" s="4" t="s">
        <v>349</v>
      </c>
      <c r="V1352" s="4">
        <v>99</v>
      </c>
      <c r="W1352" s="85"/>
      <c r="X1352" s="4"/>
      <c r="Y1352" s="4"/>
      <c r="Z1352" s="4"/>
      <c r="AA1352" s="4"/>
      <c r="AB1352" s="4"/>
    </row>
    <row r="1353" spans="1:28">
      <c r="A1353" s="4">
        <v>1352</v>
      </c>
      <c r="B1353" s="4">
        <v>14781468</v>
      </c>
      <c r="C1353" s="4">
        <v>206868006</v>
      </c>
      <c r="D1353" s="115" t="s">
        <v>3349</v>
      </c>
      <c r="E1353" s="4" t="s">
        <v>3347</v>
      </c>
      <c r="F1353" s="7" t="s">
        <v>82</v>
      </c>
      <c r="G1353" s="7" t="s">
        <v>89</v>
      </c>
      <c r="H1353" s="7" t="s">
        <v>90</v>
      </c>
      <c r="I1353" s="4" t="s">
        <v>1789</v>
      </c>
      <c r="J1353" s="4" t="s">
        <v>5</v>
      </c>
      <c r="K1353" s="4" t="s">
        <v>10</v>
      </c>
      <c r="L1353" s="4" t="s">
        <v>24</v>
      </c>
      <c r="M1353" s="4" t="s">
        <v>390</v>
      </c>
      <c r="N1353" s="4"/>
      <c r="O1353" s="133"/>
      <c r="P1353" s="25">
        <v>46252</v>
      </c>
      <c r="Q1353" s="7" t="s">
        <v>1192</v>
      </c>
      <c r="R1353" s="4" t="s">
        <v>3264</v>
      </c>
      <c r="S1353" s="104" t="s">
        <v>1796</v>
      </c>
      <c r="T1353" s="4" t="s">
        <v>92</v>
      </c>
      <c r="U1353" s="4" t="s">
        <v>349</v>
      </c>
      <c r="V1353" s="4">
        <v>99</v>
      </c>
      <c r="W1353" s="85"/>
      <c r="X1353" s="4"/>
      <c r="Y1353" s="4"/>
      <c r="Z1353" s="4"/>
      <c r="AA1353" s="4"/>
      <c r="AB1353" s="4"/>
    </row>
    <row r="1354" spans="1:28">
      <c r="A1354" s="4">
        <v>1353</v>
      </c>
      <c r="B1354" s="4">
        <v>13394288</v>
      </c>
      <c r="C1354" s="4">
        <v>206886731</v>
      </c>
      <c r="D1354" s="115" t="s">
        <v>3601</v>
      </c>
      <c r="E1354" s="4" t="s">
        <v>3537</v>
      </c>
      <c r="F1354" s="7" t="s">
        <v>82</v>
      </c>
      <c r="G1354" s="7" t="s">
        <v>90</v>
      </c>
      <c r="H1354" s="7" t="s">
        <v>87</v>
      </c>
      <c r="I1354" s="4" t="s">
        <v>1789</v>
      </c>
      <c r="J1354" s="4" t="s">
        <v>5</v>
      </c>
      <c r="K1354" s="4" t="s">
        <v>10</v>
      </c>
      <c r="L1354" s="4" t="s">
        <v>23</v>
      </c>
      <c r="M1354" s="4" t="s">
        <v>4314</v>
      </c>
      <c r="N1354" s="4"/>
      <c r="O1354" s="133"/>
      <c r="P1354" s="25">
        <v>46252</v>
      </c>
      <c r="Q1354" s="7" t="s">
        <v>1112</v>
      </c>
      <c r="R1354" s="4" t="s">
        <v>3264</v>
      </c>
      <c r="S1354" s="104" t="s">
        <v>1796</v>
      </c>
      <c r="T1354" s="4" t="s">
        <v>92</v>
      </c>
      <c r="U1354" s="4" t="s">
        <v>349</v>
      </c>
      <c r="V1354" s="4">
        <v>99</v>
      </c>
      <c r="W1354" s="85"/>
      <c r="X1354" s="4"/>
      <c r="Y1354" s="4"/>
      <c r="Z1354" s="4"/>
      <c r="AA1354" s="4"/>
      <c r="AB1354" s="4"/>
    </row>
    <row r="1355" spans="1:28">
      <c r="A1355" s="4">
        <v>1354</v>
      </c>
      <c r="B1355" s="4">
        <v>12788401</v>
      </c>
      <c r="C1355" s="4">
        <v>206136719</v>
      </c>
      <c r="D1355" s="115" t="s">
        <v>2937</v>
      </c>
      <c r="E1355" s="4" t="s">
        <v>2938</v>
      </c>
      <c r="F1355" s="7" t="s">
        <v>82</v>
      </c>
      <c r="G1355" s="7" t="s">
        <v>94</v>
      </c>
      <c r="H1355" s="7" t="s">
        <v>89</v>
      </c>
      <c r="I1355" s="4" t="s">
        <v>1789</v>
      </c>
      <c r="J1355" s="4" t="s">
        <v>5</v>
      </c>
      <c r="K1355" s="4" t="s">
        <v>10</v>
      </c>
      <c r="L1355" s="4" t="s">
        <v>23</v>
      </c>
      <c r="M1355" s="4" t="s">
        <v>4314</v>
      </c>
      <c r="N1355" s="4"/>
      <c r="O1355" s="133"/>
      <c r="P1355" s="25">
        <v>46252</v>
      </c>
      <c r="Q1355" s="7" t="s">
        <v>1192</v>
      </c>
      <c r="R1355" s="4" t="s">
        <v>3258</v>
      </c>
      <c r="S1355" s="104" t="s">
        <v>1796</v>
      </c>
      <c r="T1355" s="4" t="s">
        <v>92</v>
      </c>
      <c r="U1355" s="4" t="s">
        <v>349</v>
      </c>
      <c r="V1355" s="4">
        <v>99</v>
      </c>
      <c r="W1355" s="85"/>
      <c r="X1355" s="4"/>
      <c r="Y1355" s="4"/>
      <c r="Z1355" s="4"/>
      <c r="AA1355" s="4"/>
      <c r="AB1355" s="4"/>
    </row>
    <row r="1356" spans="1:28">
      <c r="A1356" s="4">
        <v>1355</v>
      </c>
      <c r="B1356" s="4">
        <v>13348730</v>
      </c>
      <c r="C1356" s="4">
        <v>206191926</v>
      </c>
      <c r="D1356" s="115" t="s">
        <v>3021</v>
      </c>
      <c r="E1356" s="4" t="s">
        <v>3022</v>
      </c>
      <c r="F1356" s="7" t="s">
        <v>82</v>
      </c>
      <c r="G1356" s="7" t="s">
        <v>89</v>
      </c>
      <c r="H1356" s="7" t="s">
        <v>90</v>
      </c>
      <c r="I1356" s="4" t="s">
        <v>1789</v>
      </c>
      <c r="J1356" s="4" t="s">
        <v>5</v>
      </c>
      <c r="K1356" s="4" t="s">
        <v>10</v>
      </c>
      <c r="L1356" s="4" t="s">
        <v>23</v>
      </c>
      <c r="M1356" s="4" t="s">
        <v>390</v>
      </c>
      <c r="N1356" s="4"/>
      <c r="O1356" s="133"/>
      <c r="P1356" s="25">
        <v>46252</v>
      </c>
      <c r="Q1356" s="7" t="s">
        <v>1113</v>
      </c>
      <c r="R1356" s="4" t="s">
        <v>3261</v>
      </c>
      <c r="S1356" s="104" t="s">
        <v>1796</v>
      </c>
      <c r="T1356" s="4" t="s">
        <v>92</v>
      </c>
      <c r="U1356" s="4" t="s">
        <v>349</v>
      </c>
      <c r="V1356" s="4">
        <v>99</v>
      </c>
      <c r="W1356" s="85"/>
      <c r="X1356" s="4"/>
      <c r="Y1356" s="4"/>
      <c r="Z1356" s="4"/>
      <c r="AA1356" s="4"/>
      <c r="AB1356" s="4"/>
    </row>
    <row r="1357" spans="1:28">
      <c r="A1357" s="4">
        <v>1356</v>
      </c>
      <c r="B1357" s="4">
        <v>15028753</v>
      </c>
      <c r="C1357" s="4">
        <v>206250638</v>
      </c>
      <c r="D1357" s="115" t="s">
        <v>3117</v>
      </c>
      <c r="E1357" s="4" t="s">
        <v>3065</v>
      </c>
      <c r="F1357" s="7" t="s">
        <v>82</v>
      </c>
      <c r="G1357" s="7" t="s">
        <v>90</v>
      </c>
      <c r="H1357" s="7" t="s">
        <v>87</v>
      </c>
      <c r="I1357" s="4" t="s">
        <v>1789</v>
      </c>
      <c r="J1357" s="4" t="s">
        <v>5</v>
      </c>
      <c r="K1357" s="4" t="s">
        <v>10</v>
      </c>
      <c r="L1357" s="4" t="s">
        <v>24</v>
      </c>
      <c r="M1357" s="4" t="s">
        <v>390</v>
      </c>
      <c r="N1357" s="4"/>
      <c r="O1357" s="133"/>
      <c r="P1357" s="25">
        <v>46252</v>
      </c>
      <c r="Q1357" s="7" t="s">
        <v>1192</v>
      </c>
      <c r="R1357" s="90" t="s">
        <v>2586</v>
      </c>
      <c r="S1357" s="104" t="s">
        <v>1796</v>
      </c>
      <c r="T1357" s="4" t="s">
        <v>81</v>
      </c>
      <c r="U1357" s="4" t="s">
        <v>349</v>
      </c>
      <c r="V1357" s="4">
        <v>99</v>
      </c>
      <c r="W1357" s="85"/>
      <c r="X1357" s="4"/>
      <c r="Y1357" s="4"/>
      <c r="Z1357" s="4"/>
      <c r="AA1357" s="4"/>
      <c r="AB1357" s="4"/>
    </row>
    <row r="1358" spans="1:28">
      <c r="A1358" s="4">
        <v>1357</v>
      </c>
      <c r="B1358" s="4">
        <v>13272169</v>
      </c>
      <c r="C1358" s="4">
        <v>205853893</v>
      </c>
      <c r="D1358" s="115" t="s">
        <v>2716</v>
      </c>
      <c r="E1358" s="4" t="s">
        <v>2717</v>
      </c>
      <c r="F1358" s="7" t="s">
        <v>82</v>
      </c>
      <c r="G1358" s="7" t="s">
        <v>87</v>
      </c>
      <c r="H1358" s="7" t="s">
        <v>75</v>
      </c>
      <c r="I1358" s="7" t="s">
        <v>1788</v>
      </c>
      <c r="J1358" s="4" t="s">
        <v>5</v>
      </c>
      <c r="K1358" s="4" t="s">
        <v>10</v>
      </c>
      <c r="L1358" s="4" t="s">
        <v>23</v>
      </c>
      <c r="M1358" s="4" t="s">
        <v>390</v>
      </c>
      <c r="N1358" s="4"/>
      <c r="O1358" s="133"/>
      <c r="P1358" s="25">
        <v>46252</v>
      </c>
      <c r="Q1358" s="7" t="s">
        <v>1112</v>
      </c>
      <c r="R1358" s="4" t="s">
        <v>349</v>
      </c>
      <c r="S1358" s="104" t="s">
        <v>1796</v>
      </c>
      <c r="T1358" s="4" t="s">
        <v>92</v>
      </c>
      <c r="U1358" s="4" t="s">
        <v>349</v>
      </c>
      <c r="V1358" s="4">
        <v>99</v>
      </c>
      <c r="W1358" s="85"/>
      <c r="X1358" s="4"/>
      <c r="Y1358" s="4"/>
      <c r="Z1358" s="4"/>
      <c r="AA1358" s="4"/>
      <c r="AB1358" s="4"/>
    </row>
    <row r="1359" spans="1:28">
      <c r="A1359" s="4">
        <v>1358</v>
      </c>
      <c r="B1359" s="4">
        <v>14273738</v>
      </c>
      <c r="C1359" s="4">
        <v>206926976</v>
      </c>
      <c r="D1359" s="115" t="s">
        <v>3921</v>
      </c>
      <c r="E1359" s="4" t="s">
        <v>3922</v>
      </c>
      <c r="F1359" s="7" t="s">
        <v>82</v>
      </c>
      <c r="G1359" s="7" t="s">
        <v>75</v>
      </c>
      <c r="H1359" s="7" t="s">
        <v>76</v>
      </c>
      <c r="I1359" s="4" t="s">
        <v>1789</v>
      </c>
      <c r="J1359" s="4" t="s">
        <v>5</v>
      </c>
      <c r="K1359" s="4" t="s">
        <v>10</v>
      </c>
      <c r="L1359" s="4" t="s">
        <v>24</v>
      </c>
      <c r="M1359" s="4" t="s">
        <v>390</v>
      </c>
      <c r="N1359" s="4"/>
      <c r="O1359" s="133"/>
      <c r="P1359" s="25">
        <v>46252</v>
      </c>
      <c r="Q1359" s="7" t="s">
        <v>1192</v>
      </c>
      <c r="R1359" s="4" t="s">
        <v>3252</v>
      </c>
      <c r="S1359" s="104" t="s">
        <v>1796</v>
      </c>
      <c r="T1359" s="4" t="s">
        <v>92</v>
      </c>
      <c r="U1359" s="4" t="s">
        <v>349</v>
      </c>
      <c r="V1359" s="4">
        <v>99</v>
      </c>
      <c r="W1359" s="85"/>
      <c r="X1359" s="4"/>
      <c r="Y1359" s="4"/>
      <c r="Z1359" s="4"/>
      <c r="AA1359" s="4"/>
      <c r="AB1359" s="4"/>
    </row>
    <row r="1360" spans="1:28">
      <c r="A1360" s="4">
        <v>1359</v>
      </c>
      <c r="B1360" s="4">
        <v>13151378</v>
      </c>
      <c r="C1360" s="4">
        <v>206250613</v>
      </c>
      <c r="D1360" s="115" t="s">
        <v>3118</v>
      </c>
      <c r="E1360" s="4" t="s">
        <v>3055</v>
      </c>
      <c r="F1360" s="7" t="s">
        <v>82</v>
      </c>
      <c r="G1360" s="7" t="s">
        <v>76</v>
      </c>
      <c r="H1360" s="7" t="s">
        <v>88</v>
      </c>
      <c r="I1360" s="4" t="s">
        <v>1789</v>
      </c>
      <c r="J1360" s="4" t="s">
        <v>5</v>
      </c>
      <c r="K1360" s="4" t="s">
        <v>10</v>
      </c>
      <c r="L1360" s="4" t="s">
        <v>24</v>
      </c>
      <c r="M1360" s="4" t="s">
        <v>390</v>
      </c>
      <c r="N1360" s="4"/>
      <c r="O1360" s="133"/>
      <c r="P1360" s="25">
        <v>46252</v>
      </c>
      <c r="Q1360" s="7" t="s">
        <v>1192</v>
      </c>
      <c r="R1360" s="4" t="s">
        <v>3252</v>
      </c>
      <c r="S1360" s="104" t="s">
        <v>1796</v>
      </c>
      <c r="T1360" s="4" t="s">
        <v>81</v>
      </c>
      <c r="U1360" s="4" t="s">
        <v>349</v>
      </c>
      <c r="V1360" s="4">
        <v>99</v>
      </c>
      <c r="W1360" s="85"/>
      <c r="X1360" s="4"/>
      <c r="Y1360" s="4"/>
      <c r="Z1360" s="4"/>
      <c r="AA1360" s="4"/>
      <c r="AB1360" s="4"/>
    </row>
    <row r="1361" spans="1:28">
      <c r="A1361" s="4">
        <v>1360</v>
      </c>
      <c r="B1361" s="4">
        <v>11354047</v>
      </c>
      <c r="C1361" s="4">
        <v>206890218</v>
      </c>
      <c r="D1361" s="115" t="s">
        <v>3611</v>
      </c>
      <c r="E1361" s="4" t="s">
        <v>3549</v>
      </c>
      <c r="F1361" s="7" t="s">
        <v>82</v>
      </c>
      <c r="G1361" s="7" t="s">
        <v>88</v>
      </c>
      <c r="H1361" s="7" t="s">
        <v>94</v>
      </c>
      <c r="I1361" s="4" t="s">
        <v>1789</v>
      </c>
      <c r="J1361" s="4" t="s">
        <v>5</v>
      </c>
      <c r="K1361" s="4" t="s">
        <v>10</v>
      </c>
      <c r="L1361" s="4" t="s">
        <v>23</v>
      </c>
      <c r="M1361" s="4" t="s">
        <v>390</v>
      </c>
      <c r="N1361" s="4"/>
      <c r="O1361" s="133"/>
      <c r="P1361" s="25">
        <v>46252</v>
      </c>
      <c r="Q1361" s="7" t="s">
        <v>1192</v>
      </c>
      <c r="R1361" s="4" t="s">
        <v>3255</v>
      </c>
      <c r="S1361" s="104" t="s">
        <v>1796</v>
      </c>
      <c r="T1361" s="4" t="s">
        <v>92</v>
      </c>
      <c r="U1361" s="4" t="s">
        <v>349</v>
      </c>
      <c r="V1361" s="4">
        <v>99</v>
      </c>
      <c r="W1361" s="85"/>
      <c r="X1361" s="4"/>
      <c r="Y1361" s="4"/>
      <c r="Z1361" s="4"/>
      <c r="AA1361" s="4"/>
      <c r="AB1361" s="4"/>
    </row>
    <row r="1362" spans="1:28">
      <c r="A1362" s="4">
        <v>1361</v>
      </c>
      <c r="B1362" s="4">
        <v>12186793</v>
      </c>
      <c r="C1362" s="4">
        <v>205853884</v>
      </c>
      <c r="D1362" s="115" t="s">
        <v>2718</v>
      </c>
      <c r="E1362" s="4" t="s">
        <v>2719</v>
      </c>
      <c r="F1362" s="7" t="s">
        <v>82</v>
      </c>
      <c r="G1362" s="7" t="s">
        <v>94</v>
      </c>
      <c r="H1362" s="7" t="s">
        <v>89</v>
      </c>
      <c r="I1362" s="4" t="s">
        <v>1789</v>
      </c>
      <c r="J1362" s="4" t="s">
        <v>5</v>
      </c>
      <c r="K1362" s="4" t="s">
        <v>10</v>
      </c>
      <c r="L1362" s="4" t="s">
        <v>23</v>
      </c>
      <c r="M1362" s="4" t="s">
        <v>390</v>
      </c>
      <c r="N1362" s="4"/>
      <c r="O1362" s="133"/>
      <c r="P1362" s="25">
        <v>46252</v>
      </c>
      <c r="Q1362" s="7" t="s">
        <v>1112</v>
      </c>
      <c r="R1362" s="4" t="s">
        <v>349</v>
      </c>
      <c r="S1362" s="104" t="s">
        <v>1796</v>
      </c>
      <c r="T1362" s="4" t="s">
        <v>92</v>
      </c>
      <c r="U1362" s="4" t="s">
        <v>349</v>
      </c>
      <c r="V1362" s="4">
        <v>99</v>
      </c>
      <c r="W1362" s="85"/>
      <c r="X1362" s="4"/>
      <c r="Y1362" s="4"/>
      <c r="Z1362" s="4"/>
      <c r="AA1362" s="4"/>
      <c r="AB1362" s="4"/>
    </row>
    <row r="1363" spans="1:28">
      <c r="A1363" s="4">
        <v>1362</v>
      </c>
      <c r="B1363" s="4">
        <v>15120202</v>
      </c>
      <c r="C1363" s="4">
        <v>206886516</v>
      </c>
      <c r="D1363" s="115" t="s">
        <v>3612</v>
      </c>
      <c r="E1363" s="4" t="s">
        <v>3550</v>
      </c>
      <c r="F1363" s="7" t="s">
        <v>82</v>
      </c>
      <c r="G1363" s="7" t="s">
        <v>89</v>
      </c>
      <c r="H1363" s="7" t="s">
        <v>90</v>
      </c>
      <c r="I1363" s="4" t="s">
        <v>1789</v>
      </c>
      <c r="J1363" s="4" t="s">
        <v>5</v>
      </c>
      <c r="K1363" s="4" t="s">
        <v>10</v>
      </c>
      <c r="L1363" s="4" t="s">
        <v>23</v>
      </c>
      <c r="M1363" s="4" t="s">
        <v>390</v>
      </c>
      <c r="N1363" s="4"/>
      <c r="O1363" s="133"/>
      <c r="P1363" s="25">
        <v>46252</v>
      </c>
      <c r="Q1363" s="7" t="s">
        <v>1192</v>
      </c>
      <c r="R1363" s="4" t="s">
        <v>3260</v>
      </c>
      <c r="S1363" s="104" t="s">
        <v>1796</v>
      </c>
      <c r="T1363" s="4" t="s">
        <v>92</v>
      </c>
      <c r="U1363" s="4" t="s">
        <v>349</v>
      </c>
      <c r="V1363" s="4">
        <v>99</v>
      </c>
      <c r="W1363" s="85"/>
      <c r="X1363" s="4"/>
      <c r="Y1363" s="4"/>
      <c r="Z1363" s="4"/>
      <c r="AA1363" s="4"/>
      <c r="AB1363" s="4"/>
    </row>
    <row r="1364" spans="1:28">
      <c r="A1364" s="4">
        <v>1363</v>
      </c>
      <c r="B1364" s="4">
        <v>13013479</v>
      </c>
      <c r="C1364" s="4">
        <v>206239531</v>
      </c>
      <c r="D1364" s="115" t="s">
        <v>3119</v>
      </c>
      <c r="E1364" s="4" t="s">
        <v>3059</v>
      </c>
      <c r="F1364" s="7" t="s">
        <v>82</v>
      </c>
      <c r="G1364" s="7" t="s">
        <v>90</v>
      </c>
      <c r="H1364" s="7" t="s">
        <v>87</v>
      </c>
      <c r="I1364" s="4" t="s">
        <v>1789</v>
      </c>
      <c r="J1364" s="4" t="s">
        <v>5</v>
      </c>
      <c r="K1364" s="4" t="s">
        <v>10</v>
      </c>
      <c r="L1364" s="4" t="s">
        <v>24</v>
      </c>
      <c r="M1364" s="4" t="s">
        <v>390</v>
      </c>
      <c r="N1364" s="4"/>
      <c r="O1364" s="133"/>
      <c r="P1364" s="25">
        <v>46252</v>
      </c>
      <c r="Q1364" s="7" t="s">
        <v>1192</v>
      </c>
      <c r="R1364" s="4" t="s">
        <v>349</v>
      </c>
      <c r="S1364" s="104" t="s">
        <v>1796</v>
      </c>
      <c r="T1364" s="4" t="s">
        <v>92</v>
      </c>
      <c r="U1364" s="4" t="s">
        <v>349</v>
      </c>
      <c r="V1364" s="4">
        <v>99</v>
      </c>
      <c r="W1364" s="85"/>
      <c r="X1364" s="4"/>
      <c r="Y1364" s="4"/>
      <c r="Z1364" s="4"/>
      <c r="AA1364" s="4"/>
      <c r="AB1364" s="4"/>
    </row>
    <row r="1365" spans="1:28">
      <c r="A1365" s="4">
        <v>1364</v>
      </c>
      <c r="B1365" s="4">
        <v>14781969</v>
      </c>
      <c r="C1365" s="4">
        <v>205280267</v>
      </c>
      <c r="D1365" s="115" t="s">
        <v>3925</v>
      </c>
      <c r="E1365" s="4" t="s">
        <v>3926</v>
      </c>
      <c r="F1365" s="7" t="s">
        <v>82</v>
      </c>
      <c r="G1365" s="7" t="s">
        <v>87</v>
      </c>
      <c r="H1365" s="7" t="s">
        <v>75</v>
      </c>
      <c r="I1365" s="4" t="s">
        <v>1789</v>
      </c>
      <c r="J1365" s="4" t="s">
        <v>5</v>
      </c>
      <c r="K1365" s="4" t="s">
        <v>10</v>
      </c>
      <c r="L1365" s="4" t="s">
        <v>23</v>
      </c>
      <c r="M1365" s="4" t="s">
        <v>390</v>
      </c>
      <c r="N1365" s="4"/>
      <c r="O1365" s="133"/>
      <c r="P1365" s="25">
        <v>46252</v>
      </c>
      <c r="Q1365" s="7" t="s">
        <v>1192</v>
      </c>
      <c r="R1365" s="4" t="s">
        <v>3252</v>
      </c>
      <c r="S1365" s="104" t="s">
        <v>1796</v>
      </c>
      <c r="T1365" s="4" t="s">
        <v>92</v>
      </c>
      <c r="U1365" s="4" t="s">
        <v>349</v>
      </c>
      <c r="V1365" s="4">
        <v>99</v>
      </c>
      <c r="W1365" s="85"/>
      <c r="X1365" s="4"/>
      <c r="Y1365" s="4"/>
      <c r="Z1365" s="4"/>
      <c r="AA1365" s="4"/>
      <c r="AB1365" s="4"/>
    </row>
    <row r="1366" spans="1:28">
      <c r="A1366" s="4">
        <v>1365</v>
      </c>
      <c r="B1366" s="4">
        <v>12930179</v>
      </c>
      <c r="C1366" s="4">
        <v>206192282</v>
      </c>
      <c r="D1366" s="115" t="s">
        <v>3025</v>
      </c>
      <c r="E1366" s="4" t="s">
        <v>3026</v>
      </c>
      <c r="F1366" s="7" t="s">
        <v>82</v>
      </c>
      <c r="G1366" s="7" t="s">
        <v>75</v>
      </c>
      <c r="H1366" s="7" t="s">
        <v>76</v>
      </c>
      <c r="I1366" s="7" t="s">
        <v>1788</v>
      </c>
      <c r="J1366" s="4" t="s">
        <v>5</v>
      </c>
      <c r="K1366" s="4" t="s">
        <v>10</v>
      </c>
      <c r="L1366" s="4" t="s">
        <v>23</v>
      </c>
      <c r="M1366" s="4" t="s">
        <v>390</v>
      </c>
      <c r="N1366" s="4"/>
      <c r="O1366" s="133"/>
      <c r="P1366" s="25">
        <v>46252</v>
      </c>
      <c r="Q1366" s="7" t="s">
        <v>1112</v>
      </c>
      <c r="R1366" s="90" t="s">
        <v>2586</v>
      </c>
      <c r="S1366" s="104" t="s">
        <v>1796</v>
      </c>
      <c r="T1366" s="4" t="s">
        <v>92</v>
      </c>
      <c r="U1366" s="4" t="s">
        <v>349</v>
      </c>
      <c r="V1366" s="4">
        <v>99</v>
      </c>
      <c r="W1366" s="85"/>
      <c r="X1366" s="4"/>
      <c r="Y1366" s="4"/>
      <c r="Z1366" s="4"/>
      <c r="AA1366" s="4"/>
      <c r="AB1366" s="4"/>
    </row>
    <row r="1367" spans="1:28">
      <c r="A1367" s="4">
        <v>1366</v>
      </c>
      <c r="B1367" s="4">
        <v>11954429</v>
      </c>
      <c r="C1367" s="4">
        <v>204869099</v>
      </c>
      <c r="D1367" s="115" t="s">
        <v>4183</v>
      </c>
      <c r="E1367" s="4" t="s">
        <v>4184</v>
      </c>
      <c r="F1367" s="7" t="s">
        <v>82</v>
      </c>
      <c r="G1367" s="7" t="s">
        <v>76</v>
      </c>
      <c r="H1367" s="7" t="s">
        <v>88</v>
      </c>
      <c r="I1367" s="4" t="s">
        <v>1789</v>
      </c>
      <c r="J1367" s="4" t="s">
        <v>5</v>
      </c>
      <c r="K1367" s="4" t="s">
        <v>10</v>
      </c>
      <c r="L1367" s="4" t="s">
        <v>27</v>
      </c>
      <c r="M1367" s="4" t="s">
        <v>390</v>
      </c>
      <c r="N1367" s="4"/>
      <c r="O1367" s="133"/>
      <c r="P1367" s="25">
        <v>46252</v>
      </c>
      <c r="Q1367" s="7" t="s">
        <v>1112</v>
      </c>
      <c r="R1367" s="90" t="s">
        <v>3253</v>
      </c>
      <c r="S1367" s="104" t="s">
        <v>1796</v>
      </c>
      <c r="T1367" s="4" t="s">
        <v>92</v>
      </c>
      <c r="U1367" s="4" t="s">
        <v>349</v>
      </c>
      <c r="V1367" s="4">
        <v>99</v>
      </c>
      <c r="W1367" s="85"/>
      <c r="X1367" s="4"/>
      <c r="Y1367" s="4"/>
      <c r="Z1367" s="4"/>
      <c r="AA1367" s="4"/>
      <c r="AB1367" s="4"/>
    </row>
    <row r="1368" spans="1:28">
      <c r="A1368" s="4">
        <v>1367</v>
      </c>
      <c r="B1368" s="4">
        <v>14005186</v>
      </c>
      <c r="C1368" s="4">
        <v>113156279</v>
      </c>
      <c r="D1368" s="115" t="s">
        <v>4398</v>
      </c>
      <c r="E1368" s="4" t="s">
        <v>4399</v>
      </c>
      <c r="F1368" s="4" t="s">
        <v>74</v>
      </c>
      <c r="G1368" s="4" t="s">
        <v>88</v>
      </c>
      <c r="H1368" s="4" t="s">
        <v>94</v>
      </c>
      <c r="I1368" s="6" t="s">
        <v>244</v>
      </c>
      <c r="J1368" s="7" t="s">
        <v>4</v>
      </c>
      <c r="K1368" s="4" t="s">
        <v>10</v>
      </c>
      <c r="L1368" s="4" t="s">
        <v>21</v>
      </c>
      <c r="M1368" s="4" t="s">
        <v>4311</v>
      </c>
      <c r="N1368" s="4"/>
      <c r="O1368" s="133"/>
      <c r="P1368" s="25">
        <v>46265</v>
      </c>
      <c r="Q1368" s="7" t="s">
        <v>106</v>
      </c>
      <c r="R1368" s="90"/>
      <c r="S1368" s="6" t="s">
        <v>1795</v>
      </c>
      <c r="T1368" s="4" t="s">
        <v>92</v>
      </c>
      <c r="U1368" s="4" t="s">
        <v>349</v>
      </c>
      <c r="V1368" s="4">
        <v>3</v>
      </c>
      <c r="W1368" s="85"/>
      <c r="X1368" s="4"/>
      <c r="Y1368" s="4"/>
      <c r="Z1368" s="4"/>
      <c r="AA1368" s="4"/>
      <c r="AB1368" s="4"/>
    </row>
    <row r="1369" spans="1:28">
      <c r="A1369" s="4">
        <v>1368</v>
      </c>
      <c r="B1369" s="4">
        <v>11515158</v>
      </c>
      <c r="C1369" s="4">
        <v>208089510</v>
      </c>
      <c r="D1369" s="115" t="s">
        <v>4400</v>
      </c>
      <c r="E1369" s="4" t="s">
        <v>4401</v>
      </c>
      <c r="F1369" s="4" t="s">
        <v>74</v>
      </c>
      <c r="G1369" s="4" t="s">
        <v>88</v>
      </c>
      <c r="H1369" s="4" t="s">
        <v>94</v>
      </c>
      <c r="I1369" s="6" t="s">
        <v>244</v>
      </c>
      <c r="J1369" s="4" t="s">
        <v>5</v>
      </c>
      <c r="K1369" s="4" t="s">
        <v>10</v>
      </c>
      <c r="L1369" s="4" t="s">
        <v>21</v>
      </c>
      <c r="M1369" s="4" t="s">
        <v>851</v>
      </c>
      <c r="N1369" s="4"/>
      <c r="O1369" s="133"/>
      <c r="P1369" s="25">
        <v>46265</v>
      </c>
      <c r="Q1369" s="7" t="s">
        <v>1111</v>
      </c>
      <c r="R1369" s="90"/>
      <c r="S1369" s="6" t="s">
        <v>1795</v>
      </c>
      <c r="T1369" s="4" t="s">
        <v>81</v>
      </c>
      <c r="U1369" s="4" t="s">
        <v>349</v>
      </c>
      <c r="V1369" s="4">
        <v>3</v>
      </c>
      <c r="W1369" s="85"/>
      <c r="X1369" s="4"/>
      <c r="Y1369" s="4"/>
      <c r="Z1369" s="4"/>
      <c r="AA1369" s="4"/>
      <c r="AB1369" s="4"/>
    </row>
  </sheetData>
  <sortState xmlns:xlrd2="http://schemas.microsoft.com/office/spreadsheetml/2017/richdata2" ref="A2:AA961">
    <sortCondition ref="J1:J961"/>
  </sortState>
  <phoneticPr fontId="19" type="noConversion"/>
  <conditionalFormatting sqref="B508">
    <cfRule type="duplicateValues" dxfId="370" priority="100896"/>
  </conditionalFormatting>
  <conditionalFormatting sqref="B510">
    <cfRule type="duplicateValues" dxfId="369" priority="778"/>
  </conditionalFormatting>
  <conditionalFormatting sqref="B511">
    <cfRule type="duplicateValues" dxfId="368" priority="777"/>
  </conditionalFormatting>
  <conditionalFormatting sqref="B874:B878">
    <cfRule type="duplicateValues" dxfId="367" priority="124439"/>
    <cfRule type="duplicateValues" dxfId="366" priority="124438"/>
  </conditionalFormatting>
  <conditionalFormatting sqref="B880:B881">
    <cfRule type="duplicateValues" dxfId="365" priority="769"/>
    <cfRule type="duplicateValues" dxfId="364" priority="770"/>
  </conditionalFormatting>
  <conditionalFormatting sqref="B886">
    <cfRule type="duplicateValues" dxfId="363" priority="768"/>
    <cfRule type="duplicateValues" dxfId="362" priority="767"/>
  </conditionalFormatting>
  <conditionalFormatting sqref="B889:B894">
    <cfRule type="duplicateValues" dxfId="361" priority="64306"/>
    <cfRule type="duplicateValues" dxfId="360" priority="64307"/>
  </conditionalFormatting>
  <conditionalFormatting sqref="B898:B901">
    <cfRule type="duplicateValues" dxfId="359" priority="63612"/>
    <cfRule type="duplicateValues" dxfId="358" priority="63613"/>
  </conditionalFormatting>
  <conditionalFormatting sqref="B902:B904">
    <cfRule type="duplicateValues" dxfId="357" priority="99319"/>
  </conditionalFormatting>
  <conditionalFormatting sqref="B916:B919">
    <cfRule type="duplicateValues" dxfId="356" priority="80634"/>
  </conditionalFormatting>
  <conditionalFormatting sqref="B931">
    <cfRule type="duplicateValues" dxfId="355" priority="103243"/>
  </conditionalFormatting>
  <conditionalFormatting sqref="B935">
    <cfRule type="duplicateValues" dxfId="354" priority="873"/>
  </conditionalFormatting>
  <conditionalFormatting sqref="B939:B941">
    <cfRule type="duplicateValues" dxfId="353" priority="80384"/>
  </conditionalFormatting>
  <conditionalFormatting sqref="B942 B936:B938 B932:B934 B920:B930 B905:B915">
    <cfRule type="duplicateValues" dxfId="352" priority="114203"/>
  </conditionalFormatting>
  <conditionalFormatting sqref="B943:B961">
    <cfRule type="duplicateValues" dxfId="351" priority="114142"/>
  </conditionalFormatting>
  <conditionalFormatting sqref="B964">
    <cfRule type="duplicateValues" dxfId="350" priority="783"/>
  </conditionalFormatting>
  <conditionalFormatting sqref="B978">
    <cfRule type="duplicateValues" dxfId="349" priority="788"/>
  </conditionalFormatting>
  <conditionalFormatting sqref="B986">
    <cfRule type="duplicateValues" dxfId="348" priority="803"/>
  </conditionalFormatting>
  <conditionalFormatting sqref="B987:B1016 B962:B963 B979:B985 B965:B977">
    <cfRule type="duplicateValues" dxfId="347" priority="124027"/>
  </conditionalFormatting>
  <conditionalFormatting sqref="B1017:B1059">
    <cfRule type="duplicateValues" dxfId="346" priority="123275"/>
  </conditionalFormatting>
  <conditionalFormatting sqref="B1060:B1213">
    <cfRule type="duplicateValues" dxfId="345" priority="126362"/>
  </conditionalFormatting>
  <conditionalFormatting sqref="B1077:B1080">
    <cfRule type="duplicateValues" dxfId="344" priority="103165"/>
  </conditionalFormatting>
  <conditionalFormatting sqref="B1214:B1224">
    <cfRule type="duplicateValues" dxfId="343" priority="478"/>
  </conditionalFormatting>
  <conditionalFormatting sqref="B1225:B1279">
    <cfRule type="duplicateValues" dxfId="342" priority="123322"/>
    <cfRule type="duplicateValues" dxfId="341" priority="123323"/>
  </conditionalFormatting>
  <conditionalFormatting sqref="B1232">
    <cfRule type="duplicateValues" dxfId="340" priority="113988"/>
    <cfRule type="duplicateValues" dxfId="339" priority="113989"/>
  </conditionalFormatting>
  <conditionalFormatting sqref="B895:D897 B882:D885 C881:D881 B887:D888 C886:D886 C889:D894">
    <cfRule type="duplicateValues" dxfId="338" priority="126257"/>
    <cfRule type="duplicateValues" dxfId="337" priority="126258"/>
  </conditionalFormatting>
  <conditionalFormatting sqref="C1:C1313">
    <cfRule type="duplicateValues" dxfId="336" priority="126640"/>
    <cfRule type="duplicateValues" dxfId="335" priority="126639"/>
  </conditionalFormatting>
  <conditionalFormatting sqref="C1:C1328">
    <cfRule type="duplicateValues" dxfId="334" priority="126643"/>
  </conditionalFormatting>
  <conditionalFormatting sqref="C1:C1367">
    <cfRule type="duplicateValues" dxfId="333" priority="126645"/>
  </conditionalFormatting>
  <conditionalFormatting sqref="C584">
    <cfRule type="duplicateValues" dxfId="332" priority="126285"/>
  </conditionalFormatting>
  <conditionalFormatting sqref="C941">
    <cfRule type="duplicateValues" dxfId="331" priority="126286"/>
  </conditionalFormatting>
  <conditionalFormatting sqref="C942 C905:C940">
    <cfRule type="duplicateValues" dxfId="330" priority="126287"/>
  </conditionalFormatting>
  <conditionalFormatting sqref="C943:C961">
    <cfRule type="duplicateValues" dxfId="329" priority="126289"/>
  </conditionalFormatting>
  <conditionalFormatting sqref="C975">
    <cfRule type="duplicateValues" dxfId="328" priority="126290"/>
  </conditionalFormatting>
  <conditionalFormatting sqref="C976:C1016 C962:C974">
    <cfRule type="duplicateValues" dxfId="327" priority="126291"/>
  </conditionalFormatting>
  <conditionalFormatting sqref="C1017:C1059">
    <cfRule type="duplicateValues" dxfId="326" priority="126293"/>
  </conditionalFormatting>
  <conditionalFormatting sqref="C1060:C1081">
    <cfRule type="duplicateValues" dxfId="325" priority="126294"/>
  </conditionalFormatting>
  <conditionalFormatting sqref="C1082:C1094">
    <cfRule type="duplicateValues" dxfId="324" priority="126295"/>
  </conditionalFormatting>
  <conditionalFormatting sqref="C1095:C1101">
    <cfRule type="duplicateValues" dxfId="323" priority="126296"/>
  </conditionalFormatting>
  <conditionalFormatting sqref="C1102:C1124">
    <cfRule type="duplicateValues" dxfId="322" priority="126297"/>
  </conditionalFormatting>
  <conditionalFormatting sqref="C1125:C1133">
    <cfRule type="duplicateValues" dxfId="321" priority="126373"/>
  </conditionalFormatting>
  <conditionalFormatting sqref="C1134">
    <cfRule type="duplicateValues" dxfId="320" priority="126299"/>
  </conditionalFormatting>
  <conditionalFormatting sqref="C1135:C1161">
    <cfRule type="duplicateValues" dxfId="319" priority="126300"/>
  </conditionalFormatting>
  <conditionalFormatting sqref="C1162">
    <cfRule type="duplicateValues" dxfId="318" priority="126301"/>
  </conditionalFormatting>
  <conditionalFormatting sqref="C1163:C1181">
    <cfRule type="duplicateValues" dxfId="317" priority="126302"/>
  </conditionalFormatting>
  <conditionalFormatting sqref="C1182:C1207">
    <cfRule type="duplicateValues" dxfId="316" priority="126303"/>
  </conditionalFormatting>
  <conditionalFormatting sqref="C1208:C1209">
    <cfRule type="duplicateValues" dxfId="315" priority="126304"/>
  </conditionalFormatting>
  <conditionalFormatting sqref="C1210:C1224">
    <cfRule type="duplicateValues" dxfId="314" priority="126312"/>
    <cfRule type="duplicateValues" dxfId="313" priority="126305"/>
    <cfRule type="duplicateValues" dxfId="312" priority="126306"/>
    <cfRule type="duplicateValues" dxfId="311" priority="126307"/>
    <cfRule type="duplicateValues" dxfId="310" priority="126308"/>
    <cfRule type="duplicateValues" dxfId="309" priority="126309"/>
    <cfRule type="duplicateValues" dxfId="308" priority="126310"/>
    <cfRule type="duplicateValues" dxfId="307" priority="126311"/>
  </conditionalFormatting>
  <conditionalFormatting sqref="C1225:C1226">
    <cfRule type="duplicateValues" dxfId="306" priority="126313"/>
  </conditionalFormatting>
  <conditionalFormatting sqref="C1227">
    <cfRule type="duplicateValues" dxfId="305" priority="126314"/>
  </conditionalFormatting>
  <conditionalFormatting sqref="C1228">
    <cfRule type="duplicateValues" dxfId="304" priority="126315"/>
  </conditionalFormatting>
  <conditionalFormatting sqref="C1229:C1231">
    <cfRule type="duplicateValues" dxfId="303" priority="126316"/>
  </conditionalFormatting>
  <conditionalFormatting sqref="C1235:C1279">
    <cfRule type="duplicateValues" dxfId="302" priority="126317"/>
    <cfRule type="duplicateValues" dxfId="301" priority="126318"/>
  </conditionalFormatting>
  <conditionalFormatting sqref="C1314:C1328">
    <cfRule type="duplicateValues" dxfId="300" priority="126319"/>
    <cfRule type="duplicateValues" dxfId="299" priority="126320"/>
    <cfRule type="duplicateValues" dxfId="298" priority="126321"/>
  </conditionalFormatting>
  <conditionalFormatting sqref="C1368:C1369">
    <cfRule type="duplicateValues" dxfId="297" priority="2"/>
    <cfRule type="duplicateValues" dxfId="296" priority="1"/>
  </conditionalFormatting>
  <conditionalFormatting sqref="C1370:C1048576 C1:C1367">
    <cfRule type="duplicateValues" dxfId="295" priority="3"/>
  </conditionalFormatting>
  <conditionalFormatting sqref="C855:D864">
    <cfRule type="duplicateValues" dxfId="294" priority="126322"/>
  </conditionalFormatting>
  <conditionalFormatting sqref="C880:D880 B879:D879 B865:D873 C874:D878">
    <cfRule type="duplicateValues" dxfId="293" priority="126324"/>
    <cfRule type="duplicateValues" dxfId="292" priority="126325"/>
  </conditionalFormatting>
  <conditionalFormatting sqref="C898:D901">
    <cfRule type="duplicateValues" dxfId="291" priority="126340"/>
    <cfRule type="duplicateValues" dxfId="290" priority="126341"/>
  </conditionalFormatting>
  <conditionalFormatting sqref="C902:D904">
    <cfRule type="duplicateValues" dxfId="289" priority="126344"/>
    <cfRule type="duplicateValues" dxfId="288" priority="126345"/>
  </conditionalFormatting>
  <conditionalFormatting sqref="C1232:D1232">
    <cfRule type="duplicateValues" dxfId="287" priority="126348"/>
    <cfRule type="duplicateValues" dxfId="286" priority="126349"/>
  </conditionalFormatting>
  <conditionalFormatting sqref="C1233:D1233">
    <cfRule type="duplicateValues" dxfId="285" priority="126352"/>
    <cfRule type="duplicateValues" dxfId="284" priority="126353"/>
  </conditionalFormatting>
  <conditionalFormatting sqref="C1234:D1234">
    <cfRule type="duplicateValues" dxfId="283" priority="126356"/>
    <cfRule type="duplicateValues" dxfId="282" priority="126357"/>
  </conditionalFormatting>
  <conditionalFormatting sqref="C1235:E1279">
    <cfRule type="duplicateValues" dxfId="281" priority="126360"/>
    <cfRule type="duplicateValues" dxfId="280" priority="126361"/>
  </conditionalFormatting>
  <conditionalFormatting sqref="D905:D942">
    <cfRule type="duplicateValues" dxfId="279" priority="124250"/>
    <cfRule type="duplicateValues" dxfId="278" priority="124251"/>
  </conditionalFormatting>
  <conditionalFormatting sqref="D943:D961">
    <cfRule type="duplicateValues" dxfId="277" priority="114165"/>
    <cfRule type="duplicateValues" dxfId="276" priority="114164"/>
    <cfRule type="duplicateValues" dxfId="275" priority="114162"/>
    <cfRule type="duplicateValues" dxfId="274" priority="114163"/>
  </conditionalFormatting>
  <conditionalFormatting sqref="D964">
    <cfRule type="duplicateValues" dxfId="273" priority="784"/>
    <cfRule type="duplicateValues" dxfId="272" priority="785"/>
    <cfRule type="duplicateValues" dxfId="271" priority="786"/>
    <cfRule type="duplicateValues" dxfId="270" priority="787"/>
  </conditionalFormatting>
  <conditionalFormatting sqref="D975">
    <cfRule type="duplicateValues" dxfId="269" priority="810"/>
    <cfRule type="duplicateValues" dxfId="268" priority="811"/>
    <cfRule type="duplicateValues" dxfId="267" priority="813"/>
    <cfRule type="duplicateValues" dxfId="266" priority="812"/>
  </conditionalFormatting>
  <conditionalFormatting sqref="D978">
    <cfRule type="duplicateValues" dxfId="265" priority="791"/>
    <cfRule type="duplicateValues" dxfId="264" priority="789"/>
    <cfRule type="duplicateValues" dxfId="263" priority="790"/>
    <cfRule type="duplicateValues" dxfId="262" priority="792"/>
  </conditionalFormatting>
  <conditionalFormatting sqref="D986">
    <cfRule type="duplicateValues" dxfId="261" priority="804"/>
    <cfRule type="duplicateValues" dxfId="260" priority="805"/>
    <cfRule type="duplicateValues" dxfId="259" priority="806"/>
    <cfRule type="duplicateValues" dxfId="258" priority="807"/>
  </conditionalFormatting>
  <conditionalFormatting sqref="D987:D989 D976:D977 D962:D963 D979:D985 D965:D974">
    <cfRule type="duplicateValues" dxfId="257" priority="124035"/>
    <cfRule type="duplicateValues" dxfId="256" priority="124036"/>
    <cfRule type="duplicateValues" dxfId="255" priority="124037"/>
    <cfRule type="duplicateValues" dxfId="254" priority="124038"/>
  </conditionalFormatting>
  <conditionalFormatting sqref="D1215">
    <cfRule type="duplicateValues" dxfId="253" priority="352"/>
    <cfRule type="duplicateValues" dxfId="252" priority="351"/>
    <cfRule type="duplicateValues" dxfId="251" priority="353"/>
    <cfRule type="duplicateValues" dxfId="250" priority="354"/>
    <cfRule type="duplicateValues" dxfId="249" priority="355"/>
    <cfRule type="duplicateValues" dxfId="248" priority="356"/>
    <cfRule type="duplicateValues" dxfId="247" priority="357"/>
  </conditionalFormatting>
  <conditionalFormatting sqref="D1216:D1224 D1:D1214">
    <cfRule type="duplicateValues" dxfId="246" priority="64460"/>
    <cfRule type="duplicateValues" dxfId="245" priority="64461"/>
    <cfRule type="duplicateValues" dxfId="244" priority="64459"/>
  </conditionalFormatting>
  <conditionalFormatting sqref="D1217:D1224 D1:D904">
    <cfRule type="duplicateValues" dxfId="243" priority="64465"/>
  </conditionalFormatting>
  <conditionalFormatting sqref="D1217:D1224 D1:D942">
    <cfRule type="duplicateValues" dxfId="242" priority="64467"/>
    <cfRule type="duplicateValues" dxfId="241" priority="64468"/>
  </conditionalFormatting>
  <conditionalFormatting sqref="D1217:D1224">
    <cfRule type="duplicateValues" dxfId="240" priority="64471"/>
    <cfRule type="duplicateValues" dxfId="239" priority="64458"/>
  </conditionalFormatting>
  <conditionalFormatting sqref="D1225:D1226">
    <cfRule type="duplicateValues" dxfId="238" priority="63076"/>
    <cfRule type="duplicateValues" dxfId="237" priority="63075"/>
    <cfRule type="duplicateValues" dxfId="236" priority="63073"/>
    <cfRule type="duplicateValues" dxfId="235" priority="63074"/>
    <cfRule type="duplicateValues" dxfId="234" priority="63080"/>
    <cfRule type="duplicateValues" dxfId="233" priority="63079"/>
    <cfRule type="duplicateValues" dxfId="232" priority="63078"/>
    <cfRule type="duplicateValues" dxfId="231" priority="63077"/>
  </conditionalFormatting>
  <conditionalFormatting sqref="D1227">
    <cfRule type="duplicateValues" dxfId="230" priority="431"/>
    <cfRule type="duplicateValues" dxfId="229" priority="430"/>
    <cfRule type="duplicateValues" dxfId="228" priority="429"/>
    <cfRule type="duplicateValues" dxfId="227" priority="427"/>
    <cfRule type="duplicateValues" dxfId="226" priority="426"/>
    <cfRule type="duplicateValues" dxfId="225" priority="424"/>
    <cfRule type="duplicateValues" dxfId="224" priority="425"/>
    <cfRule type="duplicateValues" dxfId="223" priority="428"/>
  </conditionalFormatting>
  <conditionalFormatting sqref="D1228">
    <cfRule type="duplicateValues" dxfId="222" priority="397"/>
    <cfRule type="duplicateValues" dxfId="221" priority="393"/>
    <cfRule type="duplicateValues" dxfId="220" priority="392"/>
    <cfRule type="duplicateValues" dxfId="219" priority="394"/>
    <cfRule type="duplicateValues" dxfId="218" priority="395"/>
    <cfRule type="duplicateValues" dxfId="217" priority="398"/>
    <cfRule type="duplicateValues" dxfId="216" priority="396"/>
    <cfRule type="duplicateValues" dxfId="215" priority="391"/>
  </conditionalFormatting>
  <conditionalFormatting sqref="D1229:D1231">
    <cfRule type="duplicateValues" dxfId="214" priority="377"/>
    <cfRule type="duplicateValues" dxfId="213" priority="374"/>
    <cfRule type="duplicateValues" dxfId="212" priority="375"/>
    <cfRule type="duplicateValues" dxfId="211" priority="376"/>
    <cfRule type="duplicateValues" dxfId="210" priority="378"/>
    <cfRule type="duplicateValues" dxfId="209" priority="379"/>
    <cfRule type="duplicateValues" dxfId="208" priority="380"/>
    <cfRule type="duplicateValues" dxfId="207" priority="381"/>
  </conditionalFormatting>
  <conditionalFormatting sqref="D1232">
    <cfRule type="duplicateValues" dxfId="206" priority="114006"/>
    <cfRule type="duplicateValues" dxfId="205" priority="114003"/>
    <cfRule type="duplicateValues" dxfId="204" priority="114005"/>
    <cfRule type="duplicateValues" dxfId="203" priority="114004"/>
    <cfRule type="duplicateValues" dxfId="202" priority="114002"/>
    <cfRule type="duplicateValues" dxfId="201" priority="114007"/>
  </conditionalFormatting>
  <conditionalFormatting sqref="D1233:D1279">
    <cfRule type="duplicateValues" dxfId="200" priority="123326"/>
    <cfRule type="duplicateValues" dxfId="199" priority="123328"/>
    <cfRule type="duplicateValues" dxfId="198" priority="123329"/>
    <cfRule type="duplicateValues" dxfId="197" priority="123330"/>
    <cfRule type="duplicateValues" dxfId="196" priority="123331"/>
    <cfRule type="duplicateValues" dxfId="195" priority="123327"/>
  </conditionalFormatting>
  <conditionalFormatting sqref="D1235:D1279">
    <cfRule type="duplicateValues" dxfId="194" priority="123302"/>
  </conditionalFormatting>
  <conditionalFormatting sqref="D1314">
    <cfRule type="duplicateValues" dxfId="193" priority="262"/>
    <cfRule type="duplicateValues" dxfId="192" priority="261"/>
    <cfRule type="duplicateValues" dxfId="191" priority="260"/>
    <cfRule type="duplicateValues" dxfId="190" priority="259"/>
    <cfRule type="duplicateValues" dxfId="189" priority="258"/>
    <cfRule type="duplicateValues" dxfId="188" priority="256"/>
    <cfRule type="duplicateValues" dxfId="187" priority="257"/>
  </conditionalFormatting>
  <conditionalFormatting sqref="D1315:E1328 D1:D1313">
    <cfRule type="duplicateValues" dxfId="186" priority="123274"/>
    <cfRule type="duplicateValues" dxfId="185" priority="123273"/>
  </conditionalFormatting>
  <conditionalFormatting sqref="E1:E1213">
    <cfRule type="duplicateValues" dxfId="184" priority="126689"/>
  </conditionalFormatting>
  <conditionalFormatting sqref="E614:E808 D614:D864 B585:C864 B512:C583 C510:C511 B505:C507 B509:C509 C508 B584 D505:E613 B2:E504">
    <cfRule type="duplicateValues" dxfId="183" priority="126126"/>
  </conditionalFormatting>
  <conditionalFormatting sqref="E809:E942">
    <cfRule type="duplicateValues" dxfId="182" priority="125137"/>
  </conditionalFormatting>
  <conditionalFormatting sqref="E943:E961">
    <cfRule type="duplicateValues" dxfId="181" priority="114199"/>
  </conditionalFormatting>
  <conditionalFormatting sqref="E1225:E1226">
    <cfRule type="duplicateValues" dxfId="180" priority="63086"/>
    <cfRule type="duplicateValues" dxfId="179" priority="63085"/>
    <cfRule type="duplicateValues" dxfId="178" priority="63084"/>
    <cfRule type="duplicateValues" dxfId="177" priority="63083"/>
    <cfRule type="duplicateValues" dxfId="176" priority="63082"/>
    <cfRule type="duplicateValues" dxfId="175" priority="63081"/>
    <cfRule type="duplicateValues" dxfId="174" priority="63088"/>
    <cfRule type="duplicateValues" dxfId="173" priority="63087"/>
  </conditionalFormatting>
  <conditionalFormatting sqref="E1227">
    <cfRule type="duplicateValues" dxfId="172" priority="439"/>
    <cfRule type="duplicateValues" dxfId="171" priority="438"/>
    <cfRule type="duplicateValues" dxfId="170" priority="437"/>
    <cfRule type="duplicateValues" dxfId="169" priority="436"/>
    <cfRule type="duplicateValues" dxfId="168" priority="435"/>
    <cfRule type="duplicateValues" dxfId="167" priority="434"/>
    <cfRule type="duplicateValues" dxfId="166" priority="433"/>
    <cfRule type="duplicateValues" dxfId="165" priority="432"/>
  </conditionalFormatting>
  <conditionalFormatting sqref="E1228">
    <cfRule type="duplicateValues" dxfId="164" priority="406"/>
    <cfRule type="duplicateValues" dxfId="163" priority="405"/>
    <cfRule type="duplicateValues" dxfId="162" priority="404"/>
    <cfRule type="duplicateValues" dxfId="161" priority="403"/>
    <cfRule type="duplicateValues" dxfId="160" priority="401"/>
    <cfRule type="duplicateValues" dxfId="159" priority="400"/>
    <cfRule type="duplicateValues" dxfId="158" priority="399"/>
    <cfRule type="duplicateValues" dxfId="157" priority="402"/>
  </conditionalFormatting>
  <conditionalFormatting sqref="E1229:E1231">
    <cfRule type="duplicateValues" dxfId="156" priority="382"/>
    <cfRule type="duplicateValues" dxfId="155" priority="383"/>
    <cfRule type="duplicateValues" dxfId="154" priority="384"/>
    <cfRule type="duplicateValues" dxfId="153" priority="385"/>
    <cfRule type="duplicateValues" dxfId="152" priority="386"/>
    <cfRule type="duplicateValues" dxfId="151" priority="387"/>
    <cfRule type="duplicateValues" dxfId="150" priority="389"/>
    <cfRule type="duplicateValues" dxfId="149" priority="388"/>
  </conditionalFormatting>
  <conditionalFormatting sqref="E1232">
    <cfRule type="duplicateValues" dxfId="148" priority="114008"/>
    <cfRule type="duplicateValues" dxfId="147" priority="114009"/>
  </conditionalFormatting>
  <conditionalFormatting sqref="E1233:E1279">
    <cfRule type="duplicateValues" dxfId="146" priority="123338"/>
    <cfRule type="duplicateValues" dxfId="145" priority="123339"/>
  </conditionalFormatting>
  <conditionalFormatting sqref="E1235:E1279">
    <cfRule type="duplicateValues" dxfId="144" priority="123311"/>
    <cfRule type="duplicateValues" dxfId="143" priority="123310"/>
    <cfRule type="duplicateValues" dxfId="142" priority="123309"/>
    <cfRule type="duplicateValues" dxfId="141" priority="123308"/>
    <cfRule type="duplicateValues" dxfId="140" priority="123307"/>
    <cfRule type="duplicateValues" dxfId="139" priority="123304"/>
    <cfRule type="duplicateValues" dxfId="138" priority="123306"/>
    <cfRule type="duplicateValues" dxfId="137" priority="123305"/>
  </conditionalFormatting>
  <conditionalFormatting sqref="Y904">
    <cfRule type="duplicateValues" dxfId="136" priority="99380"/>
    <cfRule type="duplicateValues" dxfId="135" priority="99381"/>
  </conditionalFormatting>
  <conditionalFormatting sqref="Y1227:AB1227">
    <cfRule type="duplicateValues" dxfId="134" priority="417"/>
    <cfRule type="duplicateValues" dxfId="133" priority="419"/>
    <cfRule type="duplicateValues" dxfId="132" priority="420"/>
    <cfRule type="duplicateValues" dxfId="131" priority="421"/>
    <cfRule type="duplicateValues" dxfId="130" priority="422"/>
    <cfRule type="duplicateValues" dxfId="129" priority="415"/>
    <cfRule type="duplicateValues" dxfId="128" priority="416"/>
    <cfRule type="duplicateValues" dxfId="127" priority="418"/>
  </conditionalFormatting>
  <conditionalFormatting sqref="Y1228:AB1228">
    <cfRule type="duplicateValues" dxfId="126" priority="412"/>
    <cfRule type="duplicateValues" dxfId="125" priority="408"/>
    <cfRule type="duplicateValues" dxfId="124" priority="413"/>
    <cfRule type="duplicateValues" dxfId="123" priority="414"/>
    <cfRule type="duplicateValues" dxfId="122" priority="407"/>
    <cfRule type="duplicateValues" dxfId="121" priority="410"/>
    <cfRule type="duplicateValues" dxfId="120" priority="411"/>
    <cfRule type="duplicateValues" dxfId="119" priority="409"/>
  </conditionalFormatting>
  <conditionalFormatting sqref="Z903:Z904 Y898:Z902">
    <cfRule type="duplicateValues" dxfId="118" priority="99383"/>
    <cfRule type="duplicateValues" dxfId="117" priority="99382"/>
  </conditionalFormatting>
  <conditionalFormatting sqref="Z931:Z935 Z921:Z922 Z906:Z908 Z910:Z914 Z916:Z917 Z919 Z924 Z926:Z929 Z937:Z938 Z940:Z941">
    <cfRule type="duplicateValues" dxfId="116" priority="114259"/>
    <cfRule type="duplicateValues" dxfId="115" priority="114258"/>
  </conditionalFormatting>
  <hyperlinks>
    <hyperlink ref="Z1263" r:id="rId1" xr:uid="{D2FF2E03-CC6B-4030-A0C0-DB45C71232F2}"/>
    <hyperlink ref="Z799" r:id="rId2" xr:uid="{059EC1D9-0A40-4B6E-AF7B-10D3A7C59C8B}"/>
    <hyperlink ref="Z752" r:id="rId3" display="mailto:kiyembafaizal@hotmail.com" xr:uid="{B3727A99-70B2-4416-9FF6-B6A4E1630F64}"/>
    <hyperlink ref="Z1099" r:id="rId4" display="mailto:sth.rn.08@gmail.com" xr:uid="{61E5411F-F337-4A2F-9CA7-0E26A591D057}"/>
    <hyperlink ref="Z633" r:id="rId5" display="mailto:annobiljustice@gmail.com" xr:uid="{5661C4AE-6999-4D21-A2CD-7239A80EF731}"/>
    <hyperlink ref="Z651" r:id="rId6" display="mailto:baahb3858@gmail.com" xr:uid="{1B61D13F-1948-4570-A5B7-92AFE6771599}"/>
    <hyperlink ref="Z649" r:id="rId7" display="mailto:samuelawuni75@gmail.com" xr:uid="{26B6BD7A-27BC-4601-9437-3C0F99475463}"/>
    <hyperlink ref="Z1270" r:id="rId8" xr:uid="{1CFF27CA-1845-4962-8689-773591BD7D4B}"/>
    <hyperlink ref="Z1269" r:id="rId9" xr:uid="{8DC6A107-C751-4ECC-A4CE-DAAF75A120CE}"/>
    <hyperlink ref="Z236" r:id="rId10" display="mailto:emmanuelmbaziira240@gmail.com" xr:uid="{7C432EB1-DB2F-42DC-BF69-DBE65D780A95}"/>
    <hyperlink ref="Z1278" r:id="rId11" xr:uid="{D15923BF-29C4-4133-A25A-034564C3E39C}"/>
    <hyperlink ref="D381" r:id="rId12" display="https://admindirectory.corp.amazon.com/users/ssegilbe" xr:uid="{E9B25E00-A8DF-4EFA-A6C3-55C1D3ED1185}"/>
    <hyperlink ref="D303" r:id="rId13" display="https://admindirectory.corp.amazon.com/users/andebayi" xr:uid="{0FD4AFD3-B777-47F6-835B-A6D1F3FB0BD7}"/>
    <hyperlink ref="D522" r:id="rId14" display="https://admindirectory.corp.amazon.com/users/adebugar" xr:uid="{9E73F81D-48BA-4202-A2AA-3CBA25DAE79E}"/>
    <hyperlink ref="D565" r:id="rId15" display="https://admindirectory.corp.amazon.com/users/tadekizi" xr:uid="{F2C07160-B265-4A60-B218-5C5D4BC39CAD}"/>
    <hyperlink ref="D372" r:id="rId16" display="https://admindirectory.corp.amazon.com/users/kasobfra" xr:uid="{2E17934E-27DC-4268-822D-11419EA37E68}"/>
    <hyperlink ref="D527" r:id="rId17" display="https://admindirectory.corp.amazon.com/users/keizokre" xr:uid="{88C449C2-53EB-4A24-A1E3-466172690E16}"/>
    <hyperlink ref="D396" r:id="rId18" display="https://admindirectory.corp.amazon.com/users/isandyam" xr:uid="{02D16105-41E8-4E0A-99C1-4912B93DB6EA}"/>
    <hyperlink ref="Z381" r:id="rId19" display="mailto:hakimssemboga@gmail.com" xr:uid="{1D4A80F8-B951-4755-9101-AD0CF2A16EBA}"/>
    <hyperlink ref="Z303" r:id="rId20" display="mailto:bayinganaanderson@gmail.com" xr:uid="{D9D7C422-3D2F-44DA-9896-6355A978C738}"/>
    <hyperlink ref="Z522" r:id="rId21" display="mailto:tymata2000@gmail.com" xr:uid="{A96DB0B9-B676-4532-9063-FCACF04BD064}"/>
    <hyperlink ref="Z565" r:id="rId22" display="mailto:lilk122756@gmail.com" xr:uid="{CBE3D166-DAC2-4953-9591-7C70E6805942}"/>
    <hyperlink ref="Z372" r:id="rId23" display="mailto:buqembefrincis32@gmail.com" xr:uid="{FF643632-4E7A-4B36-A28A-7508BA10F4EE}"/>
    <hyperlink ref="Z527" r:id="rId24" display="mailto:kimkeizo121@gmail.com" xr:uid="{990A7840-2422-4097-95F7-D681553D2817}"/>
    <hyperlink ref="Z396" r:id="rId25" display="mailto:isaacndyanuhaki@gmail.com" xr:uid="{4AFE0EA2-E966-49AD-8895-DF55A00D6941}"/>
    <hyperlink ref="Z571" r:id="rId26" display="mailto:franktumusiime12@gmail.com" xr:uid="{8FC5A7BD-B5EC-4DCA-ACB2-C398B78D4518}"/>
    <hyperlink ref="Z152" r:id="rId27" display="mailto:nabasaeriah@gmail.com" xr:uid="{2BD4D470-CB74-44AD-82F6-DCA2F0932C4A}"/>
    <hyperlink ref="Z143" r:id="rId28" display="mailto:andrewkasagga8@mail.com" xr:uid="{550849FD-64B5-41E3-A86A-894A582B40E6}"/>
    <hyperlink ref="Z79" r:id="rId29" display="mailto:brownfred12@gmail.com" xr:uid="{55045AEC-BE18-4E3F-8983-F299D87A2D07}"/>
    <hyperlink ref="Z122" r:id="rId30" display="mailto:kaboggozajora1@gmail.com" xr:uid="{E4507553-9176-434E-A84B-272FF8FC73C5}"/>
    <hyperlink ref="Z113" r:id="rId31" display="mailto:josephssekandi@gmil.com" xr:uid="{04BA4D0F-8499-407B-83D8-DD32DAAEEE6F}"/>
    <hyperlink ref="Z371" r:id="rId32" display="mailto:animf1234@gmail.com" xr:uid="{19A1E3F2-63F2-4176-BF4D-0BD9AF696DFF}"/>
    <hyperlink ref="E313" r:id="rId33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5A680C1C-1600-4841-9C1A-F84F7C4EDD4B}"/>
    <hyperlink ref="E583" r:id="rId34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95E202CC-B9C1-4119-A17B-27EDB5AB140C}"/>
    <hyperlink ref="Z417" r:id="rId35" display="mailto:Josephatekusasira@gmail.com" xr:uid="{DB0B5E6B-0653-4471-B329-D69CED4CF82B}"/>
    <hyperlink ref="Z560" r:id="rId36" display="mailto:ssagsuman@gmail.com" xr:uid="{1DB206E2-3C4E-4973-860A-EE89E05AD9FF}"/>
    <hyperlink ref="Z470" r:id="rId37" display="mailto:misaelbuliani@gmail.com" xr:uid="{9F33B5DE-5822-4978-95A5-55528C749B69}"/>
    <hyperlink ref="Z494" r:id="rId38" display="mailto:nahabwerodgers@gmail.com" xr:uid="{7022B63E-96CB-4737-BB0F-54960F7E1A9F}"/>
    <hyperlink ref="Z1281" r:id="rId39" xr:uid="{D345A61F-187A-4477-8B4F-3DDA162041BF}"/>
    <hyperlink ref="Z1273" r:id="rId40" xr:uid="{01306E3B-631D-4A39-97C5-1241AEEC19F5}"/>
    <hyperlink ref="Z1271" r:id="rId41" xr:uid="{755AD15D-B105-4113-A70A-D5DBC2B8FF31}"/>
  </hyperlinks>
  <pageMargins left="0.7" right="0.7" top="0.75" bottom="0.75" header="0.3" footer="0.3"/>
  <pageSetup orientation="portrait" r:id="rId4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8CF7-F515-4F89-A260-B38344FE7143}">
  <sheetPr codeName="Sheet5"/>
  <dimension ref="A1:XEX20"/>
  <sheetViews>
    <sheetView workbookViewId="0">
      <selection activeCell="C2" sqref="C2"/>
    </sheetView>
  </sheetViews>
  <sheetFormatPr defaultRowHeight="14.5"/>
  <cols>
    <col min="1" max="1" width="3.26953125" bestFit="1" customWidth="1"/>
    <col min="2" max="2" width="8.1796875" bestFit="1" customWidth="1"/>
    <col min="3" max="3" width="7.453125" bestFit="1" customWidth="1"/>
    <col min="4" max="4" width="8.1796875" bestFit="1" customWidth="1"/>
    <col min="5" max="5" width="8.26953125" bestFit="1" customWidth="1"/>
    <col min="6" max="6" width="17.26953125" bestFit="1" customWidth="1"/>
    <col min="7" max="7" width="8.1796875" bestFit="1" customWidth="1"/>
    <col min="8" max="8" width="13.453125" bestFit="1" customWidth="1"/>
    <col min="9" max="9" width="6.453125" bestFit="1" customWidth="1"/>
    <col min="10" max="10" width="7.453125" bestFit="1" customWidth="1"/>
    <col min="12" max="12" width="7.7265625" bestFit="1" customWidth="1"/>
    <col min="13" max="13" width="8.54296875" bestFit="1" customWidth="1"/>
    <col min="14" max="14" width="6.81640625" bestFit="1" customWidth="1"/>
    <col min="15" max="15" width="14.81640625" bestFit="1" customWidth="1"/>
    <col min="16" max="16" width="20.453125" bestFit="1" customWidth="1"/>
    <col min="17" max="17" width="9.1796875" bestFit="1" customWidth="1"/>
    <col min="18" max="18" width="11.54296875" bestFit="1" customWidth="1"/>
    <col min="19" max="19" width="12.7265625" bestFit="1" customWidth="1"/>
    <col min="20" max="20" width="4.81640625" bestFit="1" customWidth="1"/>
    <col min="21" max="21" width="12.7265625" bestFit="1" customWidth="1"/>
    <col min="22" max="22" width="14.453125" bestFit="1" customWidth="1"/>
    <col min="23" max="23" width="20.1796875" bestFit="1" customWidth="1"/>
    <col min="24" max="24" width="5.81640625" bestFit="1" customWidth="1"/>
    <col min="25" max="25" width="7.54296875" bestFit="1" customWidth="1"/>
    <col min="26" max="26" width="6.7265625" bestFit="1" customWidth="1"/>
    <col min="27" max="27" width="9.453125" bestFit="1" customWidth="1"/>
    <col min="28" max="28" width="11.453125" bestFit="1" customWidth="1"/>
    <col min="29" max="29" width="11.7265625" bestFit="1" customWidth="1"/>
    <col min="30" max="30" width="11.1796875" bestFit="1" customWidth="1"/>
    <col min="31" max="32" width="10.1796875" bestFit="1" customWidth="1"/>
    <col min="33" max="33" width="9.54296875" bestFit="1" customWidth="1"/>
    <col min="34" max="35" width="4.1796875" bestFit="1" customWidth="1"/>
    <col min="36" max="36" width="8.54296875" bestFit="1" customWidth="1"/>
    <col min="37" max="37" width="13.453125" bestFit="1" customWidth="1"/>
    <col min="38" max="38" width="13.54296875" bestFit="1" customWidth="1"/>
    <col min="39" max="39" width="5.81640625" bestFit="1" customWidth="1"/>
    <col min="40" max="40" width="9.453125" bestFit="1" customWidth="1"/>
    <col min="41" max="41" width="10.54296875" bestFit="1" customWidth="1"/>
    <col min="42" max="42" width="8.54296875" bestFit="1" customWidth="1"/>
    <col min="43" max="43" width="9.453125" bestFit="1" customWidth="1"/>
    <col min="44" max="44" width="9.1796875" bestFit="1" customWidth="1"/>
    <col min="45" max="45" width="10.54296875" bestFit="1" customWidth="1"/>
    <col min="46" max="46" width="12.1796875" bestFit="1" customWidth="1"/>
    <col min="47" max="48" width="9.54296875" bestFit="1" customWidth="1"/>
    <col min="49" max="50" width="20.81640625" bestFit="1" customWidth="1"/>
    <col min="51" max="51" width="23.81640625" bestFit="1" customWidth="1"/>
    <col min="52" max="52" width="21.81640625" bestFit="1" customWidth="1"/>
    <col min="53" max="53" width="20.81640625" bestFit="1" customWidth="1"/>
    <col min="54" max="54" width="22.453125" bestFit="1" customWidth="1"/>
    <col min="55" max="55" width="21.1796875" bestFit="1" customWidth="1"/>
    <col min="56" max="57" width="22" bestFit="1" customWidth="1"/>
    <col min="58" max="58" width="24.81640625" bestFit="1" customWidth="1"/>
    <col min="59" max="59" width="22.81640625" bestFit="1" customWidth="1"/>
    <col min="60" max="60" width="20.1796875" bestFit="1" customWidth="1"/>
    <col min="61" max="61" width="22.453125" bestFit="1" customWidth="1"/>
    <col min="62" max="62" width="21.1796875" bestFit="1" customWidth="1"/>
    <col min="63" max="64" width="22" bestFit="1" customWidth="1"/>
    <col min="65" max="65" width="24.81640625" bestFit="1" customWidth="1"/>
    <col min="66" max="66" width="22.81640625" bestFit="1" customWidth="1"/>
    <col min="67" max="67" width="20.1796875" bestFit="1" customWidth="1"/>
    <col min="68" max="68" width="22.453125" bestFit="1" customWidth="1"/>
    <col min="69" max="69" width="4.81640625" bestFit="1" customWidth="1"/>
    <col min="70" max="70" width="7.81640625" bestFit="1" customWidth="1"/>
  </cols>
  <sheetData>
    <row r="1" spans="1:16378" s="41" customFormat="1">
      <c r="A1" s="1" t="s">
        <v>28</v>
      </c>
      <c r="B1" s="32" t="s">
        <v>29</v>
      </c>
      <c r="C1" s="1" t="s">
        <v>30</v>
      </c>
      <c r="D1" s="1" t="s">
        <v>29</v>
      </c>
      <c r="E1" s="1" t="s">
        <v>31</v>
      </c>
      <c r="F1" s="1" t="s">
        <v>32</v>
      </c>
      <c r="G1" s="2" t="s">
        <v>33</v>
      </c>
      <c r="H1" s="1" t="s">
        <v>34</v>
      </c>
      <c r="I1" s="1" t="s">
        <v>35</v>
      </c>
      <c r="J1" s="26" t="s">
        <v>36</v>
      </c>
      <c r="K1" s="3" t="s">
        <v>37</v>
      </c>
      <c r="L1" s="1" t="s">
        <v>38</v>
      </c>
      <c r="M1" s="1" t="s">
        <v>39</v>
      </c>
      <c r="N1" s="1" t="s">
        <v>40</v>
      </c>
      <c r="O1" s="1" t="s">
        <v>42</v>
      </c>
      <c r="P1" s="1" t="s">
        <v>41</v>
      </c>
      <c r="Q1" s="3" t="s">
        <v>43</v>
      </c>
      <c r="R1" s="22" t="s">
        <v>44</v>
      </c>
      <c r="S1" s="1" t="s">
        <v>45</v>
      </c>
      <c r="T1" s="1" t="s">
        <v>9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26" t="s">
        <v>46</v>
      </c>
      <c r="AB1" s="26" t="s">
        <v>47</v>
      </c>
      <c r="AC1" s="26" t="s">
        <v>48</v>
      </c>
      <c r="AD1" s="26" t="s">
        <v>49</v>
      </c>
      <c r="AE1" s="26" t="s">
        <v>50</v>
      </c>
      <c r="AF1" s="26" t="s">
        <v>51</v>
      </c>
      <c r="AG1" s="36" t="s">
        <v>58</v>
      </c>
      <c r="AH1" s="36" t="s">
        <v>39</v>
      </c>
      <c r="AI1" s="36" t="s">
        <v>40</v>
      </c>
      <c r="AJ1" s="26" t="s">
        <v>59</v>
      </c>
      <c r="AK1" s="26" t="s">
        <v>60</v>
      </c>
      <c r="AL1" s="26" t="s">
        <v>61</v>
      </c>
      <c r="AM1" s="35"/>
      <c r="AN1" s="39" t="s">
        <v>38</v>
      </c>
      <c r="AO1" s="39" t="s">
        <v>62</v>
      </c>
      <c r="AP1" s="39" t="s">
        <v>63</v>
      </c>
      <c r="AQ1" s="26" t="s">
        <v>64</v>
      </c>
      <c r="AR1" s="26" t="s">
        <v>65</v>
      </c>
      <c r="AS1" s="26" t="s">
        <v>66</v>
      </c>
      <c r="AT1" s="26" t="s">
        <v>67</v>
      </c>
      <c r="AU1" s="26" t="s">
        <v>68</v>
      </c>
      <c r="AV1" s="26" t="s">
        <v>69</v>
      </c>
      <c r="AW1" s="37">
        <v>45509</v>
      </c>
      <c r="AX1" s="37">
        <v>45510</v>
      </c>
      <c r="AY1" s="37">
        <v>45511</v>
      </c>
      <c r="AZ1" s="37">
        <v>45512</v>
      </c>
      <c r="BA1" s="37">
        <v>45513</v>
      </c>
      <c r="BB1" s="37">
        <v>45514</v>
      </c>
      <c r="BC1" s="37">
        <v>45515</v>
      </c>
      <c r="BD1" s="37">
        <v>45516</v>
      </c>
      <c r="BE1" s="37">
        <v>45517</v>
      </c>
      <c r="BF1" s="37">
        <v>45518</v>
      </c>
      <c r="BG1" s="37">
        <v>45519</v>
      </c>
      <c r="BH1" s="37">
        <v>45520</v>
      </c>
      <c r="BI1" s="37">
        <v>45521</v>
      </c>
      <c r="BJ1" s="37">
        <v>45522</v>
      </c>
      <c r="BK1" s="37">
        <v>45523</v>
      </c>
      <c r="BL1" s="37">
        <v>45524</v>
      </c>
      <c r="BM1" s="37">
        <v>45525</v>
      </c>
      <c r="BN1" s="37">
        <v>45526</v>
      </c>
      <c r="BO1" s="37">
        <v>45527</v>
      </c>
      <c r="BP1" s="37">
        <v>45528</v>
      </c>
      <c r="BQ1" s="37" t="s">
        <v>835</v>
      </c>
    </row>
    <row r="2" spans="1:16378" s="41" customFormat="1">
      <c r="A2" s="4">
        <v>1</v>
      </c>
      <c r="B2" s="5">
        <v>201567443</v>
      </c>
      <c r="C2" s="5">
        <v>13075661</v>
      </c>
      <c r="D2" s="5">
        <v>201567443</v>
      </c>
      <c r="E2" s="4" t="s">
        <v>836</v>
      </c>
      <c r="F2" s="4" t="s">
        <v>837</v>
      </c>
      <c r="G2" s="25">
        <v>45096</v>
      </c>
      <c r="H2" s="6" t="s">
        <v>71</v>
      </c>
      <c r="I2" s="4" t="s">
        <v>72</v>
      </c>
      <c r="J2" s="4" t="s">
        <v>73</v>
      </c>
      <c r="K2" s="4">
        <v>1299</v>
      </c>
      <c r="L2" s="7" t="s">
        <v>74</v>
      </c>
      <c r="M2" s="7" t="s">
        <v>87</v>
      </c>
      <c r="N2" s="7" t="s">
        <v>75</v>
      </c>
      <c r="O2" s="6" t="s">
        <v>348</v>
      </c>
      <c r="P2" s="6" t="s">
        <v>77</v>
      </c>
      <c r="Q2" s="7" t="s">
        <v>2</v>
      </c>
      <c r="R2" s="24">
        <v>45516</v>
      </c>
      <c r="S2" s="6" t="s">
        <v>78</v>
      </c>
      <c r="T2" s="4" t="s">
        <v>10</v>
      </c>
      <c r="U2" s="4" t="s">
        <v>25</v>
      </c>
      <c r="V2" s="34" t="s">
        <v>11</v>
      </c>
      <c r="W2" s="34" t="s">
        <v>80</v>
      </c>
      <c r="X2" s="6" t="s">
        <v>92</v>
      </c>
      <c r="Y2" s="6" t="s">
        <v>103</v>
      </c>
      <c r="Z2" s="4">
        <v>99</v>
      </c>
      <c r="AA2" s="4"/>
      <c r="AB2" s="4">
        <v>1597</v>
      </c>
      <c r="AC2" s="4" t="s">
        <v>79</v>
      </c>
      <c r="AD2" s="4"/>
      <c r="AE2" s="4"/>
      <c r="AF2" s="4" t="s">
        <v>349</v>
      </c>
      <c r="AG2" s="4"/>
      <c r="AH2" s="4"/>
      <c r="AI2" s="4"/>
      <c r="AJ2" s="4" t="s">
        <v>72</v>
      </c>
      <c r="AK2" s="33" t="e">
        <v>#N/A</v>
      </c>
      <c r="AL2" s="4" t="e">
        <v>#N/A</v>
      </c>
      <c r="AM2" s="35" t="e">
        <v>#N/A</v>
      </c>
      <c r="AN2" s="35" t="e">
        <v>#N/A</v>
      </c>
      <c r="AO2" s="35" t="e">
        <v>#N/A</v>
      </c>
      <c r="AP2" s="35" t="e">
        <v>#N/A</v>
      </c>
      <c r="AQ2" s="35" t="s">
        <v>74</v>
      </c>
      <c r="AR2" s="35" t="s">
        <v>88</v>
      </c>
      <c r="AS2" s="35" t="s">
        <v>94</v>
      </c>
      <c r="AT2" s="35" t="b">
        <v>1</v>
      </c>
      <c r="AU2" s="35" t="b">
        <v>0</v>
      </c>
      <c r="AV2" s="35" t="b">
        <v>0</v>
      </c>
      <c r="AW2" s="46" t="s">
        <v>74</v>
      </c>
      <c r="AX2" s="46" t="s">
        <v>74</v>
      </c>
      <c r="AY2" s="47" t="s">
        <v>83</v>
      </c>
      <c r="AZ2" s="47" t="s">
        <v>83</v>
      </c>
      <c r="BA2" s="47" t="s">
        <v>83</v>
      </c>
      <c r="BB2" s="44" t="s">
        <v>84</v>
      </c>
      <c r="BC2" s="46" t="s">
        <v>74</v>
      </c>
      <c r="BD2" s="46" t="s">
        <v>74</v>
      </c>
      <c r="BE2" s="46" t="s">
        <v>74</v>
      </c>
      <c r="BF2" s="45" t="s">
        <v>84</v>
      </c>
      <c r="BG2" s="45" t="s">
        <v>84</v>
      </c>
      <c r="BH2" s="46" t="s">
        <v>74</v>
      </c>
      <c r="BI2" s="46" t="s">
        <v>74</v>
      </c>
      <c r="BJ2" s="46" t="s">
        <v>74</v>
      </c>
      <c r="BK2" s="46" t="s">
        <v>74</v>
      </c>
      <c r="BL2" s="46" t="s">
        <v>74</v>
      </c>
      <c r="BM2" s="45" t="s">
        <v>84</v>
      </c>
      <c r="BN2" s="45" t="s">
        <v>84</v>
      </c>
      <c r="BO2" s="46" t="s">
        <v>74</v>
      </c>
      <c r="BP2" s="46" t="s">
        <v>74</v>
      </c>
      <c r="BQ2" s="35">
        <v>20</v>
      </c>
      <c r="BR2" s="41">
        <v>2929292</v>
      </c>
    </row>
    <row r="3" spans="1:16378" s="41" customFormat="1">
      <c r="A3" s="4">
        <v>2</v>
      </c>
      <c r="B3" s="5">
        <v>200176091</v>
      </c>
      <c r="C3" s="5">
        <v>11948479</v>
      </c>
      <c r="D3" s="5">
        <v>200176091</v>
      </c>
      <c r="E3" s="4" t="s">
        <v>838</v>
      </c>
      <c r="F3" s="4" t="s">
        <v>839</v>
      </c>
      <c r="G3" s="25">
        <v>44755</v>
      </c>
      <c r="H3" s="6" t="s">
        <v>71</v>
      </c>
      <c r="I3" s="4" t="s">
        <v>72</v>
      </c>
      <c r="J3" s="4" t="s">
        <v>105</v>
      </c>
      <c r="K3" s="4">
        <v>1299</v>
      </c>
      <c r="L3" s="7" t="s">
        <v>74</v>
      </c>
      <c r="M3" s="7" t="s">
        <v>76</v>
      </c>
      <c r="N3" s="7" t="s">
        <v>88</v>
      </c>
      <c r="O3" s="6" t="s">
        <v>348</v>
      </c>
      <c r="P3" s="6" t="s">
        <v>77</v>
      </c>
      <c r="Q3" s="7" t="s">
        <v>3</v>
      </c>
      <c r="R3" s="24">
        <v>45516</v>
      </c>
      <c r="S3" s="6" t="s">
        <v>139</v>
      </c>
      <c r="T3" s="4" t="s">
        <v>10</v>
      </c>
      <c r="U3" s="4" t="s">
        <v>24</v>
      </c>
      <c r="V3" s="34" t="s">
        <v>13</v>
      </c>
      <c r="W3" s="34" t="s">
        <v>140</v>
      </c>
      <c r="X3" s="6" t="s">
        <v>81</v>
      </c>
      <c r="Y3" s="6" t="s">
        <v>132</v>
      </c>
      <c r="Z3" s="4">
        <v>99</v>
      </c>
      <c r="AA3" s="4"/>
      <c r="AB3" s="4">
        <v>194</v>
      </c>
      <c r="AC3" s="4" t="s">
        <v>113</v>
      </c>
      <c r="AD3" s="4"/>
      <c r="AE3" s="4"/>
      <c r="AF3" s="4" t="s">
        <v>349</v>
      </c>
      <c r="AG3" s="4"/>
      <c r="AH3" s="4"/>
      <c r="AI3" s="4"/>
      <c r="AJ3" s="4" t="s">
        <v>72</v>
      </c>
      <c r="AK3" s="33" t="e">
        <v>#N/A</v>
      </c>
      <c r="AL3" s="4" t="e">
        <v>#N/A</v>
      </c>
      <c r="AM3" s="35" t="e">
        <v>#N/A</v>
      </c>
      <c r="AN3" s="35" t="s">
        <v>74</v>
      </c>
      <c r="AO3" s="35" t="s">
        <v>76</v>
      </c>
      <c r="AP3" s="35" t="s">
        <v>88</v>
      </c>
      <c r="AQ3" s="35" t="s">
        <v>74</v>
      </c>
      <c r="AR3" s="35" t="s">
        <v>90</v>
      </c>
      <c r="AS3" s="35" t="s">
        <v>87</v>
      </c>
      <c r="AT3" s="35" t="b">
        <v>1</v>
      </c>
      <c r="AU3" s="35" t="b">
        <v>0</v>
      </c>
      <c r="AV3" s="35" t="b">
        <v>0</v>
      </c>
      <c r="AW3" s="35" t="s">
        <v>74</v>
      </c>
      <c r="AX3" s="42" t="s">
        <v>84</v>
      </c>
      <c r="AY3" s="42" t="s">
        <v>84</v>
      </c>
      <c r="AZ3" s="35" t="s">
        <v>83</v>
      </c>
      <c r="BA3" s="35" t="s">
        <v>83</v>
      </c>
      <c r="BB3" s="35" t="s">
        <v>83</v>
      </c>
      <c r="BC3" s="35" t="s">
        <v>74</v>
      </c>
      <c r="BD3" s="35" t="s">
        <v>74</v>
      </c>
      <c r="BE3" s="46" t="s">
        <v>74</v>
      </c>
      <c r="BF3" s="46" t="s">
        <v>74</v>
      </c>
      <c r="BG3" s="46" t="s">
        <v>74</v>
      </c>
      <c r="BH3" s="45" t="s">
        <v>84</v>
      </c>
      <c r="BI3" s="45" t="s">
        <v>84</v>
      </c>
      <c r="BJ3" s="46" t="s">
        <v>74</v>
      </c>
      <c r="BK3" s="46" t="s">
        <v>74</v>
      </c>
      <c r="BL3" s="46" t="s">
        <v>74</v>
      </c>
      <c r="BM3" s="46" t="s">
        <v>74</v>
      </c>
      <c r="BN3" s="46" t="s">
        <v>74</v>
      </c>
      <c r="BO3" s="45" t="s">
        <v>84</v>
      </c>
      <c r="BP3" s="45" t="s">
        <v>84</v>
      </c>
      <c r="BQ3" s="35">
        <v>20</v>
      </c>
      <c r="BR3" s="41">
        <v>2929292</v>
      </c>
    </row>
    <row r="4" spans="1:16378" s="41" customFormat="1">
      <c r="A4" s="4">
        <v>3</v>
      </c>
      <c r="B4" s="5">
        <v>203066642</v>
      </c>
      <c r="C4" s="5">
        <v>11141105</v>
      </c>
      <c r="D4" s="5">
        <v>203066642</v>
      </c>
      <c r="E4" s="4" t="s">
        <v>840</v>
      </c>
      <c r="F4" s="4" t="s">
        <v>841</v>
      </c>
      <c r="G4" s="25">
        <v>45355</v>
      </c>
      <c r="H4" s="6" t="s">
        <v>71</v>
      </c>
      <c r="I4" s="4" t="s">
        <v>72</v>
      </c>
      <c r="J4" s="4" t="s">
        <v>73</v>
      </c>
      <c r="K4" s="4">
        <v>1299</v>
      </c>
      <c r="L4" s="7" t="s">
        <v>74</v>
      </c>
      <c r="M4" s="7" t="s">
        <v>87</v>
      </c>
      <c r="N4" s="7" t="s">
        <v>75</v>
      </c>
      <c r="O4" s="6" t="s">
        <v>348</v>
      </c>
      <c r="P4" s="6" t="s">
        <v>77</v>
      </c>
      <c r="Q4" s="7" t="s">
        <v>3</v>
      </c>
      <c r="R4" s="24">
        <v>45516</v>
      </c>
      <c r="S4" s="6" t="s">
        <v>139</v>
      </c>
      <c r="T4" s="4" t="s">
        <v>10</v>
      </c>
      <c r="U4" s="4" t="s">
        <v>20</v>
      </c>
      <c r="V4" s="34" t="s">
        <v>13</v>
      </c>
      <c r="W4" s="34" t="s">
        <v>140</v>
      </c>
      <c r="X4" s="6" t="s">
        <v>81</v>
      </c>
      <c r="Y4" s="6" t="s">
        <v>107</v>
      </c>
      <c r="Z4" s="4">
        <v>99</v>
      </c>
      <c r="AA4" s="4"/>
      <c r="AB4" s="4">
        <v>187</v>
      </c>
      <c r="AC4" s="4" t="s">
        <v>113</v>
      </c>
      <c r="AD4" s="4"/>
      <c r="AE4" s="4"/>
      <c r="AF4" s="4" t="s">
        <v>349</v>
      </c>
      <c r="AG4" s="4"/>
      <c r="AH4" s="4"/>
      <c r="AI4" s="4"/>
      <c r="AJ4" s="4" t="s">
        <v>72</v>
      </c>
      <c r="AK4" s="33" t="e">
        <v>#N/A</v>
      </c>
      <c r="AL4" s="4" t="e">
        <v>#N/A</v>
      </c>
      <c r="AM4" s="35" t="e">
        <v>#N/A</v>
      </c>
      <c r="AN4" s="35" t="s">
        <v>74</v>
      </c>
      <c r="AO4" s="35" t="s">
        <v>87</v>
      </c>
      <c r="AP4" s="35" t="s">
        <v>75</v>
      </c>
      <c r="AQ4" s="35" t="s">
        <v>74</v>
      </c>
      <c r="AR4" s="35" t="s">
        <v>75</v>
      </c>
      <c r="AS4" s="35" t="s">
        <v>76</v>
      </c>
      <c r="AT4" s="35" t="b">
        <v>1</v>
      </c>
      <c r="AU4" s="35" t="b">
        <v>0</v>
      </c>
      <c r="AV4" s="35" t="b">
        <v>0</v>
      </c>
      <c r="AW4" s="35" t="s">
        <v>74</v>
      </c>
      <c r="AX4" s="35" t="s">
        <v>83</v>
      </c>
      <c r="AY4" s="35" t="s">
        <v>83</v>
      </c>
      <c r="AZ4" s="42" t="s">
        <v>84</v>
      </c>
      <c r="BA4" s="42" t="s">
        <v>84</v>
      </c>
      <c r="BB4" s="35" t="s">
        <v>83</v>
      </c>
      <c r="BC4" s="35" t="s">
        <v>74</v>
      </c>
      <c r="BD4" s="35" t="s">
        <v>74</v>
      </c>
      <c r="BE4" s="46" t="s">
        <v>74</v>
      </c>
      <c r="BF4" s="45" t="s">
        <v>84</v>
      </c>
      <c r="BG4" s="45" t="s">
        <v>84</v>
      </c>
      <c r="BH4" s="46" t="s">
        <v>74</v>
      </c>
      <c r="BI4" s="46" t="s">
        <v>74</v>
      </c>
      <c r="BJ4" s="46" t="s">
        <v>74</v>
      </c>
      <c r="BK4" s="46" t="s">
        <v>74</v>
      </c>
      <c r="BL4" s="46" t="s">
        <v>74</v>
      </c>
      <c r="BM4" s="45" t="s">
        <v>84</v>
      </c>
      <c r="BN4" s="45" t="s">
        <v>84</v>
      </c>
      <c r="BO4" s="46" t="s">
        <v>74</v>
      </c>
      <c r="BP4" s="46" t="s">
        <v>74</v>
      </c>
      <c r="BQ4" s="35">
        <v>20</v>
      </c>
      <c r="BR4" s="41">
        <v>2929292</v>
      </c>
    </row>
    <row r="5" spans="1:16378" s="41" customFormat="1">
      <c r="A5" s="4">
        <v>4</v>
      </c>
      <c r="B5" s="5">
        <v>112677513</v>
      </c>
      <c r="C5" s="5">
        <v>13459269</v>
      </c>
      <c r="D5" s="5">
        <v>112677513</v>
      </c>
      <c r="E5" s="4" t="s">
        <v>842</v>
      </c>
      <c r="F5" s="4" t="s">
        <v>843</v>
      </c>
      <c r="G5" s="25">
        <v>44728</v>
      </c>
      <c r="H5" s="6" t="s">
        <v>71</v>
      </c>
      <c r="I5" s="4" t="s">
        <v>72</v>
      </c>
      <c r="J5" s="4" t="s">
        <v>73</v>
      </c>
      <c r="K5" s="4">
        <v>1299</v>
      </c>
      <c r="L5" s="7" t="s">
        <v>74</v>
      </c>
      <c r="M5" s="7" t="s">
        <v>89</v>
      </c>
      <c r="N5" s="7" t="s">
        <v>90</v>
      </c>
      <c r="O5" s="6" t="s">
        <v>348</v>
      </c>
      <c r="P5" s="6" t="s">
        <v>77</v>
      </c>
      <c r="Q5" s="7" t="s">
        <v>3</v>
      </c>
      <c r="R5" s="24">
        <v>45516</v>
      </c>
      <c r="S5" s="6" t="s">
        <v>114</v>
      </c>
      <c r="T5" s="4" t="s">
        <v>10</v>
      </c>
      <c r="U5" s="4" t="s">
        <v>25</v>
      </c>
      <c r="V5" s="34" t="s">
        <v>12</v>
      </c>
      <c r="W5" s="34" t="s">
        <v>145</v>
      </c>
      <c r="X5" s="6" t="s">
        <v>81</v>
      </c>
      <c r="Y5" s="6" t="s">
        <v>103</v>
      </c>
      <c r="Z5" s="4">
        <v>99</v>
      </c>
      <c r="AA5" s="4"/>
      <c r="AB5" s="4">
        <v>183</v>
      </c>
      <c r="AC5" s="4" t="s">
        <v>113</v>
      </c>
      <c r="AD5" s="4"/>
      <c r="AE5" s="4"/>
      <c r="AF5" s="4" t="s">
        <v>349</v>
      </c>
      <c r="AG5" s="4"/>
      <c r="AH5" s="4"/>
      <c r="AI5" s="4"/>
      <c r="AJ5" s="4" t="s">
        <v>72</v>
      </c>
      <c r="AK5" s="33" t="e">
        <v>#N/A</v>
      </c>
      <c r="AL5" s="4" t="e">
        <v>#N/A</v>
      </c>
      <c r="AM5" s="35" t="e">
        <v>#N/A</v>
      </c>
      <c r="AN5" s="35" t="s">
        <v>74</v>
      </c>
      <c r="AO5" s="35" t="s">
        <v>89</v>
      </c>
      <c r="AP5" s="35" t="s">
        <v>90</v>
      </c>
      <c r="AQ5" s="35" t="s">
        <v>74</v>
      </c>
      <c r="AR5" s="35" t="s">
        <v>88</v>
      </c>
      <c r="AS5" s="35" t="s">
        <v>94</v>
      </c>
      <c r="AT5" s="35" t="b">
        <v>1</v>
      </c>
      <c r="AU5" s="35" t="b">
        <v>0</v>
      </c>
      <c r="AV5" s="35" t="b">
        <v>0</v>
      </c>
      <c r="AW5" s="46" t="s">
        <v>74</v>
      </c>
      <c r="AX5" s="46" t="s">
        <v>74</v>
      </c>
      <c r="AY5" s="47" t="s">
        <v>83</v>
      </c>
      <c r="AZ5" s="47" t="s">
        <v>83</v>
      </c>
      <c r="BA5" s="47" t="s">
        <v>83</v>
      </c>
      <c r="BB5" s="44" t="s">
        <v>84</v>
      </c>
      <c r="BC5" s="46" t="s">
        <v>74</v>
      </c>
      <c r="BD5" s="44" t="s">
        <v>84</v>
      </c>
      <c r="BE5" s="45" t="s">
        <v>84</v>
      </c>
      <c r="BF5" s="46" t="s">
        <v>74</v>
      </c>
      <c r="BG5" s="46" t="s">
        <v>74</v>
      </c>
      <c r="BH5" s="46" t="s">
        <v>74</v>
      </c>
      <c r="BI5" s="46" t="s">
        <v>74</v>
      </c>
      <c r="BJ5" s="46" t="s">
        <v>74</v>
      </c>
      <c r="BK5" s="46" t="s">
        <v>74</v>
      </c>
      <c r="BL5" s="45" t="s">
        <v>84</v>
      </c>
      <c r="BM5" s="46" t="s">
        <v>74</v>
      </c>
      <c r="BN5" s="46" t="s">
        <v>74</v>
      </c>
      <c r="BO5" s="46" t="s">
        <v>74</v>
      </c>
      <c r="BP5" s="46" t="s">
        <v>74</v>
      </c>
      <c r="BQ5" s="35">
        <v>20</v>
      </c>
      <c r="BR5" s="41">
        <v>2929292</v>
      </c>
    </row>
    <row r="6" spans="1:16378" s="41" customFormat="1">
      <c r="A6" s="4">
        <v>5</v>
      </c>
      <c r="B6" s="5">
        <v>112911448</v>
      </c>
      <c r="C6" s="5">
        <v>12403009</v>
      </c>
      <c r="D6" s="5">
        <v>112911448</v>
      </c>
      <c r="E6" s="4" t="s">
        <v>844</v>
      </c>
      <c r="F6" s="4" t="s">
        <v>845</v>
      </c>
      <c r="G6" s="25">
        <v>44791</v>
      </c>
      <c r="H6" s="6" t="s">
        <v>71</v>
      </c>
      <c r="I6" s="4" t="s">
        <v>72</v>
      </c>
      <c r="J6" s="4" t="s">
        <v>73</v>
      </c>
      <c r="K6" s="4">
        <v>1299</v>
      </c>
      <c r="L6" s="7" t="s">
        <v>74</v>
      </c>
      <c r="M6" s="7" t="s">
        <v>89</v>
      </c>
      <c r="N6" s="7" t="s">
        <v>90</v>
      </c>
      <c r="O6" s="6" t="s">
        <v>348</v>
      </c>
      <c r="P6" s="6" t="s">
        <v>77</v>
      </c>
      <c r="Q6" s="7" t="s">
        <v>3</v>
      </c>
      <c r="R6" s="24">
        <v>45516</v>
      </c>
      <c r="S6" s="6" t="s">
        <v>173</v>
      </c>
      <c r="T6" s="4" t="s">
        <v>10</v>
      </c>
      <c r="U6" s="4" t="s">
        <v>26</v>
      </c>
      <c r="V6" s="34" t="s">
        <v>12</v>
      </c>
      <c r="W6" s="34" t="s">
        <v>145</v>
      </c>
      <c r="X6" s="6" t="s">
        <v>81</v>
      </c>
      <c r="Y6" s="6" t="s">
        <v>103</v>
      </c>
      <c r="Z6" s="4">
        <v>99</v>
      </c>
      <c r="AA6" s="4"/>
      <c r="AB6" s="4"/>
      <c r="AC6" s="4"/>
      <c r="AD6" s="4"/>
      <c r="AE6" s="4"/>
      <c r="AF6" s="4" t="s">
        <v>349</v>
      </c>
      <c r="AG6" s="4"/>
      <c r="AH6" s="4"/>
      <c r="AI6" s="4"/>
      <c r="AJ6" s="4" t="s">
        <v>72</v>
      </c>
      <c r="AK6" s="33" t="e">
        <v>#N/A</v>
      </c>
      <c r="AL6" s="4" t="e">
        <v>#N/A</v>
      </c>
      <c r="AM6" s="35" t="e">
        <v>#N/A</v>
      </c>
      <c r="AN6" s="35" t="s">
        <v>74</v>
      </c>
      <c r="AO6" s="35" t="s">
        <v>89</v>
      </c>
      <c r="AP6" s="35" t="s">
        <v>90</v>
      </c>
      <c r="AQ6" s="35" t="s">
        <v>74</v>
      </c>
      <c r="AR6" s="35" t="s">
        <v>88</v>
      </c>
      <c r="AS6" s="35" t="s">
        <v>94</v>
      </c>
      <c r="AT6" s="35" t="b">
        <v>1</v>
      </c>
      <c r="AU6" s="35" t="b">
        <v>0</v>
      </c>
      <c r="AV6" s="35" t="b">
        <v>0</v>
      </c>
      <c r="AW6" s="46" t="s">
        <v>74</v>
      </c>
      <c r="AX6" s="46" t="s">
        <v>74</v>
      </c>
      <c r="AY6" s="47" t="s">
        <v>83</v>
      </c>
      <c r="AZ6" s="47" t="s">
        <v>83</v>
      </c>
      <c r="BA6" s="47" t="s">
        <v>83</v>
      </c>
      <c r="BB6" s="44" t="s">
        <v>84</v>
      </c>
      <c r="BC6" s="46" t="s">
        <v>74</v>
      </c>
      <c r="BD6" s="44" t="s">
        <v>84</v>
      </c>
      <c r="BE6" s="45" t="s">
        <v>84</v>
      </c>
      <c r="BF6" s="46" t="s">
        <v>74</v>
      </c>
      <c r="BG6" s="46" t="s">
        <v>74</v>
      </c>
      <c r="BH6" s="46" t="s">
        <v>74</v>
      </c>
      <c r="BI6" s="46" t="s">
        <v>74</v>
      </c>
      <c r="BJ6" s="46" t="s">
        <v>74</v>
      </c>
      <c r="BK6" s="46" t="s">
        <v>74</v>
      </c>
      <c r="BL6" s="45" t="s">
        <v>84</v>
      </c>
      <c r="BM6" s="46" t="s">
        <v>74</v>
      </c>
      <c r="BN6" s="46" t="s">
        <v>74</v>
      </c>
      <c r="BO6" s="46" t="s">
        <v>74</v>
      </c>
      <c r="BP6" s="46" t="s">
        <v>74</v>
      </c>
      <c r="BQ6" s="35">
        <v>20</v>
      </c>
      <c r="BR6" s="41">
        <v>2929292</v>
      </c>
    </row>
    <row r="7" spans="1:16378" s="41" customFormat="1">
      <c r="A7" s="4">
        <v>6</v>
      </c>
      <c r="B7" s="5">
        <v>102207600</v>
      </c>
      <c r="C7" s="5">
        <v>11947916</v>
      </c>
      <c r="D7" s="5">
        <v>102207600</v>
      </c>
      <c r="E7" s="4" t="s">
        <v>846</v>
      </c>
      <c r="F7" s="4" t="s">
        <v>358</v>
      </c>
      <c r="G7" s="25">
        <v>42868</v>
      </c>
      <c r="H7" s="6" t="s">
        <v>118</v>
      </c>
      <c r="I7" s="4" t="s">
        <v>72</v>
      </c>
      <c r="J7" s="4" t="s">
        <v>73</v>
      </c>
      <c r="K7" s="4">
        <v>1299</v>
      </c>
      <c r="L7" s="7" t="s">
        <v>74</v>
      </c>
      <c r="M7" s="7" t="s">
        <v>76</v>
      </c>
      <c r="N7" s="7" t="s">
        <v>88</v>
      </c>
      <c r="O7" s="6" t="s">
        <v>348</v>
      </c>
      <c r="P7" s="6" t="s">
        <v>119</v>
      </c>
      <c r="Q7" s="7" t="s">
        <v>3</v>
      </c>
      <c r="R7" s="24">
        <v>45516</v>
      </c>
      <c r="S7" s="6" t="s">
        <v>139</v>
      </c>
      <c r="T7" s="4" t="s">
        <v>10</v>
      </c>
      <c r="U7" s="4" t="s">
        <v>21</v>
      </c>
      <c r="V7" s="34" t="s">
        <v>13</v>
      </c>
      <c r="W7" s="34" t="s">
        <v>140</v>
      </c>
      <c r="X7" s="6" t="s">
        <v>81</v>
      </c>
      <c r="Y7" s="6" t="s">
        <v>103</v>
      </c>
      <c r="Z7" s="4">
        <v>99</v>
      </c>
      <c r="AA7" s="4"/>
      <c r="AB7" s="4">
        <v>437</v>
      </c>
      <c r="AC7" s="4" t="s">
        <v>113</v>
      </c>
      <c r="AD7" s="4"/>
      <c r="AE7" s="4"/>
      <c r="AF7" s="4" t="s">
        <v>127</v>
      </c>
      <c r="AG7" s="4"/>
      <c r="AH7" s="4"/>
      <c r="AI7" s="4"/>
      <c r="AJ7" s="4" t="s">
        <v>73</v>
      </c>
      <c r="AK7" s="33" t="e">
        <v>#N/A</v>
      </c>
      <c r="AL7" s="4" t="e">
        <v>#N/A</v>
      </c>
      <c r="AM7" s="35" t="e">
        <v>#N/A</v>
      </c>
      <c r="AN7" s="35" t="s">
        <v>74</v>
      </c>
      <c r="AO7" s="35" t="s">
        <v>76</v>
      </c>
      <c r="AP7" s="35" t="s">
        <v>88</v>
      </c>
      <c r="AQ7" s="35" t="s">
        <v>74</v>
      </c>
      <c r="AR7" s="35" t="s">
        <v>88</v>
      </c>
      <c r="AS7" s="35" t="s">
        <v>94</v>
      </c>
      <c r="AT7" s="35" t="b">
        <v>1</v>
      </c>
      <c r="AU7" s="35" t="b">
        <v>0</v>
      </c>
      <c r="AV7" s="35" t="b">
        <v>0</v>
      </c>
      <c r="AW7" s="46" t="s">
        <v>74</v>
      </c>
      <c r="AX7" s="46" t="s">
        <v>74</v>
      </c>
      <c r="AY7" s="47" t="s">
        <v>83</v>
      </c>
      <c r="AZ7" s="47" t="s">
        <v>83</v>
      </c>
      <c r="BA7" s="47" t="s">
        <v>83</v>
      </c>
      <c r="BB7" s="44" t="s">
        <v>84</v>
      </c>
      <c r="BC7" s="46" t="s">
        <v>74</v>
      </c>
      <c r="BD7" s="46" t="s">
        <v>74</v>
      </c>
      <c r="BE7" s="46" t="s">
        <v>74</v>
      </c>
      <c r="BF7" s="46" t="s">
        <v>74</v>
      </c>
      <c r="BG7" s="46" t="s">
        <v>74</v>
      </c>
      <c r="BH7" s="45" t="s">
        <v>84</v>
      </c>
      <c r="BI7" s="45" t="s">
        <v>84</v>
      </c>
      <c r="BJ7" s="46" t="s">
        <v>74</v>
      </c>
      <c r="BK7" s="46" t="s">
        <v>74</v>
      </c>
      <c r="BL7" s="46" t="s">
        <v>74</v>
      </c>
      <c r="BM7" s="46" t="s">
        <v>74</v>
      </c>
      <c r="BN7" s="46" t="s">
        <v>74</v>
      </c>
      <c r="BO7" s="45" t="s">
        <v>84</v>
      </c>
      <c r="BP7" s="45" t="s">
        <v>84</v>
      </c>
      <c r="BQ7" s="35">
        <v>20</v>
      </c>
      <c r="BR7" s="41">
        <v>2929292</v>
      </c>
    </row>
    <row r="8" spans="1:16378" s="41" customFormat="1">
      <c r="A8" s="4">
        <v>7</v>
      </c>
      <c r="B8" s="5">
        <v>113168246</v>
      </c>
      <c r="C8" s="5">
        <v>14106884</v>
      </c>
      <c r="D8" s="5">
        <v>113168246</v>
      </c>
      <c r="E8" s="4" t="s">
        <v>847</v>
      </c>
      <c r="F8" s="4" t="s">
        <v>848</v>
      </c>
      <c r="G8" s="25">
        <v>44858</v>
      </c>
      <c r="H8" s="6" t="s">
        <v>71</v>
      </c>
      <c r="I8" s="4" t="s">
        <v>72</v>
      </c>
      <c r="J8" s="4" t="s">
        <v>73</v>
      </c>
      <c r="K8" s="4">
        <v>1299</v>
      </c>
      <c r="L8" s="7" t="s">
        <v>82</v>
      </c>
      <c r="M8" s="7" t="s">
        <v>88</v>
      </c>
      <c r="N8" s="7" t="s">
        <v>94</v>
      </c>
      <c r="O8" s="6" t="s">
        <v>348</v>
      </c>
      <c r="P8" s="6" t="s">
        <v>77</v>
      </c>
      <c r="Q8" s="7" t="s">
        <v>5</v>
      </c>
      <c r="R8" s="24">
        <v>45529</v>
      </c>
      <c r="S8" s="6" t="s">
        <v>592</v>
      </c>
      <c r="T8" s="4" t="s">
        <v>10</v>
      </c>
      <c r="U8" s="4" t="s">
        <v>25</v>
      </c>
      <c r="V8" s="34" t="s">
        <v>17</v>
      </c>
      <c r="W8" s="34" t="s">
        <v>382</v>
      </c>
      <c r="X8" s="6" t="s">
        <v>81</v>
      </c>
      <c r="Y8" s="6" t="s">
        <v>112</v>
      </c>
      <c r="Z8" s="4">
        <v>99</v>
      </c>
      <c r="AA8" s="4"/>
      <c r="AB8" s="4"/>
      <c r="AC8" s="4"/>
      <c r="AD8" s="4"/>
      <c r="AE8" s="4"/>
      <c r="AF8" s="4" t="s">
        <v>349</v>
      </c>
      <c r="AG8" s="4"/>
      <c r="AH8" s="4"/>
      <c r="AI8" s="4"/>
      <c r="AJ8" s="4" t="s">
        <v>73</v>
      </c>
      <c r="AK8" s="33" t="e">
        <v>#N/A</v>
      </c>
      <c r="AL8" s="4" t="e">
        <v>#N/A</v>
      </c>
      <c r="AM8" s="35" t="s">
        <v>592</v>
      </c>
      <c r="AN8" s="35" t="s">
        <v>82</v>
      </c>
      <c r="AO8" s="35" t="s">
        <v>88</v>
      </c>
      <c r="AP8" s="35" t="s">
        <v>94</v>
      </c>
      <c r="AQ8" s="35" t="s">
        <v>82</v>
      </c>
      <c r="AR8" s="35" t="s">
        <v>76</v>
      </c>
      <c r="AS8" s="35" t="s">
        <v>88</v>
      </c>
      <c r="AT8" s="35" t="b">
        <v>1</v>
      </c>
      <c r="AU8" s="35" t="b">
        <v>0</v>
      </c>
      <c r="AV8" s="35" t="b">
        <v>0</v>
      </c>
      <c r="AW8" s="43" t="s">
        <v>381</v>
      </c>
      <c r="AX8" s="43" t="s">
        <v>381</v>
      </c>
      <c r="AY8" s="43" t="s">
        <v>381</v>
      </c>
      <c r="AZ8" s="43" t="s">
        <v>381</v>
      </c>
      <c r="BA8" s="43" t="s">
        <v>381</v>
      </c>
      <c r="BB8" s="43" t="s">
        <v>381</v>
      </c>
      <c r="BC8" s="43" t="s">
        <v>381</v>
      </c>
      <c r="BD8" s="43" t="s">
        <v>381</v>
      </c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35">
        <v>8</v>
      </c>
      <c r="BR8" s="41">
        <v>2929292</v>
      </c>
    </row>
    <row r="9" spans="1:16378" s="41" customFormat="1">
      <c r="A9" s="4">
        <v>371</v>
      </c>
      <c r="B9" s="5">
        <v>112383550</v>
      </c>
      <c r="C9" s="5">
        <v>11947232</v>
      </c>
      <c r="D9" s="5">
        <v>112383550</v>
      </c>
      <c r="E9" s="4" t="s">
        <v>372</v>
      </c>
      <c r="F9" s="4" t="s">
        <v>373</v>
      </c>
      <c r="G9" s="25">
        <v>45316</v>
      </c>
      <c r="H9" s="6" t="s">
        <v>71</v>
      </c>
      <c r="I9" s="4" t="s">
        <v>72</v>
      </c>
      <c r="J9" s="4" t="s">
        <v>371</v>
      </c>
      <c r="K9" s="4">
        <v>1181</v>
      </c>
      <c r="L9" s="7" t="s">
        <v>74</v>
      </c>
      <c r="M9" s="7" t="s">
        <v>90</v>
      </c>
      <c r="N9" s="7" t="s">
        <v>87</v>
      </c>
      <c r="O9" s="6" t="s">
        <v>348</v>
      </c>
      <c r="P9" s="6" t="s">
        <v>350</v>
      </c>
      <c r="Q9" s="7" t="s">
        <v>3</v>
      </c>
      <c r="R9" s="24">
        <v>45516</v>
      </c>
      <c r="S9" s="6" t="s">
        <v>139</v>
      </c>
      <c r="T9" s="4" t="s">
        <v>10</v>
      </c>
      <c r="U9" s="4" t="s">
        <v>26</v>
      </c>
      <c r="V9" s="34" t="s">
        <v>13</v>
      </c>
      <c r="W9" s="34" t="s">
        <v>140</v>
      </c>
      <c r="X9" s="6" t="s">
        <v>81</v>
      </c>
      <c r="Y9" s="6" t="s">
        <v>107</v>
      </c>
      <c r="Z9" s="4">
        <v>99</v>
      </c>
      <c r="AA9" s="4"/>
      <c r="AB9" s="4">
        <v>145</v>
      </c>
      <c r="AC9" s="4" t="s">
        <v>113</v>
      </c>
      <c r="AD9" s="5"/>
      <c r="AE9" s="38"/>
      <c r="AF9" s="4" t="s">
        <v>349</v>
      </c>
      <c r="AG9" s="4"/>
      <c r="AH9" s="4"/>
      <c r="AI9" s="4"/>
      <c r="AJ9" s="4" t="s">
        <v>72</v>
      </c>
      <c r="AK9" s="33" t="e">
        <v>#N/A</v>
      </c>
      <c r="AL9" s="4" t="e">
        <v>#N/A</v>
      </c>
      <c r="AM9" s="35" t="e">
        <v>#N/A</v>
      </c>
      <c r="AN9" s="35" t="s">
        <v>74</v>
      </c>
      <c r="AO9" s="35" t="s">
        <v>90</v>
      </c>
      <c r="AP9" s="35" t="s">
        <v>87</v>
      </c>
      <c r="AQ9" s="35" t="s">
        <v>74</v>
      </c>
      <c r="AR9" s="35" t="s">
        <v>89</v>
      </c>
      <c r="AS9" s="35" t="s">
        <v>90</v>
      </c>
      <c r="AT9" s="35" t="b">
        <v>1</v>
      </c>
      <c r="AU9" s="35" t="b">
        <v>0</v>
      </c>
      <c r="AV9" s="35" t="b">
        <v>0</v>
      </c>
      <c r="AW9" s="50" t="s">
        <v>84</v>
      </c>
      <c r="AX9" s="50" t="s">
        <v>84</v>
      </c>
      <c r="AY9" s="46" t="s">
        <v>74</v>
      </c>
      <c r="AZ9" s="47" t="s">
        <v>83</v>
      </c>
      <c r="BA9" s="47" t="s">
        <v>83</v>
      </c>
      <c r="BB9" s="47" t="s">
        <v>83</v>
      </c>
      <c r="BC9" s="46" t="s">
        <v>74</v>
      </c>
      <c r="BD9" s="46" t="s">
        <v>74</v>
      </c>
      <c r="BE9" s="51" t="s">
        <v>84</v>
      </c>
      <c r="BF9" s="51" t="s">
        <v>84</v>
      </c>
      <c r="BG9" s="46" t="s">
        <v>74</v>
      </c>
      <c r="BH9" s="46" t="s">
        <v>74</v>
      </c>
      <c r="BI9" s="46" t="s">
        <v>74</v>
      </c>
      <c r="BJ9" s="46" t="s">
        <v>74</v>
      </c>
      <c r="BK9" s="46" t="s">
        <v>74</v>
      </c>
      <c r="BL9" s="51" t="s">
        <v>84</v>
      </c>
      <c r="BM9" s="51" t="s">
        <v>84</v>
      </c>
      <c r="BN9" s="46" t="s">
        <v>74</v>
      </c>
      <c r="BO9" s="46" t="s">
        <v>74</v>
      </c>
      <c r="BP9" s="46" t="s">
        <v>74</v>
      </c>
      <c r="BQ9" s="81"/>
    </row>
    <row r="10" spans="1:16378">
      <c r="A10" s="4">
        <v>350</v>
      </c>
      <c r="B10" s="5">
        <v>201188616</v>
      </c>
      <c r="C10" s="5">
        <v>20700612</v>
      </c>
      <c r="D10" s="5">
        <v>201188616</v>
      </c>
      <c r="E10" s="4" t="s">
        <v>369</v>
      </c>
      <c r="F10" s="4" t="s">
        <v>370</v>
      </c>
      <c r="G10" s="25">
        <v>45068</v>
      </c>
      <c r="H10" s="6" t="s">
        <v>71</v>
      </c>
      <c r="I10" s="4" t="s">
        <v>72</v>
      </c>
      <c r="J10" s="4" t="s">
        <v>105</v>
      </c>
      <c r="K10" s="4">
        <v>1299</v>
      </c>
      <c r="L10" s="7" t="s">
        <v>74</v>
      </c>
      <c r="M10" s="7" t="s">
        <v>76</v>
      </c>
      <c r="N10" s="7" t="s">
        <v>88</v>
      </c>
      <c r="O10" s="6" t="s">
        <v>348</v>
      </c>
      <c r="P10" s="6" t="s">
        <v>77</v>
      </c>
      <c r="Q10" s="7" t="s">
        <v>3</v>
      </c>
      <c r="R10" s="24">
        <v>45522</v>
      </c>
      <c r="S10" s="6" t="s">
        <v>139</v>
      </c>
      <c r="T10" s="4" t="s">
        <v>10</v>
      </c>
      <c r="U10" s="4" t="s">
        <v>26</v>
      </c>
      <c r="V10" s="34" t="s">
        <v>13</v>
      </c>
      <c r="W10" s="34" t="s">
        <v>140</v>
      </c>
      <c r="X10" s="6" t="s">
        <v>92</v>
      </c>
      <c r="Y10" s="6" t="s">
        <v>107</v>
      </c>
      <c r="Z10" s="4">
        <v>99</v>
      </c>
      <c r="AA10" s="4"/>
      <c r="AB10" s="4">
        <v>546</v>
      </c>
      <c r="AC10" s="4" t="s">
        <v>113</v>
      </c>
      <c r="AD10" s="5"/>
      <c r="AE10" s="38"/>
      <c r="AF10" s="4" t="s">
        <v>349</v>
      </c>
    </row>
    <row r="11" spans="1:16378">
      <c r="A11" s="4">
        <v>568</v>
      </c>
      <c r="B11" s="5">
        <v>202219239</v>
      </c>
      <c r="C11" s="5">
        <v>11236848</v>
      </c>
      <c r="D11" s="5">
        <v>202219239</v>
      </c>
      <c r="E11" s="4" t="s">
        <v>586</v>
      </c>
      <c r="F11" s="4" t="s">
        <v>587</v>
      </c>
      <c r="G11" s="25">
        <v>45208</v>
      </c>
      <c r="H11" s="6" t="s">
        <v>71</v>
      </c>
      <c r="I11" s="4" t="s">
        <v>72</v>
      </c>
      <c r="J11" s="4" t="s">
        <v>105</v>
      </c>
      <c r="K11" s="4">
        <v>1299</v>
      </c>
      <c r="L11" s="7" t="s">
        <v>82</v>
      </c>
      <c r="M11" s="7" t="s">
        <v>94</v>
      </c>
      <c r="N11" s="7" t="s">
        <v>89</v>
      </c>
      <c r="O11" s="6" t="s">
        <v>348</v>
      </c>
      <c r="P11" s="6" t="s">
        <v>77</v>
      </c>
      <c r="Q11" s="7" t="s">
        <v>5</v>
      </c>
      <c r="R11" s="24" t="s">
        <v>1051</v>
      </c>
      <c r="S11" s="6" t="s">
        <v>585</v>
      </c>
      <c r="T11" s="4" t="s">
        <v>10</v>
      </c>
      <c r="U11" s="4" t="s">
        <v>27</v>
      </c>
      <c r="V11" s="34" t="s">
        <v>14</v>
      </c>
      <c r="W11" s="34" t="s">
        <v>398</v>
      </c>
      <c r="X11" s="6" t="s">
        <v>81</v>
      </c>
      <c r="Y11" s="6" t="s">
        <v>103</v>
      </c>
      <c r="Z11" s="4">
        <v>99</v>
      </c>
      <c r="AA11" s="4"/>
      <c r="AB11" s="4"/>
      <c r="AC11" s="4"/>
      <c r="AD11" s="5"/>
      <c r="AE11" s="38"/>
      <c r="AF11" s="4" t="s">
        <v>349</v>
      </c>
      <c r="AG11" s="4"/>
      <c r="AH11" s="4"/>
      <c r="AI11" s="4"/>
      <c r="AJ11" s="4" t="s">
        <v>105</v>
      </c>
      <c r="AK11" s="35" t="s">
        <v>93</v>
      </c>
      <c r="AL11" s="35" t="s">
        <v>88</v>
      </c>
      <c r="AM11" s="35" t="s">
        <v>94</v>
      </c>
      <c r="AN11" s="35" t="b">
        <v>1</v>
      </c>
      <c r="AO11" s="35" t="b">
        <v>0</v>
      </c>
      <c r="AP11" s="35" t="b">
        <v>0</v>
      </c>
      <c r="AQ11" s="43" t="s">
        <v>381</v>
      </c>
      <c r="AR11" s="43" t="s">
        <v>381</v>
      </c>
      <c r="AS11" s="43" t="s">
        <v>381</v>
      </c>
      <c r="AT11" s="43" t="s">
        <v>381</v>
      </c>
      <c r="AU11" s="43" t="s">
        <v>381</v>
      </c>
      <c r="AV11" s="43" t="s">
        <v>381</v>
      </c>
      <c r="AW11" s="43" t="s">
        <v>381</v>
      </c>
      <c r="AX11" s="43" t="s">
        <v>381</v>
      </c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  <c r="AUC11" s="41"/>
      <c r="AUD11" s="41"/>
      <c r="AUE11" s="41"/>
      <c r="AUF11" s="41"/>
      <c r="AUG11" s="41"/>
      <c r="AUH11" s="41"/>
      <c r="AUI11" s="41"/>
      <c r="AUJ11" s="41"/>
      <c r="AUK11" s="41"/>
      <c r="AUL11" s="41"/>
      <c r="AUM11" s="41"/>
      <c r="AUN11" s="41"/>
      <c r="AUO11" s="41"/>
      <c r="AUP11" s="41"/>
      <c r="AUQ11" s="41"/>
      <c r="AUR11" s="41"/>
      <c r="AUS11" s="41"/>
      <c r="AUT11" s="41"/>
      <c r="AUU11" s="41"/>
      <c r="AUV11" s="41"/>
      <c r="AUW11" s="41"/>
      <c r="AUX11" s="41"/>
      <c r="AUY11" s="41"/>
      <c r="AUZ11" s="41"/>
      <c r="AVA11" s="41"/>
      <c r="AVB11" s="41"/>
      <c r="AVC11" s="41"/>
      <c r="AVD11" s="41"/>
      <c r="AVE11" s="41"/>
      <c r="AVF11" s="41"/>
      <c r="AVG11" s="41"/>
      <c r="AVH11" s="41"/>
      <c r="AVI11" s="41"/>
      <c r="AVJ11" s="41"/>
      <c r="AVK11" s="41"/>
      <c r="AVL11" s="41"/>
      <c r="AVM11" s="41"/>
      <c r="AVN11" s="41"/>
      <c r="AVO11" s="41"/>
      <c r="AVP11" s="41"/>
      <c r="AVQ11" s="41"/>
      <c r="AVR11" s="41"/>
      <c r="AVS11" s="41"/>
      <c r="AVT11" s="41"/>
      <c r="AVU11" s="41"/>
      <c r="AVV11" s="41"/>
      <c r="AVW11" s="41"/>
      <c r="AVX11" s="41"/>
      <c r="AVY11" s="41"/>
      <c r="AVZ11" s="41"/>
      <c r="AWA11" s="41"/>
      <c r="AWB11" s="41"/>
      <c r="AWC11" s="41"/>
      <c r="AWD11" s="41"/>
      <c r="AWE11" s="41"/>
      <c r="AWF11" s="41"/>
      <c r="AWG11" s="41"/>
      <c r="AWH11" s="41"/>
      <c r="AWI11" s="41"/>
      <c r="AWJ11" s="41"/>
      <c r="AWK11" s="41"/>
      <c r="AWL11" s="41"/>
      <c r="AWM11" s="41"/>
      <c r="AWN11" s="41"/>
      <c r="AWO11" s="41"/>
      <c r="AWP11" s="41"/>
      <c r="AWQ11" s="41"/>
      <c r="AWR11" s="41"/>
      <c r="AWS11" s="41"/>
      <c r="AWT11" s="41"/>
      <c r="AWU11" s="41"/>
      <c r="AWV11" s="41"/>
      <c r="AWW11" s="41"/>
      <c r="AWX11" s="41"/>
      <c r="AWY11" s="41"/>
      <c r="AWZ11" s="41"/>
      <c r="AXA11" s="41"/>
      <c r="AXB11" s="41"/>
      <c r="AXC11" s="41"/>
      <c r="AXD11" s="41"/>
      <c r="AXE11" s="41"/>
      <c r="AXF11" s="41"/>
      <c r="AXG11" s="41"/>
      <c r="AXH11" s="41"/>
      <c r="AXI11" s="41"/>
      <c r="AXJ11" s="41"/>
      <c r="AXK11" s="41"/>
      <c r="AXL11" s="41"/>
      <c r="AXM11" s="41"/>
      <c r="AXN11" s="41"/>
      <c r="AXO11" s="41"/>
      <c r="AXP11" s="41"/>
      <c r="AXQ11" s="41"/>
      <c r="AXR11" s="41"/>
      <c r="AXS11" s="41"/>
      <c r="AXT11" s="41"/>
      <c r="AXU11" s="41"/>
      <c r="AXV11" s="41"/>
      <c r="AXW11" s="41"/>
      <c r="AXX11" s="41"/>
      <c r="AXY11" s="41"/>
      <c r="AXZ11" s="41"/>
      <c r="AYA11" s="41"/>
      <c r="AYB11" s="41"/>
      <c r="AYC11" s="41"/>
      <c r="AYD11" s="41"/>
      <c r="AYE11" s="41"/>
      <c r="AYF11" s="41"/>
      <c r="AYG11" s="41"/>
      <c r="AYH11" s="41"/>
      <c r="AYI11" s="41"/>
      <c r="AYJ11" s="41"/>
      <c r="AYK11" s="41"/>
      <c r="AYL11" s="41"/>
      <c r="AYM11" s="41"/>
      <c r="AYN11" s="41"/>
      <c r="AYO11" s="41"/>
      <c r="AYP11" s="41"/>
      <c r="AYQ11" s="41"/>
      <c r="AYR11" s="41"/>
      <c r="AYS11" s="41"/>
      <c r="AYT11" s="41"/>
      <c r="AYU11" s="41"/>
      <c r="AYV11" s="41"/>
      <c r="AYW11" s="41"/>
      <c r="AYX11" s="41"/>
      <c r="AYY11" s="41"/>
      <c r="AYZ11" s="41"/>
      <c r="AZA11" s="41"/>
      <c r="AZB11" s="41"/>
      <c r="AZC11" s="41"/>
      <c r="AZD11" s="41"/>
      <c r="AZE11" s="41"/>
      <c r="AZF11" s="41"/>
      <c r="AZG11" s="41"/>
      <c r="AZH11" s="41"/>
      <c r="AZI11" s="41"/>
      <c r="AZJ11" s="41"/>
      <c r="AZK11" s="41"/>
      <c r="AZL11" s="41"/>
      <c r="AZM11" s="41"/>
      <c r="AZN11" s="41"/>
      <c r="AZO11" s="41"/>
      <c r="AZP11" s="41"/>
      <c r="AZQ11" s="41"/>
      <c r="AZR11" s="41"/>
      <c r="AZS11" s="41"/>
      <c r="AZT11" s="41"/>
      <c r="AZU11" s="41"/>
      <c r="AZV11" s="41"/>
      <c r="AZW11" s="41"/>
      <c r="AZX11" s="41"/>
      <c r="AZY11" s="41"/>
      <c r="AZZ11" s="41"/>
      <c r="BAA11" s="41"/>
      <c r="BAB11" s="41"/>
      <c r="BAC11" s="41"/>
      <c r="BAD11" s="41"/>
      <c r="BAE11" s="41"/>
      <c r="BAF11" s="41"/>
      <c r="BAG11" s="41"/>
      <c r="BAH11" s="41"/>
      <c r="BAI11" s="41"/>
      <c r="BAJ11" s="41"/>
      <c r="BAK11" s="41"/>
      <c r="BAL11" s="41"/>
      <c r="BAM11" s="41"/>
      <c r="BAN11" s="41"/>
      <c r="BAO11" s="41"/>
      <c r="BAP11" s="41"/>
      <c r="BAQ11" s="41"/>
      <c r="BAR11" s="41"/>
      <c r="BAS11" s="41"/>
      <c r="BAT11" s="41"/>
      <c r="BAU11" s="41"/>
      <c r="BAV11" s="41"/>
      <c r="BAW11" s="41"/>
      <c r="BAX11" s="41"/>
      <c r="BAY11" s="41"/>
      <c r="BAZ11" s="41"/>
      <c r="BBA11" s="41"/>
      <c r="BBB11" s="41"/>
      <c r="BBC11" s="41"/>
      <c r="BBD11" s="41"/>
      <c r="BBE11" s="41"/>
      <c r="BBF11" s="41"/>
      <c r="BBG11" s="41"/>
      <c r="BBH11" s="41"/>
      <c r="BBI11" s="41"/>
      <c r="BBJ11" s="41"/>
      <c r="BBK11" s="41"/>
      <c r="BBL11" s="41"/>
      <c r="BBM11" s="41"/>
      <c r="BBN11" s="41"/>
      <c r="BBO11" s="41"/>
      <c r="BBP11" s="41"/>
      <c r="BBQ11" s="41"/>
      <c r="BBR11" s="41"/>
      <c r="BBS11" s="41"/>
      <c r="BBT11" s="41"/>
      <c r="BBU11" s="41"/>
      <c r="BBV11" s="41"/>
      <c r="BBW11" s="41"/>
      <c r="BBX11" s="41"/>
      <c r="BBY11" s="41"/>
      <c r="BBZ11" s="41"/>
      <c r="BCA11" s="41"/>
      <c r="BCB11" s="41"/>
      <c r="BCC11" s="41"/>
      <c r="BCD11" s="41"/>
      <c r="BCE11" s="41"/>
      <c r="BCF11" s="41"/>
      <c r="BCG11" s="41"/>
      <c r="BCH11" s="41"/>
      <c r="BCI11" s="41"/>
      <c r="BCJ11" s="41"/>
      <c r="BCK11" s="41"/>
      <c r="BCL11" s="41"/>
      <c r="BCM11" s="41"/>
      <c r="BCN11" s="41"/>
      <c r="BCO11" s="41"/>
      <c r="BCP11" s="41"/>
      <c r="BCQ11" s="41"/>
      <c r="BCR11" s="41"/>
      <c r="BCS11" s="41"/>
      <c r="BCT11" s="41"/>
      <c r="BCU11" s="41"/>
      <c r="BCV11" s="41"/>
      <c r="BCW11" s="41"/>
      <c r="BCX11" s="41"/>
      <c r="BCY11" s="41"/>
      <c r="BCZ11" s="41"/>
      <c r="BDA11" s="41"/>
      <c r="BDB11" s="41"/>
      <c r="BDC11" s="41"/>
      <c r="BDD11" s="41"/>
      <c r="BDE11" s="41"/>
      <c r="BDF11" s="41"/>
      <c r="BDG11" s="41"/>
      <c r="BDH11" s="41"/>
      <c r="BDI11" s="41"/>
      <c r="BDJ11" s="41"/>
      <c r="BDK11" s="41"/>
      <c r="BDL11" s="41"/>
      <c r="BDM11" s="41"/>
      <c r="BDN11" s="41"/>
      <c r="BDO11" s="41"/>
      <c r="BDP11" s="41"/>
      <c r="BDQ11" s="41"/>
      <c r="BDR11" s="41"/>
      <c r="BDS11" s="41"/>
      <c r="BDT11" s="41"/>
      <c r="BDU11" s="41"/>
      <c r="BDV11" s="41"/>
      <c r="BDW11" s="41"/>
      <c r="BDX11" s="41"/>
      <c r="BDY11" s="41"/>
      <c r="BDZ11" s="41"/>
      <c r="BEA11" s="41"/>
      <c r="BEB11" s="41"/>
      <c r="BEC11" s="41"/>
      <c r="BED11" s="41"/>
      <c r="BEE11" s="41"/>
      <c r="BEF11" s="41"/>
      <c r="BEG11" s="41"/>
      <c r="BEH11" s="41"/>
      <c r="BEI11" s="41"/>
      <c r="BEJ11" s="41"/>
      <c r="BEK11" s="41"/>
      <c r="BEL11" s="41"/>
      <c r="BEM11" s="41"/>
      <c r="BEN11" s="41"/>
      <c r="BEO11" s="41"/>
      <c r="BEP11" s="41"/>
      <c r="BEQ11" s="41"/>
      <c r="BER11" s="41"/>
      <c r="BES11" s="41"/>
      <c r="BET11" s="41"/>
      <c r="BEU11" s="41"/>
      <c r="BEV11" s="41"/>
      <c r="BEW11" s="41"/>
      <c r="BEX11" s="41"/>
      <c r="BEY11" s="41"/>
      <c r="BEZ11" s="41"/>
      <c r="BFA11" s="41"/>
      <c r="BFB11" s="41"/>
      <c r="BFC11" s="41"/>
      <c r="BFD11" s="41"/>
      <c r="BFE11" s="41"/>
      <c r="BFF11" s="41"/>
      <c r="BFG11" s="41"/>
      <c r="BFH11" s="41"/>
      <c r="BFI11" s="41"/>
      <c r="BFJ11" s="41"/>
      <c r="BFK11" s="41"/>
      <c r="BFL11" s="41"/>
      <c r="BFM11" s="41"/>
      <c r="BFN11" s="41"/>
      <c r="BFO11" s="41"/>
      <c r="BFP11" s="41"/>
      <c r="BFQ11" s="41"/>
      <c r="BFR11" s="41"/>
      <c r="BFS11" s="41"/>
      <c r="BFT11" s="41"/>
      <c r="BFU11" s="41"/>
      <c r="BFV11" s="41"/>
      <c r="BFW11" s="41"/>
      <c r="BFX11" s="41"/>
      <c r="BFY11" s="41"/>
      <c r="BFZ11" s="41"/>
      <c r="BGA11" s="41"/>
      <c r="BGB11" s="41"/>
      <c r="BGC11" s="41"/>
      <c r="BGD11" s="41"/>
      <c r="BGE11" s="41"/>
      <c r="BGF11" s="41"/>
      <c r="BGG11" s="41"/>
      <c r="BGH11" s="41"/>
      <c r="BGI11" s="41"/>
      <c r="BGJ11" s="41"/>
      <c r="BGK11" s="41"/>
      <c r="BGL11" s="41"/>
      <c r="BGM11" s="41"/>
      <c r="BGN11" s="41"/>
      <c r="BGO11" s="41"/>
      <c r="BGP11" s="41"/>
      <c r="BGQ11" s="41"/>
      <c r="BGR11" s="41"/>
      <c r="BGS11" s="41"/>
      <c r="BGT11" s="41"/>
      <c r="BGU11" s="41"/>
      <c r="BGV11" s="41"/>
      <c r="BGW11" s="41"/>
      <c r="BGX11" s="41"/>
      <c r="BGY11" s="41"/>
      <c r="BGZ11" s="41"/>
      <c r="BHA11" s="41"/>
      <c r="BHB11" s="41"/>
      <c r="BHC11" s="41"/>
      <c r="BHD11" s="41"/>
      <c r="BHE11" s="41"/>
      <c r="BHF11" s="41"/>
      <c r="BHG11" s="41"/>
      <c r="BHH11" s="41"/>
      <c r="BHI11" s="41"/>
      <c r="BHJ11" s="41"/>
      <c r="BHK11" s="41"/>
      <c r="BHL11" s="41"/>
      <c r="BHM11" s="41"/>
      <c r="BHN11" s="41"/>
      <c r="BHO11" s="41"/>
      <c r="BHP11" s="41"/>
      <c r="BHQ11" s="41"/>
      <c r="BHR11" s="41"/>
      <c r="BHS11" s="41"/>
      <c r="BHT11" s="41"/>
      <c r="BHU11" s="41"/>
      <c r="BHV11" s="41"/>
      <c r="BHW11" s="41"/>
      <c r="BHX11" s="41"/>
      <c r="BHY11" s="41"/>
      <c r="BHZ11" s="41"/>
      <c r="BIA11" s="41"/>
      <c r="BIB11" s="41"/>
      <c r="BIC11" s="41"/>
      <c r="BID11" s="41"/>
      <c r="BIE11" s="41"/>
      <c r="BIF11" s="41"/>
      <c r="BIG11" s="41"/>
      <c r="BIH11" s="41"/>
      <c r="BII11" s="41"/>
      <c r="BIJ11" s="41"/>
      <c r="BIK11" s="41"/>
      <c r="BIL11" s="41"/>
      <c r="BIM11" s="41"/>
      <c r="BIN11" s="41"/>
      <c r="BIO11" s="41"/>
      <c r="BIP11" s="41"/>
      <c r="BIQ11" s="41"/>
      <c r="BIR11" s="41"/>
      <c r="BIS11" s="41"/>
      <c r="BIT11" s="41"/>
      <c r="BIU11" s="41"/>
      <c r="BIV11" s="41"/>
      <c r="BIW11" s="41"/>
      <c r="BIX11" s="41"/>
      <c r="BIY11" s="41"/>
      <c r="BIZ11" s="41"/>
      <c r="BJA11" s="41"/>
      <c r="BJB11" s="41"/>
      <c r="BJC11" s="41"/>
      <c r="BJD11" s="41"/>
      <c r="BJE11" s="41"/>
      <c r="BJF11" s="41"/>
      <c r="BJG11" s="41"/>
      <c r="BJH11" s="41"/>
      <c r="BJI11" s="41"/>
      <c r="BJJ11" s="41"/>
      <c r="BJK11" s="41"/>
      <c r="BJL11" s="41"/>
      <c r="BJM11" s="41"/>
      <c r="BJN11" s="41"/>
      <c r="BJO11" s="41"/>
      <c r="BJP11" s="41"/>
      <c r="BJQ11" s="41"/>
      <c r="BJR11" s="41"/>
      <c r="BJS11" s="41"/>
      <c r="BJT11" s="41"/>
      <c r="BJU11" s="41"/>
      <c r="BJV11" s="41"/>
      <c r="BJW11" s="41"/>
      <c r="BJX11" s="41"/>
      <c r="BJY11" s="41"/>
      <c r="BJZ11" s="41"/>
      <c r="BKA11" s="41"/>
      <c r="BKB11" s="41"/>
      <c r="BKC11" s="41"/>
      <c r="BKD11" s="41"/>
      <c r="BKE11" s="41"/>
      <c r="BKF11" s="41"/>
      <c r="BKG11" s="41"/>
      <c r="BKH11" s="41"/>
      <c r="BKI11" s="41"/>
      <c r="BKJ11" s="41"/>
      <c r="BKK11" s="41"/>
      <c r="BKL11" s="41"/>
      <c r="BKM11" s="41"/>
      <c r="BKN11" s="41"/>
      <c r="BKO11" s="41"/>
      <c r="BKP11" s="41"/>
      <c r="BKQ11" s="41"/>
      <c r="BKR11" s="41"/>
      <c r="BKS11" s="41"/>
      <c r="BKT11" s="41"/>
      <c r="BKU11" s="41"/>
      <c r="BKV11" s="41"/>
      <c r="BKW11" s="41"/>
      <c r="BKX11" s="41"/>
      <c r="BKY11" s="41"/>
      <c r="BKZ11" s="41"/>
      <c r="BLA11" s="41"/>
      <c r="BLB11" s="41"/>
      <c r="BLC11" s="41"/>
      <c r="BLD11" s="41"/>
      <c r="BLE11" s="41"/>
      <c r="BLF11" s="41"/>
      <c r="BLG11" s="41"/>
      <c r="BLH11" s="41"/>
      <c r="BLI11" s="41"/>
      <c r="BLJ11" s="41"/>
      <c r="BLK11" s="41"/>
      <c r="BLL11" s="41"/>
      <c r="BLM11" s="41"/>
      <c r="BLN11" s="41"/>
      <c r="BLO11" s="41"/>
      <c r="BLP11" s="41"/>
      <c r="BLQ11" s="41"/>
      <c r="BLR11" s="41"/>
      <c r="BLS11" s="41"/>
      <c r="BLT11" s="41"/>
      <c r="BLU11" s="41"/>
      <c r="BLV11" s="41"/>
      <c r="BLW11" s="41"/>
      <c r="BLX11" s="41"/>
      <c r="BLY11" s="41"/>
      <c r="BLZ11" s="41"/>
      <c r="BMA11" s="41"/>
      <c r="BMB11" s="41"/>
      <c r="BMC11" s="41"/>
      <c r="BMD11" s="41"/>
      <c r="BME11" s="41"/>
      <c r="BMF11" s="41"/>
      <c r="BMG11" s="41"/>
      <c r="BMH11" s="41"/>
      <c r="BMI11" s="41"/>
      <c r="BMJ11" s="41"/>
      <c r="BMK11" s="41"/>
      <c r="BML11" s="41"/>
      <c r="BMM11" s="41"/>
      <c r="BMN11" s="41"/>
      <c r="BMO11" s="41"/>
      <c r="BMP11" s="41"/>
      <c r="BMQ11" s="41"/>
      <c r="BMR11" s="41"/>
      <c r="BMS11" s="41"/>
      <c r="BMT11" s="41"/>
      <c r="BMU11" s="41"/>
      <c r="BMV11" s="41"/>
      <c r="BMW11" s="41"/>
      <c r="BMX11" s="41"/>
      <c r="BMY11" s="41"/>
      <c r="BMZ11" s="41"/>
      <c r="BNA11" s="41"/>
      <c r="BNB11" s="41"/>
      <c r="BNC11" s="41"/>
      <c r="BND11" s="41"/>
      <c r="BNE11" s="41"/>
      <c r="BNF11" s="41"/>
      <c r="BNG11" s="41"/>
      <c r="BNH11" s="41"/>
      <c r="BNI11" s="41"/>
      <c r="BNJ11" s="41"/>
      <c r="BNK11" s="41"/>
      <c r="BNL11" s="41"/>
      <c r="BNM11" s="41"/>
      <c r="BNN11" s="41"/>
      <c r="BNO11" s="41"/>
      <c r="BNP11" s="41"/>
      <c r="BNQ11" s="41"/>
      <c r="BNR11" s="41"/>
      <c r="BNS11" s="41"/>
      <c r="BNT11" s="41"/>
      <c r="BNU11" s="41"/>
      <c r="BNV11" s="41"/>
      <c r="BNW11" s="41"/>
      <c r="BNX11" s="41"/>
      <c r="BNY11" s="41"/>
      <c r="BNZ11" s="41"/>
      <c r="BOA11" s="41"/>
      <c r="BOB11" s="41"/>
      <c r="BOC11" s="41"/>
      <c r="BOD11" s="41"/>
      <c r="BOE11" s="41"/>
      <c r="BOF11" s="41"/>
      <c r="BOG11" s="41"/>
      <c r="BOH11" s="41"/>
      <c r="BOI11" s="41"/>
      <c r="BOJ11" s="41"/>
      <c r="BOK11" s="41"/>
      <c r="BOL11" s="41"/>
      <c r="BOM11" s="41"/>
      <c r="BON11" s="41"/>
      <c r="BOO11" s="41"/>
      <c r="BOP11" s="41"/>
      <c r="BOQ11" s="41"/>
      <c r="BOR11" s="41"/>
      <c r="BOS11" s="41"/>
      <c r="BOT11" s="41"/>
      <c r="BOU11" s="41"/>
      <c r="BOV11" s="41"/>
      <c r="BOW11" s="41"/>
      <c r="BOX11" s="41"/>
      <c r="BOY11" s="41"/>
      <c r="BOZ11" s="41"/>
      <c r="BPA11" s="41"/>
      <c r="BPB11" s="41"/>
      <c r="BPC11" s="41"/>
      <c r="BPD11" s="41"/>
      <c r="BPE11" s="41"/>
      <c r="BPF11" s="41"/>
      <c r="BPG11" s="41"/>
      <c r="BPH11" s="41"/>
      <c r="BPI11" s="41"/>
      <c r="BPJ11" s="41"/>
      <c r="BPK11" s="41"/>
      <c r="BPL11" s="41"/>
      <c r="BPM11" s="41"/>
      <c r="BPN11" s="41"/>
      <c r="BPO11" s="41"/>
      <c r="BPP11" s="41"/>
      <c r="BPQ11" s="41"/>
      <c r="BPR11" s="41"/>
      <c r="BPS11" s="41"/>
      <c r="BPT11" s="41"/>
      <c r="BPU11" s="41"/>
      <c r="BPV11" s="41"/>
      <c r="BPW11" s="41"/>
      <c r="BPX11" s="41"/>
      <c r="BPY11" s="41"/>
      <c r="BPZ11" s="41"/>
      <c r="BQA11" s="41"/>
      <c r="BQB11" s="41"/>
      <c r="BQC11" s="41"/>
      <c r="BQD11" s="41"/>
      <c r="BQE11" s="41"/>
      <c r="BQF11" s="41"/>
      <c r="BQG11" s="41"/>
      <c r="BQH11" s="41"/>
      <c r="BQI11" s="41"/>
      <c r="BQJ11" s="41"/>
      <c r="BQK11" s="41"/>
      <c r="BQL11" s="41"/>
      <c r="BQM11" s="41"/>
      <c r="BQN11" s="41"/>
      <c r="BQO11" s="41"/>
      <c r="BQP11" s="41"/>
      <c r="BQQ11" s="41"/>
      <c r="BQR11" s="41"/>
      <c r="BQS11" s="41"/>
      <c r="BQT11" s="41"/>
      <c r="BQU11" s="41"/>
      <c r="BQV11" s="41"/>
      <c r="BQW11" s="41"/>
      <c r="BQX11" s="41"/>
      <c r="BQY11" s="41"/>
      <c r="BQZ11" s="41"/>
      <c r="BRA11" s="41"/>
      <c r="BRB11" s="41"/>
      <c r="BRC11" s="41"/>
      <c r="BRD11" s="41"/>
      <c r="BRE11" s="41"/>
      <c r="BRF11" s="41"/>
      <c r="BRG11" s="41"/>
      <c r="BRH11" s="41"/>
      <c r="BRI11" s="41"/>
      <c r="BRJ11" s="41"/>
      <c r="BRK11" s="41"/>
      <c r="BRL11" s="41"/>
      <c r="BRM11" s="41"/>
      <c r="BRN11" s="41"/>
      <c r="BRO11" s="41"/>
      <c r="BRP11" s="41"/>
      <c r="BRQ11" s="41"/>
      <c r="BRR11" s="41"/>
      <c r="BRS11" s="41"/>
      <c r="BRT11" s="41"/>
      <c r="BRU11" s="41"/>
      <c r="BRV11" s="41"/>
      <c r="BRW11" s="41"/>
      <c r="BRX11" s="41"/>
      <c r="BRY11" s="41"/>
      <c r="BRZ11" s="41"/>
      <c r="BSA11" s="41"/>
      <c r="BSB11" s="41"/>
      <c r="BSC11" s="41"/>
      <c r="BSD11" s="41"/>
      <c r="BSE11" s="41"/>
      <c r="BSF11" s="41"/>
      <c r="BSG11" s="41"/>
      <c r="BSH11" s="41"/>
      <c r="BSI11" s="41"/>
      <c r="BSJ11" s="41"/>
      <c r="BSK11" s="41"/>
      <c r="BSL11" s="41"/>
      <c r="BSM11" s="41"/>
      <c r="BSN11" s="41"/>
      <c r="BSO11" s="41"/>
      <c r="BSP11" s="41"/>
      <c r="BSQ11" s="41"/>
      <c r="BSR11" s="41"/>
      <c r="BSS11" s="41"/>
      <c r="BST11" s="41"/>
      <c r="BSU11" s="41"/>
      <c r="BSV11" s="41"/>
      <c r="BSW11" s="41"/>
      <c r="BSX11" s="41"/>
      <c r="BSY11" s="41"/>
      <c r="BSZ11" s="41"/>
      <c r="BTA11" s="41"/>
      <c r="BTB11" s="41"/>
      <c r="BTC11" s="41"/>
      <c r="BTD11" s="41"/>
      <c r="BTE11" s="41"/>
      <c r="BTF11" s="41"/>
      <c r="BTG11" s="41"/>
      <c r="BTH11" s="41"/>
      <c r="BTI11" s="41"/>
      <c r="BTJ11" s="41"/>
      <c r="BTK11" s="41"/>
      <c r="BTL11" s="41"/>
      <c r="BTM11" s="41"/>
      <c r="BTN11" s="41"/>
      <c r="BTO11" s="41"/>
      <c r="BTP11" s="41"/>
      <c r="BTQ11" s="41"/>
      <c r="BTR11" s="41"/>
      <c r="BTS11" s="41"/>
      <c r="BTT11" s="41"/>
      <c r="BTU11" s="41"/>
      <c r="BTV11" s="41"/>
      <c r="BTW11" s="41"/>
      <c r="BTX11" s="41"/>
      <c r="BTY11" s="41"/>
      <c r="BTZ11" s="41"/>
      <c r="BUA11" s="41"/>
      <c r="BUB11" s="41"/>
      <c r="BUC11" s="41"/>
      <c r="BUD11" s="41"/>
      <c r="BUE11" s="41"/>
      <c r="BUF11" s="41"/>
      <c r="BUG11" s="41"/>
      <c r="BUH11" s="41"/>
      <c r="BUI11" s="41"/>
      <c r="BUJ11" s="41"/>
      <c r="BUK11" s="41"/>
      <c r="BUL11" s="41"/>
      <c r="BUM11" s="41"/>
      <c r="BUN11" s="41"/>
      <c r="BUO11" s="41"/>
      <c r="BUP11" s="41"/>
      <c r="BUQ11" s="41"/>
      <c r="BUR11" s="41"/>
      <c r="BUS11" s="41"/>
      <c r="BUT11" s="41"/>
      <c r="BUU11" s="41"/>
      <c r="BUV11" s="41"/>
      <c r="BUW11" s="41"/>
      <c r="BUX11" s="41"/>
      <c r="BUY11" s="41"/>
      <c r="BUZ11" s="41"/>
      <c r="BVA11" s="41"/>
      <c r="BVB11" s="41"/>
      <c r="BVC11" s="41"/>
      <c r="BVD11" s="41"/>
      <c r="BVE11" s="41"/>
      <c r="BVF11" s="41"/>
      <c r="BVG11" s="41"/>
      <c r="BVH11" s="41"/>
      <c r="BVI11" s="41"/>
      <c r="BVJ11" s="41"/>
      <c r="BVK11" s="41"/>
      <c r="BVL11" s="41"/>
      <c r="BVM11" s="41"/>
      <c r="BVN11" s="41"/>
      <c r="BVO11" s="41"/>
      <c r="BVP11" s="41"/>
      <c r="BVQ11" s="41"/>
      <c r="BVR11" s="41"/>
      <c r="BVS11" s="41"/>
      <c r="BVT11" s="41"/>
      <c r="BVU11" s="41"/>
      <c r="BVV11" s="41"/>
      <c r="BVW11" s="41"/>
      <c r="BVX11" s="41"/>
      <c r="BVY11" s="41"/>
      <c r="BVZ11" s="41"/>
      <c r="BWA11" s="41"/>
      <c r="BWB11" s="41"/>
      <c r="BWC11" s="41"/>
      <c r="BWD11" s="41"/>
      <c r="BWE11" s="41"/>
      <c r="BWF11" s="41"/>
      <c r="BWG11" s="41"/>
      <c r="BWH11" s="41"/>
      <c r="BWI11" s="41"/>
      <c r="BWJ11" s="41"/>
      <c r="BWK11" s="41"/>
      <c r="BWL11" s="41"/>
      <c r="BWM11" s="41"/>
      <c r="BWN11" s="41"/>
      <c r="BWO11" s="41"/>
      <c r="BWP11" s="41"/>
      <c r="BWQ11" s="41"/>
      <c r="BWR11" s="41"/>
      <c r="BWS11" s="41"/>
      <c r="BWT11" s="41"/>
      <c r="BWU11" s="41"/>
      <c r="BWV11" s="41"/>
      <c r="BWW11" s="41"/>
      <c r="BWX11" s="41"/>
      <c r="BWY11" s="41"/>
      <c r="BWZ11" s="41"/>
      <c r="BXA11" s="41"/>
      <c r="BXB11" s="41"/>
      <c r="BXC11" s="41"/>
      <c r="BXD11" s="41"/>
      <c r="BXE11" s="41"/>
      <c r="BXF11" s="41"/>
      <c r="BXG11" s="41"/>
      <c r="BXH11" s="41"/>
      <c r="BXI11" s="41"/>
      <c r="BXJ11" s="41"/>
      <c r="BXK11" s="41"/>
      <c r="BXL11" s="41"/>
      <c r="BXM11" s="41"/>
      <c r="BXN11" s="41"/>
      <c r="BXO11" s="41"/>
      <c r="BXP11" s="41"/>
      <c r="BXQ11" s="41"/>
      <c r="BXR11" s="41"/>
      <c r="BXS11" s="41"/>
      <c r="BXT11" s="41"/>
      <c r="BXU11" s="41"/>
      <c r="BXV11" s="41"/>
      <c r="BXW11" s="41"/>
      <c r="BXX11" s="41"/>
      <c r="BXY11" s="41"/>
      <c r="BXZ11" s="41"/>
      <c r="BYA11" s="41"/>
      <c r="BYB11" s="41"/>
      <c r="BYC11" s="41"/>
      <c r="BYD11" s="41"/>
      <c r="BYE11" s="41"/>
      <c r="BYF11" s="41"/>
      <c r="BYG11" s="41"/>
      <c r="BYH11" s="41"/>
      <c r="BYI11" s="41"/>
      <c r="BYJ11" s="41"/>
      <c r="BYK11" s="41"/>
      <c r="BYL11" s="41"/>
      <c r="BYM11" s="41"/>
      <c r="BYN11" s="41"/>
      <c r="BYO11" s="41"/>
      <c r="BYP11" s="41"/>
      <c r="BYQ11" s="41"/>
      <c r="BYR11" s="41"/>
      <c r="BYS11" s="41"/>
      <c r="BYT11" s="41"/>
      <c r="BYU11" s="41"/>
      <c r="BYV11" s="41"/>
      <c r="BYW11" s="41"/>
      <c r="BYX11" s="41"/>
      <c r="BYY11" s="41"/>
      <c r="BYZ11" s="41"/>
      <c r="BZA11" s="41"/>
      <c r="BZB11" s="41"/>
      <c r="BZC11" s="41"/>
      <c r="BZD11" s="41"/>
      <c r="BZE11" s="41"/>
      <c r="BZF11" s="41"/>
      <c r="BZG11" s="41"/>
      <c r="BZH11" s="41"/>
      <c r="BZI11" s="41"/>
      <c r="BZJ11" s="41"/>
      <c r="BZK11" s="41"/>
      <c r="BZL11" s="41"/>
      <c r="BZM11" s="41"/>
      <c r="BZN11" s="41"/>
      <c r="BZO11" s="41"/>
      <c r="BZP11" s="41"/>
      <c r="BZQ11" s="41"/>
      <c r="BZR11" s="41"/>
      <c r="BZS11" s="41"/>
      <c r="BZT11" s="41"/>
      <c r="BZU11" s="41"/>
      <c r="BZV11" s="41"/>
      <c r="BZW11" s="41"/>
      <c r="BZX11" s="41"/>
      <c r="BZY11" s="41"/>
      <c r="BZZ11" s="41"/>
      <c r="CAA11" s="41"/>
      <c r="CAB11" s="41"/>
      <c r="CAC11" s="41"/>
      <c r="CAD11" s="41"/>
      <c r="CAE11" s="41"/>
      <c r="CAF11" s="41"/>
      <c r="CAG11" s="41"/>
      <c r="CAH11" s="41"/>
      <c r="CAI11" s="41"/>
      <c r="CAJ11" s="41"/>
      <c r="CAK11" s="41"/>
      <c r="CAL11" s="41"/>
      <c r="CAM11" s="41"/>
      <c r="CAN11" s="41"/>
      <c r="CAO11" s="41"/>
      <c r="CAP11" s="41"/>
      <c r="CAQ11" s="41"/>
      <c r="CAR11" s="41"/>
      <c r="CAS11" s="41"/>
      <c r="CAT11" s="41"/>
      <c r="CAU11" s="41"/>
      <c r="CAV11" s="41"/>
      <c r="CAW11" s="41"/>
      <c r="CAX11" s="41"/>
      <c r="CAY11" s="41"/>
      <c r="CAZ11" s="41"/>
      <c r="CBA11" s="41"/>
      <c r="CBB11" s="41"/>
      <c r="CBC11" s="41"/>
      <c r="CBD11" s="41"/>
      <c r="CBE11" s="41"/>
      <c r="CBF11" s="41"/>
      <c r="CBG11" s="41"/>
      <c r="CBH11" s="41"/>
      <c r="CBI11" s="41"/>
      <c r="CBJ11" s="41"/>
      <c r="CBK11" s="41"/>
      <c r="CBL11" s="41"/>
      <c r="CBM11" s="41"/>
      <c r="CBN11" s="41"/>
      <c r="CBO11" s="41"/>
      <c r="CBP11" s="41"/>
      <c r="CBQ11" s="41"/>
      <c r="CBR11" s="41"/>
      <c r="CBS11" s="41"/>
      <c r="CBT11" s="41"/>
      <c r="CBU11" s="41"/>
      <c r="CBV11" s="41"/>
      <c r="CBW11" s="41"/>
      <c r="CBX11" s="41"/>
      <c r="CBY11" s="41"/>
      <c r="CBZ11" s="41"/>
      <c r="CCA11" s="41"/>
      <c r="CCB11" s="41"/>
      <c r="CCC11" s="41"/>
      <c r="CCD11" s="41"/>
      <c r="CCE11" s="41"/>
      <c r="CCF11" s="41"/>
      <c r="CCG11" s="41"/>
      <c r="CCH11" s="41"/>
      <c r="CCI11" s="41"/>
      <c r="CCJ11" s="41"/>
      <c r="CCK11" s="41"/>
      <c r="CCL11" s="41"/>
      <c r="CCM11" s="41"/>
      <c r="CCN11" s="41"/>
      <c r="CCO11" s="41"/>
      <c r="CCP11" s="41"/>
      <c r="CCQ11" s="41"/>
      <c r="CCR11" s="41"/>
      <c r="CCS11" s="41"/>
      <c r="CCT11" s="41"/>
      <c r="CCU11" s="41"/>
      <c r="CCV11" s="41"/>
      <c r="CCW11" s="41"/>
      <c r="CCX11" s="41"/>
      <c r="CCY11" s="41"/>
      <c r="CCZ11" s="41"/>
      <c r="CDA11" s="41"/>
      <c r="CDB11" s="41"/>
      <c r="CDC11" s="41"/>
      <c r="CDD11" s="41"/>
      <c r="CDE11" s="41"/>
      <c r="CDF11" s="41"/>
      <c r="CDG11" s="41"/>
      <c r="CDH11" s="41"/>
      <c r="CDI11" s="41"/>
      <c r="CDJ11" s="41"/>
      <c r="CDK11" s="41"/>
      <c r="CDL11" s="41"/>
      <c r="CDM11" s="41"/>
      <c r="CDN11" s="41"/>
      <c r="CDO11" s="41"/>
      <c r="CDP11" s="41"/>
      <c r="CDQ11" s="41"/>
      <c r="CDR11" s="41"/>
      <c r="CDS11" s="41"/>
      <c r="CDT11" s="41"/>
      <c r="CDU11" s="41"/>
      <c r="CDV11" s="41"/>
      <c r="CDW11" s="41"/>
      <c r="CDX11" s="41"/>
      <c r="CDY11" s="41"/>
      <c r="CDZ11" s="41"/>
      <c r="CEA11" s="41"/>
      <c r="CEB11" s="41"/>
      <c r="CEC11" s="41"/>
      <c r="CED11" s="41"/>
      <c r="CEE11" s="41"/>
      <c r="CEF11" s="41"/>
      <c r="CEG11" s="41"/>
      <c r="CEH11" s="41"/>
      <c r="CEI11" s="41"/>
      <c r="CEJ11" s="41"/>
      <c r="CEK11" s="41"/>
      <c r="CEL11" s="41"/>
      <c r="CEM11" s="41"/>
      <c r="CEN11" s="41"/>
      <c r="CEO11" s="41"/>
      <c r="CEP11" s="41"/>
      <c r="CEQ11" s="41"/>
      <c r="CER11" s="41"/>
      <c r="CES11" s="41"/>
      <c r="CET11" s="41"/>
      <c r="CEU11" s="41"/>
      <c r="CEV11" s="41"/>
      <c r="CEW11" s="41"/>
      <c r="CEX11" s="41"/>
      <c r="CEY11" s="41"/>
      <c r="CEZ11" s="41"/>
      <c r="CFA11" s="41"/>
      <c r="CFB11" s="41"/>
      <c r="CFC11" s="41"/>
      <c r="CFD11" s="41"/>
      <c r="CFE11" s="41"/>
      <c r="CFF11" s="41"/>
      <c r="CFG11" s="41"/>
      <c r="CFH11" s="41"/>
      <c r="CFI11" s="41"/>
      <c r="CFJ11" s="41"/>
      <c r="CFK11" s="41"/>
      <c r="CFL11" s="41"/>
      <c r="CFM11" s="41"/>
      <c r="CFN11" s="41"/>
      <c r="CFO11" s="41"/>
      <c r="CFP11" s="41"/>
      <c r="CFQ11" s="41"/>
      <c r="CFR11" s="41"/>
      <c r="CFS11" s="41"/>
      <c r="CFT11" s="41"/>
      <c r="CFU11" s="41"/>
      <c r="CFV11" s="41"/>
      <c r="CFW11" s="41"/>
      <c r="CFX11" s="41"/>
      <c r="CFY11" s="41"/>
      <c r="CFZ11" s="41"/>
      <c r="CGA11" s="41"/>
      <c r="CGB11" s="41"/>
      <c r="CGC11" s="41"/>
      <c r="CGD11" s="41"/>
      <c r="CGE11" s="41"/>
      <c r="CGF11" s="41"/>
      <c r="CGG11" s="41"/>
      <c r="CGH11" s="41"/>
      <c r="CGI11" s="41"/>
      <c r="CGJ11" s="41"/>
      <c r="CGK11" s="41"/>
      <c r="CGL11" s="41"/>
      <c r="CGM11" s="41"/>
      <c r="CGN11" s="41"/>
      <c r="CGO11" s="41"/>
      <c r="CGP11" s="41"/>
      <c r="CGQ11" s="41"/>
      <c r="CGR11" s="41"/>
      <c r="CGS11" s="41"/>
      <c r="CGT11" s="41"/>
      <c r="CGU11" s="41"/>
      <c r="CGV11" s="41"/>
      <c r="CGW11" s="41"/>
      <c r="CGX11" s="41"/>
      <c r="CGY11" s="41"/>
      <c r="CGZ11" s="41"/>
      <c r="CHA11" s="41"/>
      <c r="CHB11" s="41"/>
      <c r="CHC11" s="41"/>
      <c r="CHD11" s="41"/>
      <c r="CHE11" s="41"/>
      <c r="CHF11" s="41"/>
      <c r="CHG11" s="41"/>
      <c r="CHH11" s="41"/>
      <c r="CHI11" s="41"/>
      <c r="CHJ11" s="41"/>
      <c r="CHK11" s="41"/>
      <c r="CHL11" s="41"/>
      <c r="CHM11" s="41"/>
      <c r="CHN11" s="41"/>
      <c r="CHO11" s="41"/>
      <c r="CHP11" s="41"/>
      <c r="CHQ11" s="41"/>
      <c r="CHR11" s="41"/>
      <c r="CHS11" s="41"/>
      <c r="CHT11" s="41"/>
      <c r="CHU11" s="41"/>
      <c r="CHV11" s="41"/>
      <c r="CHW11" s="41"/>
      <c r="CHX11" s="41"/>
      <c r="CHY11" s="41"/>
      <c r="CHZ11" s="41"/>
      <c r="CIA11" s="41"/>
      <c r="CIB11" s="41"/>
      <c r="CIC11" s="41"/>
      <c r="CID11" s="41"/>
      <c r="CIE11" s="41"/>
      <c r="CIF11" s="41"/>
      <c r="CIG11" s="41"/>
      <c r="CIH11" s="41"/>
      <c r="CII11" s="41"/>
      <c r="CIJ11" s="41"/>
      <c r="CIK11" s="41"/>
      <c r="CIL11" s="41"/>
      <c r="CIM11" s="41"/>
      <c r="CIN11" s="41"/>
      <c r="CIO11" s="41"/>
      <c r="CIP11" s="41"/>
      <c r="CIQ11" s="41"/>
      <c r="CIR11" s="41"/>
      <c r="CIS11" s="41"/>
      <c r="CIT11" s="41"/>
      <c r="CIU11" s="41"/>
      <c r="CIV11" s="41"/>
      <c r="CIW11" s="41"/>
      <c r="CIX11" s="41"/>
      <c r="CIY11" s="41"/>
      <c r="CIZ11" s="41"/>
      <c r="CJA11" s="41"/>
      <c r="CJB11" s="41"/>
      <c r="CJC11" s="41"/>
      <c r="CJD11" s="41"/>
      <c r="CJE11" s="41"/>
      <c r="CJF11" s="41"/>
      <c r="CJG11" s="41"/>
      <c r="CJH11" s="41"/>
      <c r="CJI11" s="41"/>
      <c r="CJJ11" s="41"/>
      <c r="CJK11" s="41"/>
      <c r="CJL11" s="41"/>
      <c r="CJM11" s="41"/>
      <c r="CJN11" s="41"/>
      <c r="CJO11" s="41"/>
      <c r="CJP11" s="41"/>
      <c r="CJQ11" s="41"/>
      <c r="CJR11" s="41"/>
      <c r="CJS11" s="41"/>
      <c r="CJT11" s="41"/>
      <c r="CJU11" s="41"/>
      <c r="CJV11" s="41"/>
      <c r="CJW11" s="41"/>
      <c r="CJX11" s="41"/>
      <c r="CJY11" s="41"/>
      <c r="CJZ11" s="41"/>
      <c r="CKA11" s="41"/>
      <c r="CKB11" s="41"/>
      <c r="CKC11" s="41"/>
      <c r="CKD11" s="41"/>
      <c r="CKE11" s="41"/>
      <c r="CKF11" s="41"/>
      <c r="CKG11" s="41"/>
      <c r="CKH11" s="41"/>
      <c r="CKI11" s="41"/>
      <c r="CKJ11" s="41"/>
      <c r="CKK11" s="41"/>
      <c r="CKL11" s="41"/>
      <c r="CKM11" s="41"/>
      <c r="CKN11" s="41"/>
      <c r="CKO11" s="41"/>
      <c r="CKP11" s="41"/>
      <c r="CKQ11" s="41"/>
      <c r="CKR11" s="41"/>
      <c r="CKS11" s="41"/>
      <c r="CKT11" s="41"/>
      <c r="CKU11" s="41"/>
      <c r="CKV11" s="41"/>
      <c r="CKW11" s="41"/>
      <c r="CKX11" s="41"/>
      <c r="CKY11" s="41"/>
      <c r="CKZ11" s="41"/>
      <c r="CLA11" s="41"/>
      <c r="CLB11" s="41"/>
      <c r="CLC11" s="41"/>
      <c r="CLD11" s="41"/>
      <c r="CLE11" s="41"/>
      <c r="CLF11" s="41"/>
      <c r="CLG11" s="41"/>
      <c r="CLH11" s="41"/>
      <c r="CLI11" s="41"/>
      <c r="CLJ11" s="41"/>
      <c r="CLK11" s="41"/>
      <c r="CLL11" s="41"/>
      <c r="CLM11" s="41"/>
      <c r="CLN11" s="41"/>
      <c r="CLO11" s="41"/>
      <c r="CLP11" s="41"/>
      <c r="CLQ11" s="41"/>
      <c r="CLR11" s="41"/>
      <c r="CLS11" s="41"/>
      <c r="CLT11" s="41"/>
      <c r="CLU11" s="41"/>
      <c r="CLV11" s="41"/>
      <c r="CLW11" s="41"/>
      <c r="CLX11" s="41"/>
      <c r="CLY11" s="41"/>
      <c r="CLZ11" s="41"/>
      <c r="CMA11" s="41"/>
      <c r="CMB11" s="41"/>
      <c r="CMC11" s="41"/>
      <c r="CMD11" s="41"/>
      <c r="CME11" s="41"/>
      <c r="CMF11" s="41"/>
      <c r="CMG11" s="41"/>
      <c r="CMH11" s="41"/>
      <c r="CMI11" s="41"/>
      <c r="CMJ11" s="41"/>
      <c r="CMK11" s="41"/>
      <c r="CML11" s="41"/>
      <c r="CMM11" s="41"/>
      <c r="CMN11" s="41"/>
      <c r="CMO11" s="41"/>
      <c r="CMP11" s="41"/>
      <c r="CMQ11" s="41"/>
      <c r="CMR11" s="41"/>
      <c r="CMS11" s="41"/>
      <c r="CMT11" s="41"/>
      <c r="CMU11" s="41"/>
      <c r="CMV11" s="41"/>
      <c r="CMW11" s="41"/>
      <c r="CMX11" s="41"/>
      <c r="CMY11" s="41"/>
      <c r="CMZ11" s="41"/>
      <c r="CNA11" s="41"/>
      <c r="CNB11" s="41"/>
      <c r="CNC11" s="41"/>
      <c r="CND11" s="41"/>
      <c r="CNE11" s="41"/>
      <c r="CNF11" s="41"/>
      <c r="CNG11" s="41"/>
      <c r="CNH11" s="41"/>
      <c r="CNI11" s="41"/>
      <c r="CNJ11" s="41"/>
      <c r="CNK11" s="41"/>
      <c r="CNL11" s="41"/>
      <c r="CNM11" s="41"/>
      <c r="CNN11" s="41"/>
      <c r="CNO11" s="41"/>
      <c r="CNP11" s="41"/>
      <c r="CNQ11" s="41"/>
      <c r="CNR11" s="41"/>
      <c r="CNS11" s="41"/>
      <c r="CNT11" s="41"/>
      <c r="CNU11" s="41"/>
      <c r="CNV11" s="41"/>
      <c r="CNW11" s="41"/>
      <c r="CNX11" s="41"/>
      <c r="CNY11" s="41"/>
      <c r="CNZ11" s="41"/>
      <c r="COA11" s="41"/>
      <c r="COB11" s="41"/>
      <c r="COC11" s="41"/>
      <c r="COD11" s="41"/>
      <c r="COE11" s="41"/>
      <c r="COF11" s="41"/>
      <c r="COG11" s="41"/>
      <c r="COH11" s="41"/>
      <c r="COI11" s="41"/>
      <c r="COJ11" s="41"/>
      <c r="COK11" s="41"/>
      <c r="COL11" s="41"/>
      <c r="COM11" s="41"/>
      <c r="CON11" s="41"/>
      <c r="COO11" s="41"/>
      <c r="COP11" s="41"/>
      <c r="COQ11" s="41"/>
      <c r="COR11" s="41"/>
      <c r="COS11" s="41"/>
      <c r="COT11" s="41"/>
      <c r="COU11" s="41"/>
      <c r="COV11" s="41"/>
      <c r="COW11" s="41"/>
      <c r="COX11" s="41"/>
      <c r="COY11" s="41"/>
      <c r="COZ11" s="41"/>
      <c r="CPA11" s="41"/>
      <c r="CPB11" s="41"/>
      <c r="CPC11" s="41"/>
      <c r="CPD11" s="41"/>
      <c r="CPE11" s="41"/>
      <c r="CPF11" s="41"/>
      <c r="CPG11" s="41"/>
      <c r="CPH11" s="41"/>
      <c r="CPI11" s="41"/>
      <c r="CPJ11" s="41"/>
      <c r="CPK11" s="41"/>
      <c r="CPL11" s="41"/>
      <c r="CPM11" s="41"/>
      <c r="CPN11" s="41"/>
      <c r="CPO11" s="41"/>
      <c r="CPP11" s="41"/>
      <c r="CPQ11" s="41"/>
      <c r="CPR11" s="41"/>
      <c r="CPS11" s="41"/>
      <c r="CPT11" s="41"/>
      <c r="CPU11" s="41"/>
      <c r="CPV11" s="41"/>
      <c r="CPW11" s="41"/>
      <c r="CPX11" s="41"/>
      <c r="CPY11" s="41"/>
      <c r="CPZ11" s="41"/>
      <c r="CQA11" s="41"/>
      <c r="CQB11" s="41"/>
      <c r="CQC11" s="41"/>
      <c r="CQD11" s="41"/>
      <c r="CQE11" s="41"/>
      <c r="CQF11" s="41"/>
      <c r="CQG11" s="41"/>
      <c r="CQH11" s="41"/>
      <c r="CQI11" s="41"/>
      <c r="CQJ11" s="41"/>
      <c r="CQK11" s="41"/>
      <c r="CQL11" s="41"/>
      <c r="CQM11" s="41"/>
      <c r="CQN11" s="41"/>
      <c r="CQO11" s="41"/>
      <c r="CQP11" s="41"/>
      <c r="CQQ11" s="41"/>
      <c r="CQR11" s="41"/>
      <c r="CQS11" s="41"/>
      <c r="CQT11" s="41"/>
      <c r="CQU11" s="41"/>
      <c r="CQV11" s="41"/>
      <c r="CQW11" s="41"/>
      <c r="CQX11" s="41"/>
      <c r="CQY11" s="41"/>
      <c r="CQZ11" s="41"/>
      <c r="CRA11" s="41"/>
      <c r="CRB11" s="41"/>
      <c r="CRC11" s="41"/>
      <c r="CRD11" s="41"/>
      <c r="CRE11" s="41"/>
      <c r="CRF11" s="41"/>
      <c r="CRG11" s="41"/>
      <c r="CRH11" s="41"/>
      <c r="CRI11" s="41"/>
      <c r="CRJ11" s="41"/>
      <c r="CRK11" s="41"/>
      <c r="CRL11" s="41"/>
      <c r="CRM11" s="41"/>
      <c r="CRN11" s="41"/>
      <c r="CRO11" s="41"/>
      <c r="CRP11" s="41"/>
      <c r="CRQ11" s="41"/>
      <c r="CRR11" s="41"/>
      <c r="CRS11" s="41"/>
      <c r="CRT11" s="41"/>
      <c r="CRU11" s="41"/>
      <c r="CRV11" s="41"/>
      <c r="CRW11" s="41"/>
      <c r="CRX11" s="41"/>
      <c r="CRY11" s="41"/>
      <c r="CRZ11" s="41"/>
      <c r="CSA11" s="41"/>
      <c r="CSB11" s="41"/>
      <c r="CSC11" s="41"/>
      <c r="CSD11" s="41"/>
      <c r="CSE11" s="41"/>
      <c r="CSF11" s="41"/>
      <c r="CSG11" s="41"/>
      <c r="CSH11" s="41"/>
      <c r="CSI11" s="41"/>
      <c r="CSJ11" s="41"/>
      <c r="CSK11" s="41"/>
      <c r="CSL11" s="41"/>
      <c r="CSM11" s="41"/>
      <c r="CSN11" s="41"/>
      <c r="CSO11" s="41"/>
      <c r="CSP11" s="41"/>
      <c r="CSQ11" s="41"/>
      <c r="CSR11" s="41"/>
      <c r="CSS11" s="41"/>
      <c r="CST11" s="41"/>
      <c r="CSU11" s="41"/>
      <c r="CSV11" s="41"/>
      <c r="CSW11" s="41"/>
      <c r="CSX11" s="41"/>
      <c r="CSY11" s="41"/>
      <c r="CSZ11" s="41"/>
      <c r="CTA11" s="41"/>
      <c r="CTB11" s="41"/>
      <c r="CTC11" s="41"/>
      <c r="CTD11" s="41"/>
      <c r="CTE11" s="41"/>
      <c r="CTF11" s="41"/>
      <c r="CTG11" s="41"/>
      <c r="CTH11" s="41"/>
      <c r="CTI11" s="41"/>
      <c r="CTJ11" s="41"/>
      <c r="CTK11" s="41"/>
      <c r="CTL11" s="41"/>
      <c r="CTM11" s="41"/>
      <c r="CTN11" s="41"/>
      <c r="CTO11" s="41"/>
      <c r="CTP11" s="41"/>
      <c r="CTQ11" s="41"/>
      <c r="CTR11" s="41"/>
      <c r="CTS11" s="41"/>
      <c r="CTT11" s="41"/>
      <c r="CTU11" s="41"/>
      <c r="CTV11" s="41"/>
      <c r="CTW11" s="41"/>
      <c r="CTX11" s="41"/>
      <c r="CTY11" s="41"/>
      <c r="CTZ11" s="41"/>
      <c r="CUA11" s="41"/>
      <c r="CUB11" s="41"/>
      <c r="CUC11" s="41"/>
      <c r="CUD11" s="41"/>
      <c r="CUE11" s="41"/>
      <c r="CUF11" s="41"/>
      <c r="CUG11" s="41"/>
      <c r="CUH11" s="41"/>
      <c r="CUI11" s="41"/>
      <c r="CUJ11" s="41"/>
      <c r="CUK11" s="41"/>
      <c r="CUL11" s="41"/>
      <c r="CUM11" s="41"/>
      <c r="CUN11" s="41"/>
      <c r="CUO11" s="41"/>
      <c r="CUP11" s="41"/>
      <c r="CUQ11" s="41"/>
      <c r="CUR11" s="41"/>
      <c r="CUS11" s="41"/>
      <c r="CUT11" s="41"/>
      <c r="CUU11" s="41"/>
      <c r="CUV11" s="41"/>
      <c r="CUW11" s="41"/>
      <c r="CUX11" s="41"/>
      <c r="CUY11" s="41"/>
      <c r="CUZ11" s="41"/>
      <c r="CVA11" s="41"/>
      <c r="CVB11" s="41"/>
      <c r="CVC11" s="41"/>
      <c r="CVD11" s="41"/>
      <c r="CVE11" s="41"/>
      <c r="CVF11" s="41"/>
      <c r="CVG11" s="41"/>
      <c r="CVH11" s="41"/>
      <c r="CVI11" s="41"/>
      <c r="CVJ11" s="41"/>
      <c r="CVK11" s="41"/>
      <c r="CVL11" s="41"/>
      <c r="CVM11" s="41"/>
      <c r="CVN11" s="41"/>
      <c r="CVO11" s="41"/>
      <c r="CVP11" s="41"/>
      <c r="CVQ11" s="41"/>
      <c r="CVR11" s="41"/>
      <c r="CVS11" s="41"/>
      <c r="CVT11" s="41"/>
      <c r="CVU11" s="41"/>
      <c r="CVV11" s="41"/>
      <c r="CVW11" s="41"/>
      <c r="CVX11" s="41"/>
      <c r="CVY11" s="41"/>
      <c r="CVZ11" s="41"/>
      <c r="CWA11" s="41"/>
      <c r="CWB11" s="41"/>
      <c r="CWC11" s="41"/>
      <c r="CWD11" s="41"/>
      <c r="CWE11" s="41"/>
      <c r="CWF11" s="41"/>
      <c r="CWG11" s="41"/>
      <c r="CWH11" s="41"/>
      <c r="CWI11" s="41"/>
      <c r="CWJ11" s="41"/>
      <c r="CWK11" s="41"/>
      <c r="CWL11" s="41"/>
      <c r="CWM11" s="41"/>
      <c r="CWN11" s="41"/>
      <c r="CWO11" s="41"/>
      <c r="CWP11" s="41"/>
      <c r="CWQ11" s="41"/>
      <c r="CWR11" s="41"/>
      <c r="CWS11" s="41"/>
      <c r="CWT11" s="41"/>
      <c r="CWU11" s="41"/>
      <c r="CWV11" s="41"/>
      <c r="CWW11" s="41"/>
      <c r="CWX11" s="41"/>
      <c r="CWY11" s="41"/>
      <c r="CWZ11" s="41"/>
      <c r="CXA11" s="41"/>
      <c r="CXB11" s="41"/>
      <c r="CXC11" s="41"/>
      <c r="CXD11" s="41"/>
      <c r="CXE11" s="41"/>
      <c r="CXF11" s="41"/>
      <c r="CXG11" s="41"/>
      <c r="CXH11" s="41"/>
      <c r="CXI11" s="41"/>
      <c r="CXJ11" s="41"/>
      <c r="CXK11" s="41"/>
      <c r="CXL11" s="41"/>
      <c r="CXM11" s="41"/>
      <c r="CXN11" s="41"/>
      <c r="CXO11" s="41"/>
      <c r="CXP11" s="41"/>
      <c r="CXQ11" s="41"/>
      <c r="CXR11" s="41"/>
      <c r="CXS11" s="41"/>
      <c r="CXT11" s="41"/>
      <c r="CXU11" s="41"/>
      <c r="CXV11" s="41"/>
      <c r="CXW11" s="41"/>
      <c r="CXX11" s="41"/>
      <c r="CXY11" s="41"/>
      <c r="CXZ11" s="41"/>
      <c r="CYA11" s="41"/>
      <c r="CYB11" s="41"/>
      <c r="CYC11" s="41"/>
      <c r="CYD11" s="41"/>
      <c r="CYE11" s="41"/>
      <c r="CYF11" s="41"/>
      <c r="CYG11" s="41"/>
      <c r="CYH11" s="41"/>
      <c r="CYI11" s="41"/>
      <c r="CYJ11" s="41"/>
      <c r="CYK11" s="41"/>
      <c r="CYL11" s="41"/>
      <c r="CYM11" s="41"/>
      <c r="CYN11" s="41"/>
      <c r="CYO11" s="41"/>
      <c r="CYP11" s="41"/>
      <c r="CYQ11" s="41"/>
      <c r="CYR11" s="41"/>
      <c r="CYS11" s="41"/>
      <c r="CYT11" s="41"/>
      <c r="CYU11" s="41"/>
      <c r="CYV11" s="41"/>
      <c r="CYW11" s="41"/>
      <c r="CYX11" s="41"/>
      <c r="CYY11" s="41"/>
      <c r="CYZ11" s="41"/>
      <c r="CZA11" s="41"/>
      <c r="CZB11" s="41"/>
      <c r="CZC11" s="41"/>
      <c r="CZD11" s="41"/>
      <c r="CZE11" s="41"/>
      <c r="CZF11" s="41"/>
      <c r="CZG11" s="41"/>
      <c r="CZH11" s="41"/>
      <c r="CZI11" s="41"/>
      <c r="CZJ11" s="41"/>
      <c r="CZK11" s="41"/>
      <c r="CZL11" s="41"/>
      <c r="CZM11" s="41"/>
      <c r="CZN11" s="41"/>
      <c r="CZO11" s="41"/>
      <c r="CZP11" s="41"/>
      <c r="CZQ11" s="41"/>
      <c r="CZR11" s="41"/>
      <c r="CZS11" s="41"/>
      <c r="CZT11" s="41"/>
      <c r="CZU11" s="41"/>
      <c r="CZV11" s="41"/>
      <c r="CZW11" s="41"/>
      <c r="CZX11" s="41"/>
      <c r="CZY11" s="41"/>
      <c r="CZZ11" s="41"/>
      <c r="DAA11" s="41"/>
      <c r="DAB11" s="41"/>
      <c r="DAC11" s="41"/>
      <c r="DAD11" s="41"/>
      <c r="DAE11" s="41"/>
      <c r="DAF11" s="41"/>
      <c r="DAG11" s="41"/>
      <c r="DAH11" s="41"/>
      <c r="DAI11" s="41"/>
      <c r="DAJ11" s="41"/>
      <c r="DAK11" s="41"/>
      <c r="DAL11" s="41"/>
      <c r="DAM11" s="41"/>
      <c r="DAN11" s="41"/>
      <c r="DAO11" s="41"/>
      <c r="DAP11" s="41"/>
      <c r="DAQ11" s="41"/>
      <c r="DAR11" s="41"/>
      <c r="DAS11" s="41"/>
      <c r="DAT11" s="41"/>
      <c r="DAU11" s="41"/>
      <c r="DAV11" s="41"/>
      <c r="DAW11" s="41"/>
      <c r="DAX11" s="41"/>
      <c r="DAY11" s="41"/>
      <c r="DAZ11" s="41"/>
      <c r="DBA11" s="41"/>
      <c r="DBB11" s="41"/>
      <c r="DBC11" s="41"/>
      <c r="DBD11" s="41"/>
      <c r="DBE11" s="41"/>
      <c r="DBF11" s="41"/>
      <c r="DBG11" s="41"/>
      <c r="DBH11" s="41"/>
      <c r="DBI11" s="41"/>
      <c r="DBJ11" s="41"/>
      <c r="DBK11" s="41"/>
      <c r="DBL11" s="41"/>
      <c r="DBM11" s="41"/>
      <c r="DBN11" s="41"/>
      <c r="DBO11" s="41"/>
      <c r="DBP11" s="41"/>
      <c r="DBQ11" s="41"/>
      <c r="DBR11" s="41"/>
      <c r="DBS11" s="41"/>
      <c r="DBT11" s="41"/>
      <c r="DBU11" s="41"/>
      <c r="DBV11" s="41"/>
      <c r="DBW11" s="41"/>
      <c r="DBX11" s="41"/>
      <c r="DBY11" s="41"/>
      <c r="DBZ11" s="41"/>
      <c r="DCA11" s="41"/>
      <c r="DCB11" s="41"/>
      <c r="DCC11" s="41"/>
      <c r="DCD11" s="41"/>
      <c r="DCE11" s="41"/>
      <c r="DCF11" s="41"/>
      <c r="DCG11" s="41"/>
      <c r="DCH11" s="41"/>
      <c r="DCI11" s="41"/>
      <c r="DCJ11" s="41"/>
      <c r="DCK11" s="41"/>
      <c r="DCL11" s="41"/>
      <c r="DCM11" s="41"/>
      <c r="DCN11" s="41"/>
      <c r="DCO11" s="41"/>
      <c r="DCP11" s="41"/>
      <c r="DCQ11" s="41"/>
      <c r="DCR11" s="41"/>
      <c r="DCS11" s="41"/>
      <c r="DCT11" s="41"/>
      <c r="DCU11" s="41"/>
      <c r="DCV11" s="41"/>
      <c r="DCW11" s="41"/>
      <c r="DCX11" s="41"/>
      <c r="DCY11" s="41"/>
      <c r="DCZ11" s="41"/>
      <c r="DDA11" s="41"/>
      <c r="DDB11" s="41"/>
      <c r="DDC11" s="41"/>
      <c r="DDD11" s="41"/>
      <c r="DDE11" s="41"/>
      <c r="DDF11" s="41"/>
      <c r="DDG11" s="41"/>
      <c r="DDH11" s="41"/>
      <c r="DDI11" s="41"/>
      <c r="DDJ11" s="41"/>
      <c r="DDK11" s="41"/>
      <c r="DDL11" s="41"/>
      <c r="DDM11" s="41"/>
      <c r="DDN11" s="41"/>
      <c r="DDO11" s="41"/>
      <c r="DDP11" s="41"/>
      <c r="DDQ11" s="41"/>
      <c r="DDR11" s="41"/>
      <c r="DDS11" s="41"/>
      <c r="DDT11" s="41"/>
      <c r="DDU11" s="41"/>
      <c r="DDV11" s="41"/>
      <c r="DDW11" s="41"/>
      <c r="DDX11" s="41"/>
      <c r="DDY11" s="41"/>
      <c r="DDZ11" s="41"/>
      <c r="DEA11" s="41"/>
      <c r="DEB11" s="41"/>
      <c r="DEC11" s="41"/>
      <c r="DED11" s="41"/>
      <c r="DEE11" s="41"/>
      <c r="DEF11" s="41"/>
      <c r="DEG11" s="41"/>
      <c r="DEH11" s="41"/>
      <c r="DEI11" s="41"/>
      <c r="DEJ11" s="41"/>
      <c r="DEK11" s="41"/>
      <c r="DEL11" s="41"/>
      <c r="DEM11" s="41"/>
      <c r="DEN11" s="41"/>
      <c r="DEO11" s="41"/>
      <c r="DEP11" s="41"/>
      <c r="DEQ11" s="41"/>
      <c r="DER11" s="41"/>
      <c r="DES11" s="41"/>
      <c r="DET11" s="41"/>
      <c r="DEU11" s="41"/>
      <c r="DEV11" s="41"/>
      <c r="DEW11" s="41"/>
      <c r="DEX11" s="41"/>
      <c r="DEY11" s="41"/>
      <c r="DEZ11" s="41"/>
      <c r="DFA11" s="41"/>
      <c r="DFB11" s="41"/>
      <c r="DFC11" s="41"/>
      <c r="DFD11" s="41"/>
      <c r="DFE11" s="41"/>
      <c r="DFF11" s="41"/>
      <c r="DFG11" s="41"/>
      <c r="DFH11" s="41"/>
      <c r="DFI11" s="41"/>
      <c r="DFJ11" s="41"/>
      <c r="DFK11" s="41"/>
      <c r="DFL11" s="41"/>
      <c r="DFM11" s="41"/>
      <c r="DFN11" s="41"/>
      <c r="DFO11" s="41"/>
      <c r="DFP11" s="41"/>
      <c r="DFQ11" s="41"/>
      <c r="DFR11" s="41"/>
      <c r="DFS11" s="41"/>
      <c r="DFT11" s="41"/>
      <c r="DFU11" s="41"/>
      <c r="DFV11" s="41"/>
      <c r="DFW11" s="41"/>
      <c r="DFX11" s="41"/>
      <c r="DFY11" s="41"/>
      <c r="DFZ11" s="41"/>
      <c r="DGA11" s="41"/>
      <c r="DGB11" s="41"/>
      <c r="DGC11" s="41"/>
      <c r="DGD11" s="41"/>
      <c r="DGE11" s="41"/>
      <c r="DGF11" s="41"/>
      <c r="DGG11" s="41"/>
      <c r="DGH11" s="41"/>
      <c r="DGI11" s="41"/>
      <c r="DGJ11" s="41"/>
      <c r="DGK11" s="41"/>
      <c r="DGL11" s="41"/>
      <c r="DGM11" s="41"/>
      <c r="DGN11" s="41"/>
      <c r="DGO11" s="41"/>
      <c r="DGP11" s="41"/>
      <c r="DGQ11" s="41"/>
      <c r="DGR11" s="41"/>
      <c r="DGS11" s="41"/>
      <c r="DGT11" s="41"/>
      <c r="DGU11" s="41"/>
      <c r="DGV11" s="41"/>
      <c r="DGW11" s="41"/>
      <c r="DGX11" s="41"/>
      <c r="DGY11" s="41"/>
      <c r="DGZ11" s="41"/>
      <c r="DHA11" s="41"/>
      <c r="DHB11" s="41"/>
      <c r="DHC11" s="41"/>
      <c r="DHD11" s="41"/>
      <c r="DHE11" s="41"/>
      <c r="DHF11" s="41"/>
      <c r="DHG11" s="41"/>
      <c r="DHH11" s="41"/>
      <c r="DHI11" s="41"/>
      <c r="DHJ11" s="41"/>
      <c r="DHK11" s="41"/>
      <c r="DHL11" s="41"/>
      <c r="DHM11" s="41"/>
      <c r="DHN11" s="41"/>
      <c r="DHO11" s="41"/>
      <c r="DHP11" s="41"/>
      <c r="DHQ11" s="41"/>
      <c r="DHR11" s="41"/>
      <c r="DHS11" s="41"/>
      <c r="DHT11" s="41"/>
      <c r="DHU11" s="41"/>
      <c r="DHV11" s="41"/>
      <c r="DHW11" s="41"/>
      <c r="DHX11" s="41"/>
      <c r="DHY11" s="41"/>
      <c r="DHZ11" s="41"/>
      <c r="DIA11" s="41"/>
      <c r="DIB11" s="41"/>
      <c r="DIC11" s="41"/>
      <c r="DID11" s="41"/>
      <c r="DIE11" s="41"/>
      <c r="DIF11" s="41"/>
      <c r="DIG11" s="41"/>
      <c r="DIH11" s="41"/>
      <c r="DII11" s="41"/>
      <c r="DIJ11" s="41"/>
      <c r="DIK11" s="41"/>
      <c r="DIL11" s="41"/>
      <c r="DIM11" s="41"/>
      <c r="DIN11" s="41"/>
      <c r="DIO11" s="41"/>
      <c r="DIP11" s="41"/>
      <c r="DIQ11" s="41"/>
      <c r="DIR11" s="41"/>
      <c r="DIS11" s="41"/>
      <c r="DIT11" s="41"/>
      <c r="DIU11" s="41"/>
      <c r="DIV11" s="41"/>
      <c r="DIW11" s="41"/>
      <c r="DIX11" s="41"/>
      <c r="DIY11" s="41"/>
      <c r="DIZ11" s="41"/>
      <c r="DJA11" s="41"/>
      <c r="DJB11" s="41"/>
      <c r="DJC11" s="41"/>
      <c r="DJD11" s="41"/>
      <c r="DJE11" s="41"/>
      <c r="DJF11" s="41"/>
      <c r="DJG11" s="41"/>
      <c r="DJH11" s="41"/>
      <c r="DJI11" s="41"/>
      <c r="DJJ11" s="41"/>
      <c r="DJK11" s="41"/>
      <c r="DJL11" s="41"/>
      <c r="DJM11" s="41"/>
      <c r="DJN11" s="41"/>
      <c r="DJO11" s="41"/>
      <c r="DJP11" s="41"/>
      <c r="DJQ11" s="41"/>
      <c r="DJR11" s="41"/>
      <c r="DJS11" s="41"/>
      <c r="DJT11" s="41"/>
      <c r="DJU11" s="41"/>
      <c r="DJV11" s="41"/>
      <c r="DJW11" s="41"/>
      <c r="DJX11" s="41"/>
      <c r="DJY11" s="41"/>
      <c r="DJZ11" s="41"/>
      <c r="DKA11" s="41"/>
      <c r="DKB11" s="41"/>
      <c r="DKC11" s="41"/>
      <c r="DKD11" s="41"/>
      <c r="DKE11" s="41"/>
      <c r="DKF11" s="41"/>
      <c r="DKG11" s="41"/>
      <c r="DKH11" s="41"/>
      <c r="DKI11" s="41"/>
      <c r="DKJ11" s="41"/>
      <c r="DKK11" s="41"/>
      <c r="DKL11" s="41"/>
      <c r="DKM11" s="41"/>
      <c r="DKN11" s="41"/>
      <c r="DKO11" s="41"/>
      <c r="DKP11" s="41"/>
      <c r="DKQ11" s="41"/>
      <c r="DKR11" s="41"/>
      <c r="DKS11" s="41"/>
      <c r="DKT11" s="41"/>
      <c r="DKU11" s="41"/>
      <c r="DKV11" s="41"/>
      <c r="DKW11" s="41"/>
      <c r="DKX11" s="41"/>
      <c r="DKY11" s="41"/>
      <c r="DKZ11" s="41"/>
      <c r="DLA11" s="41"/>
      <c r="DLB11" s="41"/>
      <c r="DLC11" s="41"/>
      <c r="DLD11" s="41"/>
      <c r="DLE11" s="41"/>
      <c r="DLF11" s="41"/>
      <c r="DLG11" s="41"/>
      <c r="DLH11" s="41"/>
      <c r="DLI11" s="41"/>
      <c r="DLJ11" s="41"/>
      <c r="DLK11" s="41"/>
      <c r="DLL11" s="41"/>
      <c r="DLM11" s="41"/>
      <c r="DLN11" s="41"/>
      <c r="DLO11" s="41"/>
      <c r="DLP11" s="41"/>
      <c r="DLQ11" s="41"/>
      <c r="DLR11" s="41"/>
      <c r="DLS11" s="41"/>
      <c r="DLT11" s="41"/>
      <c r="DLU11" s="41"/>
      <c r="DLV11" s="41"/>
      <c r="DLW11" s="41"/>
      <c r="DLX11" s="41"/>
      <c r="DLY11" s="41"/>
      <c r="DLZ11" s="41"/>
      <c r="DMA11" s="41"/>
      <c r="DMB11" s="41"/>
      <c r="DMC11" s="41"/>
      <c r="DMD11" s="41"/>
      <c r="DME11" s="41"/>
      <c r="DMF11" s="41"/>
      <c r="DMG11" s="41"/>
      <c r="DMH11" s="41"/>
      <c r="DMI11" s="41"/>
      <c r="DMJ11" s="41"/>
      <c r="DMK11" s="41"/>
      <c r="DML11" s="41"/>
      <c r="DMM11" s="41"/>
      <c r="DMN11" s="41"/>
      <c r="DMO11" s="41"/>
      <c r="DMP11" s="41"/>
      <c r="DMQ11" s="41"/>
      <c r="DMR11" s="41"/>
      <c r="DMS11" s="41"/>
      <c r="DMT11" s="41"/>
      <c r="DMU11" s="41"/>
      <c r="DMV11" s="41"/>
      <c r="DMW11" s="41"/>
      <c r="DMX11" s="41"/>
      <c r="DMY11" s="41"/>
      <c r="DMZ11" s="41"/>
      <c r="DNA11" s="41"/>
      <c r="DNB11" s="41"/>
      <c r="DNC11" s="41"/>
      <c r="DND11" s="41"/>
      <c r="DNE11" s="41"/>
      <c r="DNF11" s="41"/>
      <c r="DNG11" s="41"/>
      <c r="DNH11" s="41"/>
      <c r="DNI11" s="41"/>
      <c r="DNJ11" s="41"/>
      <c r="DNK11" s="41"/>
      <c r="DNL11" s="41"/>
      <c r="DNM11" s="41"/>
      <c r="DNN11" s="41"/>
      <c r="DNO11" s="41"/>
      <c r="DNP11" s="41"/>
      <c r="DNQ11" s="41"/>
      <c r="DNR11" s="41"/>
      <c r="DNS11" s="41"/>
      <c r="DNT11" s="41"/>
      <c r="DNU11" s="41"/>
      <c r="DNV11" s="41"/>
      <c r="DNW11" s="41"/>
      <c r="DNX11" s="41"/>
      <c r="DNY11" s="41"/>
      <c r="DNZ11" s="41"/>
      <c r="DOA11" s="41"/>
      <c r="DOB11" s="41"/>
      <c r="DOC11" s="41"/>
      <c r="DOD11" s="41"/>
      <c r="DOE11" s="41"/>
      <c r="DOF11" s="41"/>
      <c r="DOG11" s="41"/>
      <c r="DOH11" s="41"/>
      <c r="DOI11" s="41"/>
      <c r="DOJ11" s="41"/>
      <c r="DOK11" s="41"/>
      <c r="DOL11" s="41"/>
      <c r="DOM11" s="41"/>
      <c r="DON11" s="41"/>
      <c r="DOO11" s="41"/>
      <c r="DOP11" s="41"/>
      <c r="DOQ11" s="41"/>
      <c r="DOR11" s="41"/>
      <c r="DOS11" s="41"/>
      <c r="DOT11" s="41"/>
      <c r="DOU11" s="41"/>
      <c r="DOV11" s="41"/>
      <c r="DOW11" s="41"/>
      <c r="DOX11" s="41"/>
      <c r="DOY11" s="41"/>
      <c r="DOZ11" s="41"/>
      <c r="DPA11" s="41"/>
      <c r="DPB11" s="41"/>
      <c r="DPC11" s="41"/>
      <c r="DPD11" s="41"/>
      <c r="DPE11" s="41"/>
      <c r="DPF11" s="41"/>
      <c r="DPG11" s="41"/>
      <c r="DPH11" s="41"/>
      <c r="DPI11" s="41"/>
      <c r="DPJ11" s="41"/>
      <c r="DPK11" s="41"/>
      <c r="DPL11" s="41"/>
      <c r="DPM11" s="41"/>
      <c r="DPN11" s="41"/>
      <c r="DPO11" s="41"/>
      <c r="DPP11" s="41"/>
      <c r="DPQ11" s="41"/>
      <c r="DPR11" s="41"/>
      <c r="DPS11" s="41"/>
      <c r="DPT11" s="41"/>
      <c r="DPU11" s="41"/>
      <c r="DPV11" s="41"/>
      <c r="DPW11" s="41"/>
      <c r="DPX11" s="41"/>
      <c r="DPY11" s="41"/>
      <c r="DPZ11" s="41"/>
      <c r="DQA11" s="41"/>
      <c r="DQB11" s="41"/>
      <c r="DQC11" s="41"/>
      <c r="DQD11" s="41"/>
      <c r="DQE11" s="41"/>
      <c r="DQF11" s="41"/>
      <c r="DQG11" s="41"/>
      <c r="DQH11" s="41"/>
      <c r="DQI11" s="41"/>
      <c r="DQJ11" s="41"/>
      <c r="DQK11" s="41"/>
      <c r="DQL11" s="41"/>
      <c r="DQM11" s="41"/>
      <c r="DQN11" s="41"/>
      <c r="DQO11" s="41"/>
      <c r="DQP11" s="41"/>
      <c r="DQQ11" s="41"/>
      <c r="DQR11" s="41"/>
      <c r="DQS11" s="41"/>
      <c r="DQT11" s="41"/>
      <c r="DQU11" s="41"/>
      <c r="DQV11" s="41"/>
      <c r="DQW11" s="41"/>
      <c r="DQX11" s="41"/>
      <c r="DQY11" s="41"/>
      <c r="DQZ11" s="41"/>
      <c r="DRA11" s="41"/>
      <c r="DRB11" s="41"/>
      <c r="DRC11" s="41"/>
      <c r="DRD11" s="41"/>
      <c r="DRE11" s="41"/>
      <c r="DRF11" s="41"/>
      <c r="DRG11" s="41"/>
      <c r="DRH11" s="41"/>
      <c r="DRI11" s="41"/>
      <c r="DRJ11" s="41"/>
      <c r="DRK11" s="41"/>
      <c r="DRL11" s="41"/>
      <c r="DRM11" s="41"/>
      <c r="DRN11" s="41"/>
      <c r="DRO11" s="41"/>
      <c r="DRP11" s="41"/>
      <c r="DRQ11" s="41"/>
      <c r="DRR11" s="41"/>
      <c r="DRS11" s="41"/>
      <c r="DRT11" s="41"/>
      <c r="DRU11" s="41"/>
      <c r="DRV11" s="41"/>
      <c r="DRW11" s="41"/>
      <c r="DRX11" s="41"/>
      <c r="DRY11" s="41"/>
      <c r="DRZ11" s="41"/>
      <c r="DSA11" s="41"/>
      <c r="DSB11" s="41"/>
      <c r="DSC11" s="41"/>
      <c r="DSD11" s="41"/>
      <c r="DSE11" s="41"/>
      <c r="DSF11" s="41"/>
      <c r="DSG11" s="41"/>
      <c r="DSH11" s="41"/>
      <c r="DSI11" s="41"/>
      <c r="DSJ11" s="41"/>
      <c r="DSK11" s="41"/>
      <c r="DSL11" s="41"/>
      <c r="DSM11" s="41"/>
      <c r="DSN11" s="41"/>
      <c r="DSO11" s="41"/>
      <c r="DSP11" s="41"/>
      <c r="DSQ11" s="41"/>
      <c r="DSR11" s="41"/>
      <c r="DSS11" s="41"/>
      <c r="DST11" s="41"/>
      <c r="DSU11" s="41"/>
      <c r="DSV11" s="41"/>
      <c r="DSW11" s="41"/>
      <c r="DSX11" s="41"/>
      <c r="DSY11" s="41"/>
      <c r="DSZ11" s="41"/>
      <c r="DTA11" s="41"/>
      <c r="DTB11" s="41"/>
      <c r="DTC11" s="41"/>
      <c r="DTD11" s="41"/>
      <c r="DTE11" s="41"/>
      <c r="DTF11" s="41"/>
      <c r="DTG11" s="41"/>
      <c r="DTH11" s="41"/>
      <c r="DTI11" s="41"/>
      <c r="DTJ11" s="41"/>
      <c r="DTK11" s="41"/>
      <c r="DTL11" s="41"/>
      <c r="DTM11" s="41"/>
      <c r="DTN11" s="41"/>
      <c r="DTO11" s="41"/>
      <c r="DTP11" s="41"/>
      <c r="DTQ11" s="41"/>
      <c r="DTR11" s="41"/>
      <c r="DTS11" s="41"/>
      <c r="DTT11" s="41"/>
      <c r="DTU11" s="41"/>
      <c r="DTV11" s="41"/>
      <c r="DTW11" s="41"/>
      <c r="DTX11" s="41"/>
      <c r="DTY11" s="41"/>
      <c r="DTZ11" s="41"/>
      <c r="DUA11" s="41"/>
      <c r="DUB11" s="41"/>
      <c r="DUC11" s="41"/>
      <c r="DUD11" s="41"/>
      <c r="DUE11" s="41"/>
      <c r="DUF11" s="41"/>
      <c r="DUG11" s="41"/>
      <c r="DUH11" s="41"/>
      <c r="DUI11" s="41"/>
      <c r="DUJ11" s="41"/>
      <c r="DUK11" s="41"/>
      <c r="DUL11" s="41"/>
      <c r="DUM11" s="41"/>
      <c r="DUN11" s="41"/>
      <c r="DUO11" s="41"/>
      <c r="DUP11" s="41"/>
      <c r="DUQ11" s="41"/>
      <c r="DUR11" s="41"/>
      <c r="DUS11" s="41"/>
      <c r="DUT11" s="41"/>
      <c r="DUU11" s="41"/>
      <c r="DUV11" s="41"/>
      <c r="DUW11" s="41"/>
      <c r="DUX11" s="41"/>
      <c r="DUY11" s="41"/>
      <c r="DUZ11" s="41"/>
      <c r="DVA11" s="41"/>
      <c r="DVB11" s="41"/>
      <c r="DVC11" s="41"/>
      <c r="DVD11" s="41"/>
      <c r="DVE11" s="41"/>
      <c r="DVF11" s="41"/>
      <c r="DVG11" s="41"/>
      <c r="DVH11" s="41"/>
      <c r="DVI11" s="41"/>
      <c r="DVJ11" s="41"/>
      <c r="DVK11" s="41"/>
      <c r="DVL11" s="41"/>
      <c r="DVM11" s="41"/>
      <c r="DVN11" s="41"/>
      <c r="DVO11" s="41"/>
      <c r="DVP11" s="41"/>
      <c r="DVQ11" s="41"/>
      <c r="DVR11" s="41"/>
      <c r="DVS11" s="41"/>
      <c r="DVT11" s="41"/>
      <c r="DVU11" s="41"/>
      <c r="DVV11" s="41"/>
      <c r="DVW11" s="41"/>
      <c r="DVX11" s="41"/>
      <c r="DVY11" s="41"/>
      <c r="DVZ11" s="41"/>
      <c r="DWA11" s="41"/>
      <c r="DWB11" s="41"/>
      <c r="DWC11" s="41"/>
      <c r="DWD11" s="41"/>
      <c r="DWE11" s="41"/>
      <c r="DWF11" s="41"/>
      <c r="DWG11" s="41"/>
      <c r="DWH11" s="41"/>
      <c r="DWI11" s="41"/>
      <c r="DWJ11" s="41"/>
      <c r="DWK11" s="41"/>
      <c r="DWL11" s="41"/>
      <c r="DWM11" s="41"/>
      <c r="DWN11" s="41"/>
      <c r="DWO11" s="41"/>
      <c r="DWP11" s="41"/>
      <c r="DWQ11" s="41"/>
      <c r="DWR11" s="41"/>
      <c r="DWS11" s="41"/>
      <c r="DWT11" s="41"/>
      <c r="DWU11" s="41"/>
      <c r="DWV11" s="41"/>
      <c r="DWW11" s="41"/>
      <c r="DWX11" s="41"/>
      <c r="DWY11" s="41"/>
      <c r="DWZ11" s="41"/>
      <c r="DXA11" s="41"/>
      <c r="DXB11" s="41"/>
      <c r="DXC11" s="41"/>
      <c r="DXD11" s="41"/>
      <c r="DXE11" s="41"/>
      <c r="DXF11" s="41"/>
      <c r="DXG11" s="41"/>
      <c r="DXH11" s="41"/>
      <c r="DXI11" s="41"/>
      <c r="DXJ11" s="41"/>
      <c r="DXK11" s="41"/>
      <c r="DXL11" s="41"/>
      <c r="DXM11" s="41"/>
      <c r="DXN11" s="41"/>
      <c r="DXO11" s="41"/>
      <c r="DXP11" s="41"/>
      <c r="DXQ11" s="41"/>
      <c r="DXR11" s="41"/>
      <c r="DXS11" s="41"/>
      <c r="DXT11" s="41"/>
      <c r="DXU11" s="41"/>
      <c r="DXV11" s="41"/>
      <c r="DXW11" s="41"/>
      <c r="DXX11" s="41"/>
      <c r="DXY11" s="41"/>
      <c r="DXZ11" s="41"/>
      <c r="DYA11" s="41"/>
      <c r="DYB11" s="41"/>
      <c r="DYC11" s="41"/>
      <c r="DYD11" s="41"/>
      <c r="DYE11" s="41"/>
      <c r="DYF11" s="41"/>
      <c r="DYG11" s="41"/>
      <c r="DYH11" s="41"/>
      <c r="DYI11" s="41"/>
      <c r="DYJ11" s="41"/>
      <c r="DYK11" s="41"/>
      <c r="DYL11" s="41"/>
      <c r="DYM11" s="41"/>
      <c r="DYN11" s="41"/>
      <c r="DYO11" s="41"/>
      <c r="DYP11" s="41"/>
      <c r="DYQ11" s="41"/>
      <c r="DYR11" s="41"/>
      <c r="DYS11" s="41"/>
      <c r="DYT11" s="41"/>
      <c r="DYU11" s="41"/>
      <c r="DYV11" s="41"/>
      <c r="DYW11" s="41"/>
      <c r="DYX11" s="41"/>
      <c r="DYY11" s="41"/>
      <c r="DYZ11" s="41"/>
      <c r="DZA11" s="41"/>
      <c r="DZB11" s="41"/>
      <c r="DZC11" s="41"/>
      <c r="DZD11" s="41"/>
      <c r="DZE11" s="41"/>
      <c r="DZF11" s="41"/>
      <c r="DZG11" s="41"/>
      <c r="DZH11" s="41"/>
      <c r="DZI11" s="41"/>
      <c r="DZJ11" s="41"/>
      <c r="DZK11" s="41"/>
      <c r="DZL11" s="41"/>
      <c r="DZM11" s="41"/>
      <c r="DZN11" s="41"/>
      <c r="DZO11" s="41"/>
      <c r="DZP11" s="41"/>
      <c r="DZQ11" s="41"/>
      <c r="DZR11" s="41"/>
      <c r="DZS11" s="41"/>
      <c r="DZT11" s="41"/>
      <c r="DZU11" s="41"/>
      <c r="DZV11" s="41"/>
      <c r="DZW11" s="41"/>
      <c r="DZX11" s="41"/>
      <c r="DZY11" s="41"/>
      <c r="DZZ11" s="41"/>
      <c r="EAA11" s="41"/>
      <c r="EAB11" s="41"/>
      <c r="EAC11" s="41"/>
      <c r="EAD11" s="41"/>
      <c r="EAE11" s="41"/>
      <c r="EAF11" s="41"/>
      <c r="EAG11" s="41"/>
      <c r="EAH11" s="41"/>
      <c r="EAI11" s="41"/>
      <c r="EAJ11" s="41"/>
      <c r="EAK11" s="41"/>
      <c r="EAL11" s="41"/>
      <c r="EAM11" s="41"/>
      <c r="EAN11" s="41"/>
      <c r="EAO11" s="41"/>
      <c r="EAP11" s="41"/>
      <c r="EAQ11" s="41"/>
      <c r="EAR11" s="41"/>
      <c r="EAS11" s="41"/>
      <c r="EAT11" s="41"/>
      <c r="EAU11" s="41"/>
      <c r="EAV11" s="41"/>
      <c r="EAW11" s="41"/>
      <c r="EAX11" s="41"/>
      <c r="EAY11" s="41"/>
      <c r="EAZ11" s="41"/>
      <c r="EBA11" s="41"/>
      <c r="EBB11" s="41"/>
      <c r="EBC11" s="41"/>
      <c r="EBD11" s="41"/>
      <c r="EBE11" s="41"/>
      <c r="EBF11" s="41"/>
      <c r="EBG11" s="41"/>
      <c r="EBH11" s="41"/>
      <c r="EBI11" s="41"/>
      <c r="EBJ11" s="41"/>
      <c r="EBK11" s="41"/>
      <c r="EBL11" s="41"/>
      <c r="EBM11" s="41"/>
      <c r="EBN11" s="41"/>
      <c r="EBO11" s="41"/>
      <c r="EBP11" s="41"/>
      <c r="EBQ11" s="41"/>
      <c r="EBR11" s="41"/>
      <c r="EBS11" s="41"/>
      <c r="EBT11" s="41"/>
      <c r="EBU11" s="41"/>
      <c r="EBV11" s="41"/>
      <c r="EBW11" s="41"/>
      <c r="EBX11" s="41"/>
      <c r="EBY11" s="41"/>
      <c r="EBZ11" s="41"/>
      <c r="ECA11" s="41"/>
      <c r="ECB11" s="41"/>
      <c r="ECC11" s="41"/>
      <c r="ECD11" s="41"/>
      <c r="ECE11" s="41"/>
      <c r="ECF11" s="41"/>
      <c r="ECG11" s="41"/>
      <c r="ECH11" s="41"/>
      <c r="ECI11" s="41"/>
      <c r="ECJ11" s="41"/>
      <c r="ECK11" s="41"/>
      <c r="ECL11" s="41"/>
      <c r="ECM11" s="41"/>
      <c r="ECN11" s="41"/>
      <c r="ECO11" s="41"/>
      <c r="ECP11" s="41"/>
      <c r="ECQ11" s="41"/>
      <c r="ECR11" s="41"/>
      <c r="ECS11" s="41"/>
      <c r="ECT11" s="41"/>
      <c r="ECU11" s="41"/>
      <c r="ECV11" s="41"/>
      <c r="ECW11" s="41"/>
      <c r="ECX11" s="41"/>
      <c r="ECY11" s="41"/>
      <c r="ECZ11" s="41"/>
      <c r="EDA11" s="41"/>
      <c r="EDB11" s="41"/>
      <c r="EDC11" s="41"/>
      <c r="EDD11" s="41"/>
      <c r="EDE11" s="41"/>
      <c r="EDF11" s="41"/>
      <c r="EDG11" s="41"/>
      <c r="EDH11" s="41"/>
      <c r="EDI11" s="41"/>
      <c r="EDJ11" s="41"/>
      <c r="EDK11" s="41"/>
      <c r="EDL11" s="41"/>
      <c r="EDM11" s="41"/>
      <c r="EDN11" s="41"/>
      <c r="EDO11" s="41"/>
      <c r="EDP11" s="41"/>
      <c r="EDQ11" s="41"/>
      <c r="EDR11" s="41"/>
      <c r="EDS11" s="41"/>
      <c r="EDT11" s="41"/>
      <c r="EDU11" s="41"/>
      <c r="EDV11" s="41"/>
      <c r="EDW11" s="41"/>
      <c r="EDX11" s="41"/>
      <c r="EDY11" s="41"/>
      <c r="EDZ11" s="41"/>
      <c r="EEA11" s="41"/>
      <c r="EEB11" s="41"/>
      <c r="EEC11" s="41"/>
      <c r="EED11" s="41"/>
      <c r="EEE11" s="41"/>
      <c r="EEF11" s="41"/>
      <c r="EEG11" s="41"/>
      <c r="EEH11" s="41"/>
      <c r="EEI11" s="41"/>
      <c r="EEJ11" s="41"/>
      <c r="EEK11" s="41"/>
      <c r="EEL11" s="41"/>
      <c r="EEM11" s="41"/>
      <c r="EEN11" s="41"/>
      <c r="EEO11" s="41"/>
      <c r="EEP11" s="41"/>
      <c r="EEQ11" s="41"/>
      <c r="EER11" s="41"/>
      <c r="EES11" s="41"/>
      <c r="EET11" s="41"/>
      <c r="EEU11" s="41"/>
      <c r="EEV11" s="41"/>
      <c r="EEW11" s="41"/>
      <c r="EEX11" s="41"/>
      <c r="EEY11" s="41"/>
      <c r="EEZ11" s="41"/>
      <c r="EFA11" s="41"/>
      <c r="EFB11" s="41"/>
      <c r="EFC11" s="41"/>
      <c r="EFD11" s="41"/>
      <c r="EFE11" s="41"/>
      <c r="EFF11" s="41"/>
      <c r="EFG11" s="41"/>
      <c r="EFH11" s="41"/>
      <c r="EFI11" s="41"/>
      <c r="EFJ11" s="41"/>
      <c r="EFK11" s="41"/>
      <c r="EFL11" s="41"/>
      <c r="EFM11" s="41"/>
      <c r="EFN11" s="41"/>
      <c r="EFO11" s="41"/>
      <c r="EFP11" s="41"/>
      <c r="EFQ11" s="41"/>
      <c r="EFR11" s="41"/>
      <c r="EFS11" s="41"/>
      <c r="EFT11" s="41"/>
      <c r="EFU11" s="41"/>
      <c r="EFV11" s="41"/>
      <c r="EFW11" s="41"/>
      <c r="EFX11" s="41"/>
      <c r="EFY11" s="41"/>
      <c r="EFZ11" s="41"/>
      <c r="EGA11" s="41"/>
      <c r="EGB11" s="41"/>
      <c r="EGC11" s="41"/>
      <c r="EGD11" s="41"/>
      <c r="EGE11" s="41"/>
      <c r="EGF11" s="41"/>
      <c r="EGG11" s="41"/>
      <c r="EGH11" s="41"/>
      <c r="EGI11" s="41"/>
      <c r="EGJ11" s="41"/>
      <c r="EGK11" s="41"/>
      <c r="EGL11" s="41"/>
      <c r="EGM11" s="41"/>
      <c r="EGN11" s="41"/>
      <c r="EGO11" s="41"/>
      <c r="EGP11" s="41"/>
      <c r="EGQ11" s="41"/>
      <c r="EGR11" s="41"/>
      <c r="EGS11" s="41"/>
      <c r="EGT11" s="41"/>
      <c r="EGU11" s="41"/>
      <c r="EGV11" s="41"/>
      <c r="EGW11" s="41"/>
      <c r="EGX11" s="41"/>
      <c r="EGY11" s="41"/>
      <c r="EGZ11" s="41"/>
      <c r="EHA11" s="41"/>
      <c r="EHB11" s="41"/>
      <c r="EHC11" s="41"/>
      <c r="EHD11" s="41"/>
      <c r="EHE11" s="41"/>
      <c r="EHF11" s="41"/>
      <c r="EHG11" s="41"/>
      <c r="EHH11" s="41"/>
      <c r="EHI11" s="41"/>
      <c r="EHJ11" s="41"/>
      <c r="EHK11" s="41"/>
      <c r="EHL11" s="41"/>
      <c r="EHM11" s="41"/>
      <c r="EHN11" s="41"/>
      <c r="EHO11" s="41"/>
      <c r="EHP11" s="41"/>
      <c r="EHQ11" s="41"/>
      <c r="EHR11" s="41"/>
      <c r="EHS11" s="41"/>
      <c r="EHT11" s="41"/>
      <c r="EHU11" s="41"/>
      <c r="EHV11" s="41"/>
      <c r="EHW11" s="41"/>
      <c r="EHX11" s="41"/>
      <c r="EHY11" s="41"/>
      <c r="EHZ11" s="41"/>
      <c r="EIA11" s="41"/>
      <c r="EIB11" s="41"/>
      <c r="EIC11" s="41"/>
      <c r="EID11" s="41"/>
      <c r="EIE11" s="41"/>
      <c r="EIF11" s="41"/>
      <c r="EIG11" s="41"/>
      <c r="EIH11" s="41"/>
      <c r="EII11" s="41"/>
      <c r="EIJ11" s="41"/>
      <c r="EIK11" s="41"/>
      <c r="EIL11" s="41"/>
      <c r="EIM11" s="41"/>
      <c r="EIN11" s="41"/>
      <c r="EIO11" s="41"/>
      <c r="EIP11" s="41"/>
      <c r="EIQ11" s="41"/>
      <c r="EIR11" s="41"/>
      <c r="EIS11" s="41"/>
      <c r="EIT11" s="41"/>
      <c r="EIU11" s="41"/>
      <c r="EIV11" s="41"/>
      <c r="EIW11" s="41"/>
      <c r="EIX11" s="41"/>
      <c r="EIY11" s="41"/>
      <c r="EIZ11" s="41"/>
      <c r="EJA11" s="41"/>
      <c r="EJB11" s="41"/>
      <c r="EJC11" s="41"/>
      <c r="EJD11" s="41"/>
      <c r="EJE11" s="41"/>
      <c r="EJF11" s="41"/>
      <c r="EJG11" s="41"/>
      <c r="EJH11" s="41"/>
      <c r="EJI11" s="41"/>
      <c r="EJJ11" s="41"/>
      <c r="EJK11" s="41"/>
      <c r="EJL11" s="41"/>
      <c r="EJM11" s="41"/>
      <c r="EJN11" s="41"/>
      <c r="EJO11" s="41"/>
      <c r="EJP11" s="41"/>
      <c r="EJQ11" s="41"/>
      <c r="EJR11" s="41"/>
      <c r="EJS11" s="41"/>
      <c r="EJT11" s="41"/>
      <c r="EJU11" s="41"/>
      <c r="EJV11" s="41"/>
      <c r="EJW11" s="41"/>
      <c r="EJX11" s="41"/>
      <c r="EJY11" s="41"/>
      <c r="EJZ11" s="41"/>
      <c r="EKA11" s="41"/>
      <c r="EKB11" s="41"/>
      <c r="EKC11" s="41"/>
      <c r="EKD11" s="41"/>
      <c r="EKE11" s="41"/>
      <c r="EKF11" s="41"/>
      <c r="EKG11" s="41"/>
      <c r="EKH11" s="41"/>
      <c r="EKI11" s="41"/>
      <c r="EKJ11" s="41"/>
      <c r="EKK11" s="41"/>
      <c r="EKL11" s="41"/>
      <c r="EKM11" s="41"/>
      <c r="EKN11" s="41"/>
      <c r="EKO11" s="41"/>
      <c r="EKP11" s="41"/>
      <c r="EKQ11" s="41"/>
      <c r="EKR11" s="41"/>
      <c r="EKS11" s="41"/>
      <c r="EKT11" s="41"/>
      <c r="EKU11" s="41"/>
      <c r="EKV11" s="41"/>
      <c r="EKW11" s="41"/>
      <c r="EKX11" s="41"/>
      <c r="EKY11" s="41"/>
      <c r="EKZ11" s="41"/>
      <c r="ELA11" s="41"/>
      <c r="ELB11" s="41"/>
      <c r="ELC11" s="41"/>
      <c r="ELD11" s="41"/>
      <c r="ELE11" s="41"/>
      <c r="ELF11" s="41"/>
      <c r="ELG11" s="41"/>
      <c r="ELH11" s="41"/>
      <c r="ELI11" s="41"/>
      <c r="ELJ11" s="41"/>
      <c r="ELK11" s="41"/>
      <c r="ELL11" s="41"/>
      <c r="ELM11" s="41"/>
      <c r="ELN11" s="41"/>
      <c r="ELO11" s="41"/>
      <c r="ELP11" s="41"/>
      <c r="ELQ11" s="41"/>
      <c r="ELR11" s="41"/>
      <c r="ELS11" s="41"/>
      <c r="ELT11" s="41"/>
      <c r="ELU11" s="41"/>
      <c r="ELV11" s="41"/>
      <c r="ELW11" s="41"/>
      <c r="ELX11" s="41"/>
      <c r="ELY11" s="41"/>
      <c r="ELZ11" s="41"/>
      <c r="EMA11" s="41"/>
      <c r="EMB11" s="41"/>
      <c r="EMC11" s="41"/>
      <c r="EMD11" s="41"/>
      <c r="EME11" s="41"/>
      <c r="EMF11" s="41"/>
      <c r="EMG11" s="41"/>
      <c r="EMH11" s="41"/>
      <c r="EMI11" s="41"/>
      <c r="EMJ11" s="41"/>
      <c r="EMK11" s="41"/>
      <c r="EML11" s="41"/>
      <c r="EMM11" s="41"/>
      <c r="EMN11" s="41"/>
      <c r="EMO11" s="41"/>
      <c r="EMP11" s="41"/>
      <c r="EMQ11" s="41"/>
      <c r="EMR11" s="41"/>
      <c r="EMS11" s="41"/>
      <c r="EMT11" s="41"/>
      <c r="EMU11" s="41"/>
      <c r="EMV11" s="41"/>
      <c r="EMW11" s="41"/>
      <c r="EMX11" s="41"/>
      <c r="EMY11" s="41"/>
      <c r="EMZ11" s="41"/>
      <c r="ENA11" s="41"/>
      <c r="ENB11" s="41"/>
      <c r="ENC11" s="41"/>
      <c r="END11" s="41"/>
      <c r="ENE11" s="41"/>
      <c r="ENF11" s="41"/>
      <c r="ENG11" s="41"/>
      <c r="ENH11" s="41"/>
      <c r="ENI11" s="41"/>
      <c r="ENJ11" s="41"/>
      <c r="ENK11" s="41"/>
      <c r="ENL11" s="41"/>
      <c r="ENM11" s="41"/>
      <c r="ENN11" s="41"/>
      <c r="ENO11" s="41"/>
      <c r="ENP11" s="41"/>
      <c r="ENQ11" s="41"/>
      <c r="ENR11" s="41"/>
      <c r="ENS11" s="41"/>
      <c r="ENT11" s="41"/>
      <c r="ENU11" s="41"/>
      <c r="ENV11" s="41"/>
      <c r="ENW11" s="41"/>
      <c r="ENX11" s="41"/>
      <c r="ENY11" s="41"/>
      <c r="ENZ11" s="41"/>
      <c r="EOA11" s="41"/>
      <c r="EOB11" s="41"/>
      <c r="EOC11" s="41"/>
      <c r="EOD11" s="41"/>
      <c r="EOE11" s="41"/>
      <c r="EOF11" s="41"/>
      <c r="EOG11" s="41"/>
      <c r="EOH11" s="41"/>
      <c r="EOI11" s="41"/>
      <c r="EOJ11" s="41"/>
      <c r="EOK11" s="41"/>
      <c r="EOL11" s="41"/>
      <c r="EOM11" s="41"/>
      <c r="EON11" s="41"/>
      <c r="EOO11" s="41"/>
      <c r="EOP11" s="41"/>
      <c r="EOQ11" s="41"/>
      <c r="EOR11" s="41"/>
      <c r="EOS11" s="41"/>
      <c r="EOT11" s="41"/>
      <c r="EOU11" s="41"/>
      <c r="EOV11" s="41"/>
      <c r="EOW11" s="41"/>
      <c r="EOX11" s="41"/>
      <c r="EOY11" s="41"/>
      <c r="EOZ11" s="41"/>
      <c r="EPA11" s="41"/>
      <c r="EPB11" s="41"/>
      <c r="EPC11" s="41"/>
      <c r="EPD11" s="41"/>
      <c r="EPE11" s="41"/>
      <c r="EPF11" s="41"/>
      <c r="EPG11" s="41"/>
      <c r="EPH11" s="41"/>
      <c r="EPI11" s="41"/>
      <c r="EPJ11" s="41"/>
      <c r="EPK11" s="41"/>
      <c r="EPL11" s="41"/>
      <c r="EPM11" s="41"/>
      <c r="EPN11" s="41"/>
      <c r="EPO11" s="41"/>
      <c r="EPP11" s="41"/>
      <c r="EPQ11" s="41"/>
      <c r="EPR11" s="41"/>
      <c r="EPS11" s="41"/>
      <c r="EPT11" s="41"/>
      <c r="EPU11" s="41"/>
      <c r="EPV11" s="41"/>
      <c r="EPW11" s="41"/>
      <c r="EPX11" s="41"/>
      <c r="EPY11" s="41"/>
      <c r="EPZ11" s="41"/>
      <c r="EQA11" s="41"/>
      <c r="EQB11" s="41"/>
      <c r="EQC11" s="41"/>
      <c r="EQD11" s="41"/>
      <c r="EQE11" s="41"/>
      <c r="EQF11" s="41"/>
      <c r="EQG11" s="41"/>
      <c r="EQH11" s="41"/>
      <c r="EQI11" s="41"/>
      <c r="EQJ11" s="41"/>
      <c r="EQK11" s="41"/>
      <c r="EQL11" s="41"/>
      <c r="EQM11" s="41"/>
      <c r="EQN11" s="41"/>
      <c r="EQO11" s="41"/>
      <c r="EQP11" s="41"/>
      <c r="EQQ11" s="41"/>
      <c r="EQR11" s="41"/>
      <c r="EQS11" s="41"/>
      <c r="EQT11" s="41"/>
      <c r="EQU11" s="41"/>
      <c r="EQV11" s="41"/>
      <c r="EQW11" s="41"/>
      <c r="EQX11" s="41"/>
      <c r="EQY11" s="41"/>
      <c r="EQZ11" s="41"/>
      <c r="ERA11" s="41"/>
      <c r="ERB11" s="41"/>
      <c r="ERC11" s="41"/>
      <c r="ERD11" s="41"/>
      <c r="ERE11" s="41"/>
      <c r="ERF11" s="41"/>
      <c r="ERG11" s="41"/>
      <c r="ERH11" s="41"/>
      <c r="ERI11" s="41"/>
      <c r="ERJ11" s="41"/>
      <c r="ERK11" s="41"/>
      <c r="ERL11" s="41"/>
      <c r="ERM11" s="41"/>
      <c r="ERN11" s="41"/>
      <c r="ERO11" s="41"/>
      <c r="ERP11" s="41"/>
      <c r="ERQ11" s="41"/>
      <c r="ERR11" s="41"/>
      <c r="ERS11" s="41"/>
      <c r="ERT11" s="41"/>
      <c r="ERU11" s="41"/>
      <c r="ERV11" s="41"/>
      <c r="ERW11" s="41"/>
      <c r="ERX11" s="41"/>
      <c r="ERY11" s="41"/>
      <c r="ERZ11" s="41"/>
      <c r="ESA11" s="41"/>
      <c r="ESB11" s="41"/>
      <c r="ESC11" s="41"/>
      <c r="ESD11" s="41"/>
      <c r="ESE11" s="41"/>
      <c r="ESF11" s="41"/>
      <c r="ESG11" s="41"/>
      <c r="ESH11" s="41"/>
      <c r="ESI11" s="41"/>
      <c r="ESJ11" s="41"/>
      <c r="ESK11" s="41"/>
      <c r="ESL11" s="41"/>
      <c r="ESM11" s="41"/>
      <c r="ESN11" s="41"/>
      <c r="ESO11" s="41"/>
      <c r="ESP11" s="41"/>
      <c r="ESQ11" s="41"/>
      <c r="ESR11" s="41"/>
      <c r="ESS11" s="41"/>
      <c r="EST11" s="41"/>
      <c r="ESU11" s="41"/>
      <c r="ESV11" s="41"/>
      <c r="ESW11" s="41"/>
      <c r="ESX11" s="41"/>
      <c r="ESY11" s="41"/>
      <c r="ESZ11" s="41"/>
      <c r="ETA11" s="41"/>
      <c r="ETB11" s="41"/>
      <c r="ETC11" s="41"/>
      <c r="ETD11" s="41"/>
      <c r="ETE11" s="41"/>
      <c r="ETF11" s="41"/>
      <c r="ETG11" s="41"/>
      <c r="ETH11" s="41"/>
      <c r="ETI11" s="41"/>
      <c r="ETJ11" s="41"/>
      <c r="ETK11" s="41"/>
      <c r="ETL11" s="41"/>
      <c r="ETM11" s="41"/>
      <c r="ETN11" s="41"/>
      <c r="ETO11" s="41"/>
      <c r="ETP11" s="41"/>
      <c r="ETQ11" s="41"/>
      <c r="ETR11" s="41"/>
      <c r="ETS11" s="41"/>
      <c r="ETT11" s="41"/>
      <c r="ETU11" s="41"/>
      <c r="ETV11" s="41"/>
      <c r="ETW11" s="41"/>
      <c r="ETX11" s="41"/>
      <c r="ETY11" s="41"/>
      <c r="ETZ11" s="41"/>
      <c r="EUA11" s="41"/>
      <c r="EUB11" s="41"/>
      <c r="EUC11" s="41"/>
      <c r="EUD11" s="41"/>
      <c r="EUE11" s="41"/>
      <c r="EUF11" s="41"/>
      <c r="EUG11" s="41"/>
      <c r="EUH11" s="41"/>
      <c r="EUI11" s="41"/>
      <c r="EUJ11" s="41"/>
      <c r="EUK11" s="41"/>
      <c r="EUL11" s="41"/>
      <c r="EUM11" s="41"/>
      <c r="EUN11" s="41"/>
      <c r="EUO11" s="41"/>
      <c r="EUP11" s="41"/>
      <c r="EUQ11" s="41"/>
      <c r="EUR11" s="41"/>
      <c r="EUS11" s="41"/>
      <c r="EUT11" s="41"/>
      <c r="EUU11" s="41"/>
      <c r="EUV11" s="41"/>
      <c r="EUW11" s="41"/>
      <c r="EUX11" s="41"/>
      <c r="EUY11" s="41"/>
      <c r="EUZ11" s="41"/>
      <c r="EVA11" s="41"/>
      <c r="EVB11" s="41"/>
      <c r="EVC11" s="41"/>
      <c r="EVD11" s="41"/>
      <c r="EVE11" s="41"/>
      <c r="EVF11" s="41"/>
      <c r="EVG11" s="41"/>
      <c r="EVH11" s="41"/>
      <c r="EVI11" s="41"/>
      <c r="EVJ11" s="41"/>
      <c r="EVK11" s="41"/>
      <c r="EVL11" s="41"/>
      <c r="EVM11" s="41"/>
      <c r="EVN11" s="41"/>
      <c r="EVO11" s="41"/>
      <c r="EVP11" s="41"/>
      <c r="EVQ11" s="41"/>
      <c r="EVR11" s="41"/>
      <c r="EVS11" s="41"/>
      <c r="EVT11" s="41"/>
      <c r="EVU11" s="41"/>
      <c r="EVV11" s="41"/>
      <c r="EVW11" s="41"/>
      <c r="EVX11" s="41"/>
      <c r="EVY11" s="41"/>
      <c r="EVZ11" s="41"/>
      <c r="EWA11" s="41"/>
      <c r="EWB11" s="41"/>
      <c r="EWC11" s="41"/>
      <c r="EWD11" s="41"/>
      <c r="EWE11" s="41"/>
      <c r="EWF11" s="41"/>
      <c r="EWG11" s="41"/>
      <c r="EWH11" s="41"/>
      <c r="EWI11" s="41"/>
      <c r="EWJ11" s="41"/>
      <c r="EWK11" s="41"/>
      <c r="EWL11" s="41"/>
      <c r="EWM11" s="41"/>
      <c r="EWN11" s="41"/>
      <c r="EWO11" s="41"/>
      <c r="EWP11" s="41"/>
      <c r="EWQ11" s="41"/>
      <c r="EWR11" s="41"/>
      <c r="EWS11" s="41"/>
      <c r="EWT11" s="41"/>
      <c r="EWU11" s="41"/>
      <c r="EWV11" s="41"/>
      <c r="EWW11" s="41"/>
      <c r="EWX11" s="41"/>
      <c r="EWY11" s="41"/>
      <c r="EWZ11" s="41"/>
      <c r="EXA11" s="41"/>
      <c r="EXB11" s="41"/>
      <c r="EXC11" s="41"/>
      <c r="EXD11" s="41"/>
      <c r="EXE11" s="41"/>
      <c r="EXF11" s="41"/>
      <c r="EXG11" s="41"/>
      <c r="EXH11" s="41"/>
      <c r="EXI11" s="41"/>
      <c r="EXJ11" s="41"/>
      <c r="EXK11" s="41"/>
      <c r="EXL11" s="41"/>
      <c r="EXM11" s="41"/>
      <c r="EXN11" s="41"/>
      <c r="EXO11" s="41"/>
      <c r="EXP11" s="41"/>
      <c r="EXQ11" s="41"/>
      <c r="EXR11" s="41"/>
      <c r="EXS11" s="41"/>
      <c r="EXT11" s="41"/>
      <c r="EXU11" s="41"/>
      <c r="EXV11" s="41"/>
      <c r="EXW11" s="41"/>
      <c r="EXX11" s="41"/>
      <c r="EXY11" s="41"/>
      <c r="EXZ11" s="41"/>
      <c r="EYA11" s="41"/>
      <c r="EYB11" s="41"/>
      <c r="EYC11" s="41"/>
      <c r="EYD11" s="41"/>
      <c r="EYE11" s="41"/>
      <c r="EYF11" s="41"/>
      <c r="EYG11" s="41"/>
      <c r="EYH11" s="41"/>
      <c r="EYI11" s="41"/>
      <c r="EYJ11" s="41"/>
      <c r="EYK11" s="41"/>
      <c r="EYL11" s="41"/>
      <c r="EYM11" s="41"/>
      <c r="EYN11" s="41"/>
      <c r="EYO11" s="41"/>
      <c r="EYP11" s="41"/>
      <c r="EYQ11" s="41"/>
      <c r="EYR11" s="41"/>
      <c r="EYS11" s="41"/>
      <c r="EYT11" s="41"/>
      <c r="EYU11" s="41"/>
      <c r="EYV11" s="41"/>
      <c r="EYW11" s="41"/>
      <c r="EYX11" s="41"/>
      <c r="EYY11" s="41"/>
      <c r="EYZ11" s="41"/>
      <c r="EZA11" s="41"/>
      <c r="EZB11" s="41"/>
      <c r="EZC11" s="41"/>
      <c r="EZD11" s="41"/>
      <c r="EZE11" s="41"/>
      <c r="EZF11" s="41"/>
      <c r="EZG11" s="41"/>
      <c r="EZH11" s="41"/>
      <c r="EZI11" s="41"/>
      <c r="EZJ11" s="41"/>
      <c r="EZK11" s="41"/>
      <c r="EZL11" s="41"/>
      <c r="EZM11" s="41"/>
      <c r="EZN11" s="41"/>
      <c r="EZO11" s="41"/>
      <c r="EZP11" s="41"/>
      <c r="EZQ11" s="41"/>
      <c r="EZR11" s="41"/>
      <c r="EZS11" s="41"/>
      <c r="EZT11" s="41"/>
      <c r="EZU11" s="41"/>
      <c r="EZV11" s="41"/>
      <c r="EZW11" s="41"/>
      <c r="EZX11" s="41"/>
      <c r="EZY11" s="41"/>
      <c r="EZZ11" s="41"/>
      <c r="FAA11" s="41"/>
      <c r="FAB11" s="41"/>
      <c r="FAC11" s="41"/>
      <c r="FAD11" s="41"/>
      <c r="FAE11" s="41"/>
      <c r="FAF11" s="41"/>
      <c r="FAG11" s="41"/>
      <c r="FAH11" s="41"/>
      <c r="FAI11" s="41"/>
      <c r="FAJ11" s="41"/>
      <c r="FAK11" s="41"/>
      <c r="FAL11" s="41"/>
      <c r="FAM11" s="41"/>
      <c r="FAN11" s="41"/>
      <c r="FAO11" s="41"/>
      <c r="FAP11" s="41"/>
      <c r="FAQ11" s="41"/>
      <c r="FAR11" s="41"/>
      <c r="FAS11" s="41"/>
      <c r="FAT11" s="41"/>
      <c r="FAU11" s="41"/>
      <c r="FAV11" s="41"/>
      <c r="FAW11" s="41"/>
      <c r="FAX11" s="41"/>
      <c r="FAY11" s="41"/>
      <c r="FAZ11" s="41"/>
      <c r="FBA11" s="41"/>
      <c r="FBB11" s="41"/>
      <c r="FBC11" s="41"/>
      <c r="FBD11" s="41"/>
      <c r="FBE11" s="41"/>
      <c r="FBF11" s="41"/>
      <c r="FBG11" s="41"/>
      <c r="FBH11" s="41"/>
      <c r="FBI11" s="41"/>
      <c r="FBJ11" s="41"/>
      <c r="FBK11" s="41"/>
      <c r="FBL11" s="41"/>
      <c r="FBM11" s="41"/>
      <c r="FBN11" s="41"/>
      <c r="FBO11" s="41"/>
      <c r="FBP11" s="41"/>
      <c r="FBQ11" s="41"/>
      <c r="FBR11" s="41"/>
      <c r="FBS11" s="41"/>
      <c r="FBT11" s="41"/>
      <c r="FBU11" s="41"/>
      <c r="FBV11" s="41"/>
      <c r="FBW11" s="41"/>
      <c r="FBX11" s="41"/>
      <c r="FBY11" s="41"/>
      <c r="FBZ11" s="41"/>
      <c r="FCA11" s="41"/>
      <c r="FCB11" s="41"/>
      <c r="FCC11" s="41"/>
      <c r="FCD11" s="41"/>
      <c r="FCE11" s="41"/>
      <c r="FCF11" s="41"/>
      <c r="FCG11" s="41"/>
      <c r="FCH11" s="41"/>
      <c r="FCI11" s="41"/>
      <c r="FCJ11" s="41"/>
      <c r="FCK11" s="41"/>
      <c r="FCL11" s="41"/>
      <c r="FCM11" s="41"/>
      <c r="FCN11" s="41"/>
      <c r="FCO11" s="41"/>
      <c r="FCP11" s="41"/>
      <c r="FCQ11" s="41"/>
      <c r="FCR11" s="41"/>
      <c r="FCS11" s="41"/>
      <c r="FCT11" s="41"/>
      <c r="FCU11" s="41"/>
      <c r="FCV11" s="41"/>
      <c r="FCW11" s="41"/>
      <c r="FCX11" s="41"/>
      <c r="FCY11" s="41"/>
      <c r="FCZ11" s="41"/>
      <c r="FDA11" s="41"/>
      <c r="FDB11" s="41"/>
      <c r="FDC11" s="41"/>
      <c r="FDD11" s="41"/>
      <c r="FDE11" s="41"/>
      <c r="FDF11" s="41"/>
      <c r="FDG11" s="41"/>
      <c r="FDH11" s="41"/>
      <c r="FDI11" s="41"/>
      <c r="FDJ11" s="41"/>
      <c r="FDK11" s="41"/>
      <c r="FDL11" s="41"/>
      <c r="FDM11" s="41"/>
      <c r="FDN11" s="41"/>
      <c r="FDO11" s="41"/>
      <c r="FDP11" s="41"/>
      <c r="FDQ11" s="41"/>
      <c r="FDR11" s="41"/>
      <c r="FDS11" s="41"/>
      <c r="FDT11" s="41"/>
      <c r="FDU11" s="41"/>
      <c r="FDV11" s="41"/>
      <c r="FDW11" s="41"/>
      <c r="FDX11" s="41"/>
      <c r="FDY11" s="41"/>
      <c r="FDZ11" s="41"/>
      <c r="FEA11" s="41"/>
      <c r="FEB11" s="41"/>
      <c r="FEC11" s="41"/>
      <c r="FED11" s="41"/>
      <c r="FEE11" s="41"/>
      <c r="FEF11" s="41"/>
      <c r="FEG11" s="41"/>
      <c r="FEH11" s="41"/>
      <c r="FEI11" s="41"/>
      <c r="FEJ11" s="41"/>
      <c r="FEK11" s="41"/>
      <c r="FEL11" s="41"/>
      <c r="FEM11" s="41"/>
      <c r="FEN11" s="41"/>
      <c r="FEO11" s="41"/>
      <c r="FEP11" s="41"/>
      <c r="FEQ11" s="41"/>
      <c r="FER11" s="41"/>
      <c r="FES11" s="41"/>
      <c r="FET11" s="41"/>
      <c r="FEU11" s="41"/>
      <c r="FEV11" s="41"/>
      <c r="FEW11" s="41"/>
      <c r="FEX11" s="41"/>
      <c r="FEY11" s="41"/>
      <c r="FEZ11" s="41"/>
      <c r="FFA11" s="41"/>
      <c r="FFB11" s="41"/>
      <c r="FFC11" s="41"/>
      <c r="FFD11" s="41"/>
      <c r="FFE11" s="41"/>
      <c r="FFF11" s="41"/>
      <c r="FFG11" s="41"/>
      <c r="FFH11" s="41"/>
      <c r="FFI11" s="41"/>
      <c r="FFJ11" s="41"/>
      <c r="FFK11" s="41"/>
      <c r="FFL11" s="41"/>
      <c r="FFM11" s="41"/>
      <c r="FFN11" s="41"/>
      <c r="FFO11" s="41"/>
      <c r="FFP11" s="41"/>
      <c r="FFQ11" s="41"/>
      <c r="FFR11" s="41"/>
      <c r="FFS11" s="41"/>
      <c r="FFT11" s="41"/>
      <c r="FFU11" s="41"/>
      <c r="FFV11" s="41"/>
      <c r="FFW11" s="41"/>
      <c r="FFX11" s="41"/>
      <c r="FFY11" s="41"/>
      <c r="FFZ11" s="41"/>
      <c r="FGA11" s="41"/>
      <c r="FGB11" s="41"/>
      <c r="FGC11" s="41"/>
      <c r="FGD11" s="41"/>
      <c r="FGE11" s="41"/>
      <c r="FGF11" s="41"/>
      <c r="FGG11" s="41"/>
      <c r="FGH11" s="41"/>
      <c r="FGI11" s="41"/>
      <c r="FGJ11" s="41"/>
      <c r="FGK11" s="41"/>
      <c r="FGL11" s="41"/>
      <c r="FGM11" s="41"/>
      <c r="FGN11" s="41"/>
      <c r="FGO11" s="41"/>
      <c r="FGP11" s="41"/>
      <c r="FGQ11" s="41"/>
      <c r="FGR11" s="41"/>
      <c r="FGS11" s="41"/>
      <c r="FGT11" s="41"/>
      <c r="FGU11" s="41"/>
      <c r="FGV11" s="41"/>
      <c r="FGW11" s="41"/>
      <c r="FGX11" s="41"/>
      <c r="FGY11" s="41"/>
      <c r="FGZ11" s="41"/>
      <c r="FHA11" s="41"/>
      <c r="FHB11" s="41"/>
      <c r="FHC11" s="41"/>
      <c r="FHD11" s="41"/>
      <c r="FHE11" s="41"/>
      <c r="FHF11" s="41"/>
      <c r="FHG11" s="41"/>
      <c r="FHH11" s="41"/>
      <c r="FHI11" s="41"/>
      <c r="FHJ11" s="41"/>
      <c r="FHK11" s="41"/>
      <c r="FHL11" s="41"/>
      <c r="FHM11" s="41"/>
      <c r="FHN11" s="41"/>
      <c r="FHO11" s="41"/>
      <c r="FHP11" s="41"/>
      <c r="FHQ11" s="41"/>
      <c r="FHR11" s="41"/>
      <c r="FHS11" s="41"/>
      <c r="FHT11" s="41"/>
      <c r="FHU11" s="41"/>
      <c r="FHV11" s="41"/>
      <c r="FHW11" s="41"/>
      <c r="FHX11" s="41"/>
      <c r="FHY11" s="41"/>
      <c r="FHZ11" s="41"/>
      <c r="FIA11" s="41"/>
      <c r="FIB11" s="41"/>
      <c r="FIC11" s="41"/>
      <c r="FID11" s="41"/>
      <c r="FIE11" s="41"/>
      <c r="FIF11" s="41"/>
      <c r="FIG11" s="41"/>
      <c r="FIH11" s="41"/>
      <c r="FII11" s="41"/>
      <c r="FIJ11" s="41"/>
      <c r="FIK11" s="41"/>
      <c r="FIL11" s="41"/>
      <c r="FIM11" s="41"/>
      <c r="FIN11" s="41"/>
      <c r="FIO11" s="41"/>
      <c r="FIP11" s="41"/>
      <c r="FIQ11" s="41"/>
      <c r="FIR11" s="41"/>
      <c r="FIS11" s="41"/>
      <c r="FIT11" s="41"/>
      <c r="FIU11" s="41"/>
      <c r="FIV11" s="41"/>
      <c r="FIW11" s="41"/>
      <c r="FIX11" s="41"/>
      <c r="FIY11" s="41"/>
      <c r="FIZ11" s="41"/>
      <c r="FJA11" s="41"/>
      <c r="FJB11" s="41"/>
      <c r="FJC11" s="41"/>
      <c r="FJD11" s="41"/>
      <c r="FJE11" s="41"/>
      <c r="FJF11" s="41"/>
      <c r="FJG11" s="41"/>
      <c r="FJH11" s="41"/>
      <c r="FJI11" s="41"/>
      <c r="FJJ11" s="41"/>
      <c r="FJK11" s="41"/>
      <c r="FJL11" s="41"/>
      <c r="FJM11" s="41"/>
      <c r="FJN11" s="41"/>
      <c r="FJO11" s="41"/>
      <c r="FJP11" s="41"/>
      <c r="FJQ11" s="41"/>
      <c r="FJR11" s="41"/>
      <c r="FJS11" s="41"/>
      <c r="FJT11" s="41"/>
      <c r="FJU11" s="41"/>
      <c r="FJV11" s="41"/>
      <c r="FJW11" s="41"/>
      <c r="FJX11" s="41"/>
      <c r="FJY11" s="41"/>
      <c r="FJZ11" s="41"/>
      <c r="FKA11" s="41"/>
      <c r="FKB11" s="41"/>
      <c r="FKC11" s="41"/>
      <c r="FKD11" s="41"/>
      <c r="FKE11" s="41"/>
      <c r="FKF11" s="41"/>
      <c r="FKG11" s="41"/>
      <c r="FKH11" s="41"/>
      <c r="FKI11" s="41"/>
      <c r="FKJ11" s="41"/>
      <c r="FKK11" s="41"/>
      <c r="FKL11" s="41"/>
      <c r="FKM11" s="41"/>
      <c r="FKN11" s="41"/>
      <c r="FKO11" s="41"/>
      <c r="FKP11" s="41"/>
      <c r="FKQ11" s="41"/>
      <c r="FKR11" s="41"/>
      <c r="FKS11" s="41"/>
      <c r="FKT11" s="41"/>
      <c r="FKU11" s="41"/>
      <c r="FKV11" s="41"/>
      <c r="FKW11" s="41"/>
      <c r="FKX11" s="41"/>
      <c r="FKY11" s="41"/>
      <c r="FKZ11" s="41"/>
      <c r="FLA11" s="41"/>
      <c r="FLB11" s="41"/>
      <c r="FLC11" s="41"/>
      <c r="FLD11" s="41"/>
      <c r="FLE11" s="41"/>
      <c r="FLF11" s="41"/>
      <c r="FLG11" s="41"/>
      <c r="FLH11" s="41"/>
      <c r="FLI11" s="41"/>
      <c r="FLJ11" s="41"/>
      <c r="FLK11" s="41"/>
      <c r="FLL11" s="41"/>
      <c r="FLM11" s="41"/>
      <c r="FLN11" s="41"/>
      <c r="FLO11" s="41"/>
      <c r="FLP11" s="41"/>
      <c r="FLQ11" s="41"/>
      <c r="FLR11" s="41"/>
      <c r="FLS11" s="41"/>
      <c r="FLT11" s="41"/>
      <c r="FLU11" s="41"/>
      <c r="FLV11" s="41"/>
      <c r="FLW11" s="41"/>
      <c r="FLX11" s="41"/>
      <c r="FLY11" s="41"/>
      <c r="FLZ11" s="41"/>
      <c r="FMA11" s="41"/>
      <c r="FMB11" s="41"/>
      <c r="FMC11" s="41"/>
      <c r="FMD11" s="41"/>
      <c r="FME11" s="41"/>
      <c r="FMF11" s="41"/>
      <c r="FMG11" s="41"/>
      <c r="FMH11" s="41"/>
      <c r="FMI11" s="41"/>
      <c r="FMJ11" s="41"/>
      <c r="FMK11" s="41"/>
      <c r="FML11" s="41"/>
      <c r="FMM11" s="41"/>
      <c r="FMN11" s="41"/>
      <c r="FMO11" s="41"/>
      <c r="FMP11" s="41"/>
      <c r="FMQ11" s="41"/>
      <c r="FMR11" s="41"/>
      <c r="FMS11" s="41"/>
      <c r="FMT11" s="41"/>
      <c r="FMU11" s="41"/>
      <c r="FMV11" s="41"/>
      <c r="FMW11" s="41"/>
      <c r="FMX11" s="41"/>
      <c r="FMY11" s="41"/>
      <c r="FMZ11" s="41"/>
      <c r="FNA11" s="41"/>
      <c r="FNB11" s="41"/>
      <c r="FNC11" s="41"/>
      <c r="FND11" s="41"/>
      <c r="FNE11" s="41"/>
      <c r="FNF11" s="41"/>
      <c r="FNG11" s="41"/>
      <c r="FNH11" s="41"/>
      <c r="FNI11" s="41"/>
      <c r="FNJ11" s="41"/>
      <c r="FNK11" s="41"/>
      <c r="FNL11" s="41"/>
      <c r="FNM11" s="41"/>
      <c r="FNN11" s="41"/>
      <c r="FNO11" s="41"/>
      <c r="FNP11" s="41"/>
      <c r="FNQ11" s="41"/>
      <c r="FNR11" s="41"/>
      <c r="FNS11" s="41"/>
      <c r="FNT11" s="41"/>
      <c r="FNU11" s="41"/>
      <c r="FNV11" s="41"/>
      <c r="FNW11" s="41"/>
      <c r="FNX11" s="41"/>
      <c r="FNY11" s="41"/>
      <c r="FNZ11" s="41"/>
      <c r="FOA11" s="41"/>
      <c r="FOB11" s="41"/>
      <c r="FOC11" s="41"/>
      <c r="FOD11" s="41"/>
      <c r="FOE11" s="41"/>
      <c r="FOF11" s="41"/>
      <c r="FOG11" s="41"/>
      <c r="FOH11" s="41"/>
      <c r="FOI11" s="41"/>
      <c r="FOJ11" s="41"/>
      <c r="FOK11" s="41"/>
      <c r="FOL11" s="41"/>
      <c r="FOM11" s="41"/>
      <c r="FON11" s="41"/>
      <c r="FOO11" s="41"/>
      <c r="FOP11" s="41"/>
      <c r="FOQ11" s="41"/>
      <c r="FOR11" s="41"/>
      <c r="FOS11" s="41"/>
      <c r="FOT11" s="41"/>
      <c r="FOU11" s="41"/>
      <c r="FOV11" s="41"/>
      <c r="FOW11" s="41"/>
      <c r="FOX11" s="41"/>
      <c r="FOY11" s="41"/>
      <c r="FOZ11" s="41"/>
      <c r="FPA11" s="41"/>
      <c r="FPB11" s="41"/>
      <c r="FPC11" s="41"/>
      <c r="FPD11" s="41"/>
      <c r="FPE11" s="41"/>
      <c r="FPF11" s="41"/>
      <c r="FPG11" s="41"/>
      <c r="FPH11" s="41"/>
      <c r="FPI11" s="41"/>
      <c r="FPJ11" s="41"/>
      <c r="FPK11" s="41"/>
      <c r="FPL11" s="41"/>
      <c r="FPM11" s="41"/>
      <c r="FPN11" s="41"/>
      <c r="FPO11" s="41"/>
      <c r="FPP11" s="41"/>
      <c r="FPQ11" s="41"/>
      <c r="FPR11" s="41"/>
      <c r="FPS11" s="41"/>
      <c r="FPT11" s="41"/>
      <c r="FPU11" s="41"/>
      <c r="FPV11" s="41"/>
      <c r="FPW11" s="41"/>
      <c r="FPX11" s="41"/>
      <c r="FPY11" s="41"/>
      <c r="FPZ11" s="41"/>
      <c r="FQA11" s="41"/>
      <c r="FQB11" s="41"/>
      <c r="FQC11" s="41"/>
      <c r="FQD11" s="41"/>
      <c r="FQE11" s="41"/>
      <c r="FQF11" s="41"/>
      <c r="FQG11" s="41"/>
      <c r="FQH11" s="41"/>
      <c r="FQI11" s="41"/>
      <c r="FQJ11" s="41"/>
      <c r="FQK11" s="41"/>
      <c r="FQL11" s="41"/>
      <c r="FQM11" s="41"/>
      <c r="FQN11" s="41"/>
      <c r="FQO11" s="41"/>
      <c r="FQP11" s="41"/>
      <c r="FQQ11" s="41"/>
      <c r="FQR11" s="41"/>
      <c r="FQS11" s="41"/>
      <c r="FQT11" s="41"/>
      <c r="FQU11" s="41"/>
      <c r="FQV11" s="41"/>
      <c r="FQW11" s="41"/>
      <c r="FQX11" s="41"/>
      <c r="FQY11" s="41"/>
      <c r="FQZ11" s="41"/>
      <c r="FRA11" s="41"/>
      <c r="FRB11" s="41"/>
      <c r="FRC11" s="41"/>
      <c r="FRD11" s="41"/>
      <c r="FRE11" s="41"/>
      <c r="FRF11" s="41"/>
      <c r="FRG11" s="41"/>
      <c r="FRH11" s="41"/>
      <c r="FRI11" s="41"/>
      <c r="FRJ11" s="41"/>
      <c r="FRK11" s="41"/>
      <c r="FRL11" s="41"/>
      <c r="FRM11" s="41"/>
      <c r="FRN11" s="41"/>
      <c r="FRO11" s="41"/>
      <c r="FRP11" s="41"/>
      <c r="FRQ11" s="41"/>
      <c r="FRR11" s="41"/>
      <c r="FRS11" s="41"/>
      <c r="FRT11" s="41"/>
      <c r="FRU11" s="41"/>
      <c r="FRV11" s="41"/>
      <c r="FRW11" s="41"/>
      <c r="FRX11" s="41"/>
      <c r="FRY11" s="41"/>
      <c r="FRZ11" s="41"/>
      <c r="FSA11" s="41"/>
      <c r="FSB11" s="41"/>
      <c r="FSC11" s="41"/>
      <c r="FSD11" s="41"/>
      <c r="FSE11" s="41"/>
      <c r="FSF11" s="41"/>
      <c r="FSG11" s="41"/>
      <c r="FSH11" s="41"/>
      <c r="FSI11" s="41"/>
      <c r="FSJ11" s="41"/>
      <c r="FSK11" s="41"/>
      <c r="FSL11" s="41"/>
      <c r="FSM11" s="41"/>
      <c r="FSN11" s="41"/>
      <c r="FSO11" s="41"/>
      <c r="FSP11" s="41"/>
      <c r="FSQ11" s="41"/>
      <c r="FSR11" s="41"/>
      <c r="FSS11" s="41"/>
      <c r="FST11" s="41"/>
      <c r="FSU11" s="41"/>
      <c r="FSV11" s="41"/>
      <c r="FSW11" s="41"/>
      <c r="FSX11" s="41"/>
      <c r="FSY11" s="41"/>
      <c r="FSZ11" s="41"/>
      <c r="FTA11" s="41"/>
      <c r="FTB11" s="41"/>
      <c r="FTC11" s="41"/>
      <c r="FTD11" s="41"/>
      <c r="FTE11" s="41"/>
      <c r="FTF11" s="41"/>
      <c r="FTG11" s="41"/>
      <c r="FTH11" s="41"/>
      <c r="FTI11" s="41"/>
      <c r="FTJ11" s="41"/>
      <c r="FTK11" s="41"/>
      <c r="FTL11" s="41"/>
      <c r="FTM11" s="41"/>
      <c r="FTN11" s="41"/>
      <c r="FTO11" s="41"/>
      <c r="FTP11" s="41"/>
      <c r="FTQ11" s="41"/>
      <c r="FTR11" s="41"/>
      <c r="FTS11" s="41"/>
      <c r="FTT11" s="41"/>
      <c r="FTU11" s="41"/>
      <c r="FTV11" s="41"/>
      <c r="FTW11" s="41"/>
      <c r="FTX11" s="41"/>
      <c r="FTY11" s="41"/>
      <c r="FTZ11" s="41"/>
      <c r="FUA11" s="41"/>
      <c r="FUB11" s="41"/>
      <c r="FUC11" s="41"/>
      <c r="FUD11" s="41"/>
      <c r="FUE11" s="41"/>
      <c r="FUF11" s="41"/>
      <c r="FUG11" s="41"/>
      <c r="FUH11" s="41"/>
      <c r="FUI11" s="41"/>
      <c r="FUJ11" s="41"/>
      <c r="FUK11" s="41"/>
      <c r="FUL11" s="41"/>
      <c r="FUM11" s="41"/>
      <c r="FUN11" s="41"/>
      <c r="FUO11" s="41"/>
      <c r="FUP11" s="41"/>
      <c r="FUQ11" s="41"/>
      <c r="FUR11" s="41"/>
      <c r="FUS11" s="41"/>
      <c r="FUT11" s="41"/>
      <c r="FUU11" s="41"/>
      <c r="FUV11" s="41"/>
      <c r="FUW11" s="41"/>
      <c r="FUX11" s="41"/>
      <c r="FUY11" s="41"/>
      <c r="FUZ11" s="41"/>
      <c r="FVA11" s="41"/>
      <c r="FVB11" s="41"/>
      <c r="FVC11" s="41"/>
      <c r="FVD11" s="41"/>
      <c r="FVE11" s="41"/>
      <c r="FVF11" s="41"/>
      <c r="FVG11" s="41"/>
      <c r="FVH11" s="41"/>
      <c r="FVI11" s="41"/>
      <c r="FVJ11" s="41"/>
      <c r="FVK11" s="41"/>
      <c r="FVL11" s="41"/>
      <c r="FVM11" s="41"/>
      <c r="FVN11" s="41"/>
      <c r="FVO11" s="41"/>
      <c r="FVP11" s="41"/>
      <c r="FVQ11" s="41"/>
      <c r="FVR11" s="41"/>
      <c r="FVS11" s="41"/>
      <c r="FVT11" s="41"/>
      <c r="FVU11" s="41"/>
      <c r="FVV11" s="41"/>
      <c r="FVW11" s="41"/>
      <c r="FVX11" s="41"/>
      <c r="FVY11" s="41"/>
      <c r="FVZ11" s="41"/>
      <c r="FWA11" s="41"/>
      <c r="FWB11" s="41"/>
      <c r="FWC11" s="41"/>
      <c r="FWD11" s="41"/>
      <c r="FWE11" s="41"/>
      <c r="FWF11" s="41"/>
      <c r="FWG11" s="41"/>
      <c r="FWH11" s="41"/>
      <c r="FWI11" s="41"/>
      <c r="FWJ11" s="41"/>
      <c r="FWK11" s="41"/>
      <c r="FWL11" s="41"/>
      <c r="FWM11" s="41"/>
      <c r="FWN11" s="41"/>
      <c r="FWO11" s="41"/>
      <c r="FWP11" s="41"/>
      <c r="FWQ11" s="41"/>
      <c r="FWR11" s="41"/>
      <c r="FWS11" s="41"/>
      <c r="FWT11" s="41"/>
      <c r="FWU11" s="41"/>
      <c r="FWV11" s="41"/>
      <c r="FWW11" s="41"/>
      <c r="FWX11" s="41"/>
      <c r="FWY11" s="41"/>
      <c r="FWZ11" s="41"/>
      <c r="FXA11" s="41"/>
      <c r="FXB11" s="41"/>
      <c r="FXC11" s="41"/>
      <c r="FXD11" s="41"/>
      <c r="FXE11" s="41"/>
      <c r="FXF11" s="41"/>
      <c r="FXG11" s="41"/>
      <c r="FXH11" s="41"/>
      <c r="FXI11" s="41"/>
      <c r="FXJ11" s="41"/>
      <c r="FXK11" s="41"/>
      <c r="FXL11" s="41"/>
      <c r="FXM11" s="41"/>
      <c r="FXN11" s="41"/>
      <c r="FXO11" s="41"/>
      <c r="FXP11" s="41"/>
      <c r="FXQ11" s="41"/>
      <c r="FXR11" s="41"/>
      <c r="FXS11" s="41"/>
      <c r="FXT11" s="41"/>
      <c r="FXU11" s="41"/>
      <c r="FXV11" s="41"/>
      <c r="FXW11" s="41"/>
      <c r="FXX11" s="41"/>
      <c r="FXY11" s="41"/>
      <c r="FXZ11" s="41"/>
      <c r="FYA11" s="41"/>
      <c r="FYB11" s="41"/>
      <c r="FYC11" s="41"/>
      <c r="FYD11" s="41"/>
      <c r="FYE11" s="41"/>
      <c r="FYF11" s="41"/>
      <c r="FYG11" s="41"/>
      <c r="FYH11" s="41"/>
      <c r="FYI11" s="41"/>
      <c r="FYJ11" s="41"/>
      <c r="FYK11" s="41"/>
      <c r="FYL11" s="41"/>
      <c r="FYM11" s="41"/>
      <c r="FYN11" s="41"/>
      <c r="FYO11" s="41"/>
      <c r="FYP11" s="41"/>
      <c r="FYQ11" s="41"/>
      <c r="FYR11" s="41"/>
      <c r="FYS11" s="41"/>
      <c r="FYT11" s="41"/>
      <c r="FYU11" s="41"/>
      <c r="FYV11" s="41"/>
      <c r="FYW11" s="41"/>
      <c r="FYX11" s="41"/>
      <c r="FYY11" s="41"/>
      <c r="FYZ11" s="41"/>
      <c r="FZA11" s="41"/>
      <c r="FZB11" s="41"/>
      <c r="FZC11" s="41"/>
      <c r="FZD11" s="41"/>
      <c r="FZE11" s="41"/>
      <c r="FZF11" s="41"/>
      <c r="FZG11" s="41"/>
      <c r="FZH11" s="41"/>
      <c r="FZI11" s="41"/>
      <c r="FZJ11" s="41"/>
      <c r="FZK11" s="41"/>
      <c r="FZL11" s="41"/>
      <c r="FZM11" s="41"/>
      <c r="FZN11" s="41"/>
      <c r="FZO11" s="41"/>
      <c r="FZP11" s="41"/>
      <c r="FZQ11" s="41"/>
      <c r="FZR11" s="41"/>
      <c r="FZS11" s="41"/>
      <c r="FZT11" s="41"/>
      <c r="FZU11" s="41"/>
      <c r="FZV11" s="41"/>
      <c r="FZW11" s="41"/>
      <c r="FZX11" s="41"/>
      <c r="FZY11" s="41"/>
      <c r="FZZ11" s="41"/>
      <c r="GAA11" s="41"/>
      <c r="GAB11" s="41"/>
      <c r="GAC11" s="41"/>
      <c r="GAD11" s="41"/>
      <c r="GAE11" s="41"/>
      <c r="GAF11" s="41"/>
      <c r="GAG11" s="41"/>
      <c r="GAH11" s="41"/>
      <c r="GAI11" s="41"/>
      <c r="GAJ11" s="41"/>
      <c r="GAK11" s="41"/>
      <c r="GAL11" s="41"/>
      <c r="GAM11" s="41"/>
      <c r="GAN11" s="41"/>
      <c r="GAO11" s="41"/>
      <c r="GAP11" s="41"/>
      <c r="GAQ11" s="41"/>
      <c r="GAR11" s="41"/>
      <c r="GAS11" s="41"/>
      <c r="GAT11" s="41"/>
      <c r="GAU11" s="41"/>
      <c r="GAV11" s="41"/>
      <c r="GAW11" s="41"/>
      <c r="GAX11" s="41"/>
      <c r="GAY11" s="41"/>
      <c r="GAZ11" s="41"/>
      <c r="GBA11" s="41"/>
      <c r="GBB11" s="41"/>
      <c r="GBC11" s="41"/>
      <c r="GBD11" s="41"/>
      <c r="GBE11" s="41"/>
      <c r="GBF11" s="41"/>
      <c r="GBG11" s="41"/>
      <c r="GBH11" s="41"/>
      <c r="GBI11" s="41"/>
      <c r="GBJ11" s="41"/>
      <c r="GBK11" s="41"/>
      <c r="GBL11" s="41"/>
      <c r="GBM11" s="41"/>
      <c r="GBN11" s="41"/>
      <c r="GBO11" s="41"/>
      <c r="GBP11" s="41"/>
      <c r="GBQ11" s="41"/>
      <c r="GBR11" s="41"/>
      <c r="GBS11" s="41"/>
      <c r="GBT11" s="41"/>
      <c r="GBU11" s="41"/>
      <c r="GBV11" s="41"/>
      <c r="GBW11" s="41"/>
      <c r="GBX11" s="41"/>
      <c r="GBY11" s="41"/>
      <c r="GBZ11" s="41"/>
      <c r="GCA11" s="41"/>
      <c r="GCB11" s="41"/>
      <c r="GCC11" s="41"/>
      <c r="GCD11" s="41"/>
      <c r="GCE11" s="41"/>
      <c r="GCF11" s="41"/>
      <c r="GCG11" s="41"/>
      <c r="GCH11" s="41"/>
      <c r="GCI11" s="41"/>
      <c r="GCJ11" s="41"/>
      <c r="GCK11" s="41"/>
      <c r="GCL11" s="41"/>
      <c r="GCM11" s="41"/>
      <c r="GCN11" s="41"/>
      <c r="GCO11" s="41"/>
      <c r="GCP11" s="41"/>
      <c r="GCQ11" s="41"/>
      <c r="GCR11" s="41"/>
      <c r="GCS11" s="41"/>
      <c r="GCT11" s="41"/>
      <c r="GCU11" s="41"/>
      <c r="GCV11" s="41"/>
      <c r="GCW11" s="41"/>
      <c r="GCX11" s="41"/>
      <c r="GCY11" s="41"/>
      <c r="GCZ11" s="41"/>
      <c r="GDA11" s="41"/>
      <c r="GDB11" s="41"/>
      <c r="GDC11" s="41"/>
      <c r="GDD11" s="41"/>
      <c r="GDE11" s="41"/>
      <c r="GDF11" s="41"/>
      <c r="GDG11" s="41"/>
      <c r="GDH11" s="41"/>
      <c r="GDI11" s="41"/>
      <c r="GDJ11" s="41"/>
      <c r="GDK11" s="41"/>
      <c r="GDL11" s="41"/>
      <c r="GDM11" s="41"/>
      <c r="GDN11" s="41"/>
      <c r="GDO11" s="41"/>
      <c r="GDP11" s="41"/>
      <c r="GDQ11" s="41"/>
      <c r="GDR11" s="41"/>
      <c r="GDS11" s="41"/>
      <c r="GDT11" s="41"/>
      <c r="GDU11" s="41"/>
      <c r="GDV11" s="41"/>
      <c r="GDW11" s="41"/>
      <c r="GDX11" s="41"/>
      <c r="GDY11" s="41"/>
      <c r="GDZ11" s="41"/>
      <c r="GEA11" s="41"/>
      <c r="GEB11" s="41"/>
      <c r="GEC11" s="41"/>
      <c r="GED11" s="41"/>
      <c r="GEE11" s="41"/>
      <c r="GEF11" s="41"/>
      <c r="GEG11" s="41"/>
      <c r="GEH11" s="41"/>
      <c r="GEI11" s="41"/>
      <c r="GEJ11" s="41"/>
      <c r="GEK11" s="41"/>
      <c r="GEL11" s="41"/>
      <c r="GEM11" s="41"/>
      <c r="GEN11" s="41"/>
      <c r="GEO11" s="41"/>
      <c r="GEP11" s="41"/>
      <c r="GEQ11" s="41"/>
      <c r="GER11" s="41"/>
      <c r="GES11" s="41"/>
      <c r="GET11" s="41"/>
      <c r="GEU11" s="41"/>
      <c r="GEV11" s="41"/>
      <c r="GEW11" s="41"/>
      <c r="GEX11" s="41"/>
      <c r="GEY11" s="41"/>
      <c r="GEZ11" s="41"/>
      <c r="GFA11" s="41"/>
      <c r="GFB11" s="41"/>
      <c r="GFC11" s="41"/>
      <c r="GFD11" s="41"/>
      <c r="GFE11" s="41"/>
      <c r="GFF11" s="41"/>
      <c r="GFG11" s="41"/>
      <c r="GFH11" s="41"/>
      <c r="GFI11" s="41"/>
      <c r="GFJ11" s="41"/>
      <c r="GFK11" s="41"/>
      <c r="GFL11" s="41"/>
      <c r="GFM11" s="41"/>
      <c r="GFN11" s="41"/>
      <c r="GFO11" s="41"/>
      <c r="GFP11" s="41"/>
      <c r="GFQ11" s="41"/>
      <c r="GFR11" s="41"/>
      <c r="GFS11" s="41"/>
      <c r="GFT11" s="41"/>
      <c r="GFU11" s="41"/>
      <c r="GFV11" s="41"/>
      <c r="GFW11" s="41"/>
      <c r="GFX11" s="41"/>
      <c r="GFY11" s="41"/>
      <c r="GFZ11" s="41"/>
      <c r="GGA11" s="41"/>
      <c r="GGB11" s="41"/>
      <c r="GGC11" s="41"/>
      <c r="GGD11" s="41"/>
      <c r="GGE11" s="41"/>
      <c r="GGF11" s="41"/>
      <c r="GGG11" s="41"/>
      <c r="GGH11" s="41"/>
      <c r="GGI11" s="41"/>
      <c r="GGJ11" s="41"/>
      <c r="GGK11" s="41"/>
      <c r="GGL11" s="41"/>
      <c r="GGM11" s="41"/>
      <c r="GGN11" s="41"/>
      <c r="GGO11" s="41"/>
      <c r="GGP11" s="41"/>
      <c r="GGQ11" s="41"/>
      <c r="GGR11" s="41"/>
      <c r="GGS11" s="41"/>
      <c r="GGT11" s="41"/>
      <c r="GGU11" s="41"/>
      <c r="GGV11" s="41"/>
      <c r="GGW11" s="41"/>
      <c r="GGX11" s="41"/>
      <c r="GGY11" s="41"/>
      <c r="GGZ11" s="41"/>
      <c r="GHA11" s="41"/>
      <c r="GHB11" s="41"/>
      <c r="GHC11" s="41"/>
      <c r="GHD11" s="41"/>
      <c r="GHE11" s="41"/>
      <c r="GHF11" s="41"/>
      <c r="GHG11" s="41"/>
      <c r="GHH11" s="41"/>
      <c r="GHI11" s="41"/>
      <c r="GHJ11" s="41"/>
      <c r="GHK11" s="41"/>
      <c r="GHL11" s="41"/>
      <c r="GHM11" s="41"/>
      <c r="GHN11" s="41"/>
      <c r="GHO11" s="41"/>
      <c r="GHP11" s="41"/>
      <c r="GHQ11" s="41"/>
      <c r="GHR11" s="41"/>
      <c r="GHS11" s="41"/>
      <c r="GHT11" s="41"/>
      <c r="GHU11" s="41"/>
      <c r="GHV11" s="41"/>
      <c r="GHW11" s="41"/>
      <c r="GHX11" s="41"/>
      <c r="GHY11" s="41"/>
      <c r="GHZ11" s="41"/>
      <c r="GIA11" s="41"/>
      <c r="GIB11" s="41"/>
      <c r="GIC11" s="41"/>
      <c r="GID11" s="41"/>
      <c r="GIE11" s="41"/>
      <c r="GIF11" s="41"/>
      <c r="GIG11" s="41"/>
      <c r="GIH11" s="41"/>
      <c r="GII11" s="41"/>
      <c r="GIJ11" s="41"/>
      <c r="GIK11" s="41"/>
      <c r="GIL11" s="41"/>
      <c r="GIM11" s="41"/>
      <c r="GIN11" s="41"/>
      <c r="GIO11" s="41"/>
      <c r="GIP11" s="41"/>
      <c r="GIQ11" s="41"/>
      <c r="GIR11" s="41"/>
      <c r="GIS11" s="41"/>
      <c r="GIT11" s="41"/>
      <c r="GIU11" s="41"/>
      <c r="GIV11" s="41"/>
      <c r="GIW11" s="41"/>
      <c r="GIX11" s="41"/>
      <c r="GIY11" s="41"/>
      <c r="GIZ11" s="41"/>
      <c r="GJA11" s="41"/>
      <c r="GJB11" s="41"/>
      <c r="GJC11" s="41"/>
      <c r="GJD11" s="41"/>
      <c r="GJE11" s="41"/>
      <c r="GJF11" s="41"/>
      <c r="GJG11" s="41"/>
      <c r="GJH11" s="41"/>
      <c r="GJI11" s="41"/>
      <c r="GJJ11" s="41"/>
      <c r="GJK11" s="41"/>
      <c r="GJL11" s="41"/>
      <c r="GJM11" s="41"/>
      <c r="GJN11" s="41"/>
      <c r="GJO11" s="41"/>
      <c r="GJP11" s="41"/>
      <c r="GJQ11" s="41"/>
      <c r="GJR11" s="41"/>
      <c r="GJS11" s="41"/>
      <c r="GJT11" s="41"/>
      <c r="GJU11" s="41"/>
      <c r="GJV11" s="41"/>
      <c r="GJW11" s="41"/>
      <c r="GJX11" s="41"/>
      <c r="GJY11" s="41"/>
      <c r="GJZ11" s="41"/>
      <c r="GKA11" s="41"/>
      <c r="GKB11" s="41"/>
      <c r="GKC11" s="41"/>
      <c r="GKD11" s="41"/>
      <c r="GKE11" s="41"/>
      <c r="GKF11" s="41"/>
      <c r="GKG11" s="41"/>
      <c r="GKH11" s="41"/>
      <c r="GKI11" s="41"/>
      <c r="GKJ11" s="41"/>
      <c r="GKK11" s="41"/>
      <c r="GKL11" s="41"/>
      <c r="GKM11" s="41"/>
      <c r="GKN11" s="41"/>
      <c r="GKO11" s="41"/>
      <c r="GKP11" s="41"/>
      <c r="GKQ11" s="41"/>
      <c r="GKR11" s="41"/>
      <c r="GKS11" s="41"/>
      <c r="GKT11" s="41"/>
      <c r="GKU11" s="41"/>
      <c r="GKV11" s="41"/>
      <c r="GKW11" s="41"/>
      <c r="GKX11" s="41"/>
      <c r="GKY11" s="41"/>
      <c r="GKZ11" s="41"/>
      <c r="GLA11" s="41"/>
      <c r="GLB11" s="41"/>
      <c r="GLC11" s="41"/>
      <c r="GLD11" s="41"/>
      <c r="GLE11" s="41"/>
      <c r="GLF11" s="41"/>
      <c r="GLG11" s="41"/>
      <c r="GLH11" s="41"/>
      <c r="GLI11" s="41"/>
      <c r="GLJ11" s="41"/>
      <c r="GLK11" s="41"/>
      <c r="GLL11" s="41"/>
      <c r="GLM11" s="41"/>
      <c r="GLN11" s="41"/>
      <c r="GLO11" s="41"/>
      <c r="GLP11" s="41"/>
      <c r="GLQ11" s="41"/>
      <c r="GLR11" s="41"/>
      <c r="GLS11" s="41"/>
      <c r="GLT11" s="41"/>
      <c r="GLU11" s="41"/>
      <c r="GLV11" s="41"/>
      <c r="GLW11" s="41"/>
      <c r="GLX11" s="41"/>
      <c r="GLY11" s="41"/>
      <c r="GLZ11" s="41"/>
      <c r="GMA11" s="41"/>
      <c r="GMB11" s="41"/>
      <c r="GMC11" s="41"/>
      <c r="GMD11" s="41"/>
      <c r="GME11" s="41"/>
      <c r="GMF11" s="41"/>
      <c r="GMG11" s="41"/>
      <c r="GMH11" s="41"/>
      <c r="GMI11" s="41"/>
      <c r="GMJ11" s="41"/>
      <c r="GMK11" s="41"/>
      <c r="GML11" s="41"/>
      <c r="GMM11" s="41"/>
      <c r="GMN11" s="41"/>
      <c r="GMO11" s="41"/>
      <c r="GMP11" s="41"/>
      <c r="GMQ11" s="41"/>
      <c r="GMR11" s="41"/>
      <c r="GMS11" s="41"/>
      <c r="GMT11" s="41"/>
      <c r="GMU11" s="41"/>
      <c r="GMV11" s="41"/>
      <c r="GMW11" s="41"/>
      <c r="GMX11" s="41"/>
      <c r="GMY11" s="41"/>
      <c r="GMZ11" s="41"/>
      <c r="GNA11" s="41"/>
      <c r="GNB11" s="41"/>
      <c r="GNC11" s="41"/>
      <c r="GND11" s="41"/>
      <c r="GNE11" s="41"/>
      <c r="GNF11" s="41"/>
      <c r="GNG11" s="41"/>
      <c r="GNH11" s="41"/>
      <c r="GNI11" s="41"/>
      <c r="GNJ11" s="41"/>
      <c r="GNK11" s="41"/>
      <c r="GNL11" s="41"/>
      <c r="GNM11" s="41"/>
      <c r="GNN11" s="41"/>
      <c r="GNO11" s="41"/>
      <c r="GNP11" s="41"/>
      <c r="GNQ11" s="41"/>
      <c r="GNR11" s="41"/>
      <c r="GNS11" s="41"/>
      <c r="GNT11" s="41"/>
      <c r="GNU11" s="41"/>
      <c r="GNV11" s="41"/>
      <c r="GNW11" s="41"/>
      <c r="GNX11" s="41"/>
      <c r="GNY11" s="41"/>
      <c r="GNZ11" s="41"/>
      <c r="GOA11" s="41"/>
      <c r="GOB11" s="41"/>
      <c r="GOC11" s="41"/>
      <c r="GOD11" s="41"/>
      <c r="GOE11" s="41"/>
      <c r="GOF11" s="41"/>
      <c r="GOG11" s="41"/>
      <c r="GOH11" s="41"/>
      <c r="GOI11" s="41"/>
      <c r="GOJ11" s="41"/>
      <c r="GOK11" s="41"/>
      <c r="GOL11" s="41"/>
      <c r="GOM11" s="41"/>
      <c r="GON11" s="41"/>
      <c r="GOO11" s="41"/>
      <c r="GOP11" s="41"/>
      <c r="GOQ11" s="41"/>
      <c r="GOR11" s="41"/>
      <c r="GOS11" s="41"/>
      <c r="GOT11" s="41"/>
      <c r="GOU11" s="41"/>
      <c r="GOV11" s="41"/>
      <c r="GOW11" s="41"/>
      <c r="GOX11" s="41"/>
      <c r="GOY11" s="41"/>
      <c r="GOZ11" s="41"/>
      <c r="GPA11" s="41"/>
      <c r="GPB11" s="41"/>
      <c r="GPC11" s="41"/>
      <c r="GPD11" s="41"/>
      <c r="GPE11" s="41"/>
      <c r="GPF11" s="41"/>
      <c r="GPG11" s="41"/>
      <c r="GPH11" s="41"/>
      <c r="GPI11" s="41"/>
      <c r="GPJ11" s="41"/>
      <c r="GPK11" s="41"/>
      <c r="GPL11" s="41"/>
      <c r="GPM11" s="41"/>
      <c r="GPN11" s="41"/>
      <c r="GPO11" s="41"/>
      <c r="GPP11" s="41"/>
      <c r="GPQ11" s="41"/>
      <c r="GPR11" s="41"/>
      <c r="GPS11" s="41"/>
      <c r="GPT11" s="41"/>
      <c r="GPU11" s="41"/>
      <c r="GPV11" s="41"/>
      <c r="GPW11" s="41"/>
      <c r="GPX11" s="41"/>
      <c r="GPY11" s="41"/>
      <c r="GPZ11" s="41"/>
      <c r="GQA11" s="41"/>
      <c r="GQB11" s="41"/>
      <c r="GQC11" s="41"/>
      <c r="GQD11" s="41"/>
      <c r="GQE11" s="41"/>
      <c r="GQF11" s="41"/>
      <c r="GQG11" s="41"/>
      <c r="GQH11" s="41"/>
      <c r="GQI11" s="41"/>
      <c r="GQJ11" s="41"/>
      <c r="GQK11" s="41"/>
      <c r="GQL11" s="41"/>
      <c r="GQM11" s="41"/>
      <c r="GQN11" s="41"/>
      <c r="GQO11" s="41"/>
      <c r="GQP11" s="41"/>
      <c r="GQQ11" s="41"/>
      <c r="GQR11" s="41"/>
      <c r="GQS11" s="41"/>
      <c r="GQT11" s="41"/>
      <c r="GQU11" s="41"/>
      <c r="GQV11" s="41"/>
      <c r="GQW11" s="41"/>
      <c r="GQX11" s="41"/>
      <c r="GQY11" s="41"/>
      <c r="GQZ11" s="41"/>
      <c r="GRA11" s="41"/>
      <c r="GRB11" s="41"/>
      <c r="GRC11" s="41"/>
      <c r="GRD11" s="41"/>
      <c r="GRE11" s="41"/>
      <c r="GRF11" s="41"/>
      <c r="GRG11" s="41"/>
      <c r="GRH11" s="41"/>
      <c r="GRI11" s="41"/>
      <c r="GRJ11" s="41"/>
      <c r="GRK11" s="41"/>
      <c r="GRL11" s="41"/>
      <c r="GRM11" s="41"/>
      <c r="GRN11" s="41"/>
      <c r="GRO11" s="41"/>
      <c r="GRP11" s="41"/>
      <c r="GRQ11" s="41"/>
      <c r="GRR11" s="41"/>
      <c r="GRS11" s="41"/>
      <c r="GRT11" s="41"/>
      <c r="GRU11" s="41"/>
      <c r="GRV11" s="41"/>
      <c r="GRW11" s="41"/>
      <c r="GRX11" s="41"/>
      <c r="GRY11" s="41"/>
      <c r="GRZ11" s="41"/>
      <c r="GSA11" s="41"/>
      <c r="GSB11" s="41"/>
      <c r="GSC11" s="41"/>
      <c r="GSD11" s="41"/>
      <c r="GSE11" s="41"/>
      <c r="GSF11" s="41"/>
      <c r="GSG11" s="41"/>
      <c r="GSH11" s="41"/>
      <c r="GSI11" s="41"/>
      <c r="GSJ11" s="41"/>
      <c r="GSK11" s="41"/>
      <c r="GSL11" s="41"/>
      <c r="GSM11" s="41"/>
      <c r="GSN11" s="41"/>
      <c r="GSO11" s="41"/>
      <c r="GSP11" s="41"/>
      <c r="GSQ11" s="41"/>
      <c r="GSR11" s="41"/>
      <c r="GSS11" s="41"/>
      <c r="GST11" s="41"/>
      <c r="GSU11" s="41"/>
      <c r="GSV11" s="41"/>
      <c r="GSW11" s="41"/>
      <c r="GSX11" s="41"/>
      <c r="GSY11" s="41"/>
      <c r="GSZ11" s="41"/>
      <c r="GTA11" s="41"/>
      <c r="GTB11" s="41"/>
      <c r="GTC11" s="41"/>
      <c r="GTD11" s="41"/>
      <c r="GTE11" s="41"/>
      <c r="GTF11" s="41"/>
      <c r="GTG11" s="41"/>
      <c r="GTH11" s="41"/>
      <c r="GTI11" s="41"/>
      <c r="GTJ11" s="41"/>
      <c r="GTK11" s="41"/>
      <c r="GTL11" s="41"/>
      <c r="GTM11" s="41"/>
      <c r="GTN11" s="41"/>
      <c r="GTO11" s="41"/>
      <c r="GTP11" s="41"/>
      <c r="GTQ11" s="41"/>
      <c r="GTR11" s="41"/>
      <c r="GTS11" s="41"/>
      <c r="GTT11" s="41"/>
      <c r="GTU11" s="41"/>
      <c r="GTV11" s="41"/>
      <c r="GTW11" s="41"/>
      <c r="GTX11" s="41"/>
      <c r="GTY11" s="41"/>
      <c r="GTZ11" s="41"/>
      <c r="GUA11" s="41"/>
      <c r="GUB11" s="41"/>
      <c r="GUC11" s="41"/>
      <c r="GUD11" s="41"/>
      <c r="GUE11" s="41"/>
      <c r="GUF11" s="41"/>
      <c r="GUG11" s="41"/>
      <c r="GUH11" s="41"/>
      <c r="GUI11" s="41"/>
      <c r="GUJ11" s="41"/>
      <c r="GUK11" s="41"/>
      <c r="GUL11" s="41"/>
      <c r="GUM11" s="41"/>
      <c r="GUN11" s="41"/>
      <c r="GUO11" s="41"/>
      <c r="GUP11" s="41"/>
      <c r="GUQ11" s="41"/>
      <c r="GUR11" s="41"/>
      <c r="GUS11" s="41"/>
      <c r="GUT11" s="41"/>
      <c r="GUU11" s="41"/>
      <c r="GUV11" s="41"/>
      <c r="GUW11" s="41"/>
      <c r="GUX11" s="41"/>
      <c r="GUY11" s="41"/>
      <c r="GUZ11" s="41"/>
      <c r="GVA11" s="41"/>
      <c r="GVB11" s="41"/>
      <c r="GVC11" s="41"/>
      <c r="GVD11" s="41"/>
      <c r="GVE11" s="41"/>
      <c r="GVF11" s="41"/>
      <c r="GVG11" s="41"/>
      <c r="GVH11" s="41"/>
      <c r="GVI11" s="41"/>
      <c r="GVJ11" s="41"/>
      <c r="GVK11" s="41"/>
      <c r="GVL11" s="41"/>
      <c r="GVM11" s="41"/>
      <c r="GVN11" s="41"/>
      <c r="GVO11" s="41"/>
      <c r="GVP11" s="41"/>
      <c r="GVQ11" s="41"/>
      <c r="GVR11" s="41"/>
      <c r="GVS11" s="41"/>
      <c r="GVT11" s="41"/>
      <c r="GVU11" s="41"/>
      <c r="GVV11" s="41"/>
      <c r="GVW11" s="41"/>
      <c r="GVX11" s="41"/>
      <c r="GVY11" s="41"/>
      <c r="GVZ11" s="41"/>
      <c r="GWA11" s="41"/>
      <c r="GWB11" s="41"/>
      <c r="GWC11" s="41"/>
      <c r="GWD11" s="41"/>
      <c r="GWE11" s="41"/>
      <c r="GWF11" s="41"/>
      <c r="GWG11" s="41"/>
      <c r="GWH11" s="41"/>
      <c r="GWI11" s="41"/>
      <c r="GWJ11" s="41"/>
      <c r="GWK11" s="41"/>
      <c r="GWL11" s="41"/>
      <c r="GWM11" s="41"/>
      <c r="GWN11" s="41"/>
      <c r="GWO11" s="41"/>
      <c r="GWP11" s="41"/>
      <c r="GWQ11" s="41"/>
      <c r="GWR11" s="41"/>
      <c r="GWS11" s="41"/>
      <c r="GWT11" s="41"/>
      <c r="GWU11" s="41"/>
      <c r="GWV11" s="41"/>
      <c r="GWW11" s="41"/>
      <c r="GWX11" s="41"/>
      <c r="GWY11" s="41"/>
      <c r="GWZ11" s="41"/>
      <c r="GXA11" s="41"/>
      <c r="GXB11" s="41"/>
      <c r="GXC11" s="41"/>
      <c r="GXD11" s="41"/>
      <c r="GXE11" s="41"/>
      <c r="GXF11" s="41"/>
      <c r="GXG11" s="41"/>
      <c r="GXH11" s="41"/>
      <c r="GXI11" s="41"/>
      <c r="GXJ11" s="41"/>
      <c r="GXK11" s="41"/>
      <c r="GXL11" s="41"/>
      <c r="GXM11" s="41"/>
      <c r="GXN11" s="41"/>
      <c r="GXO11" s="41"/>
      <c r="GXP11" s="41"/>
      <c r="GXQ11" s="41"/>
      <c r="GXR11" s="41"/>
      <c r="GXS11" s="41"/>
      <c r="GXT11" s="41"/>
      <c r="GXU11" s="41"/>
      <c r="GXV11" s="41"/>
      <c r="GXW11" s="41"/>
      <c r="GXX11" s="41"/>
      <c r="GXY11" s="41"/>
      <c r="GXZ11" s="41"/>
      <c r="GYA11" s="41"/>
      <c r="GYB11" s="41"/>
      <c r="GYC11" s="41"/>
      <c r="GYD11" s="41"/>
      <c r="GYE11" s="41"/>
      <c r="GYF11" s="41"/>
      <c r="GYG11" s="41"/>
      <c r="GYH11" s="41"/>
      <c r="GYI11" s="41"/>
      <c r="GYJ11" s="41"/>
      <c r="GYK11" s="41"/>
      <c r="GYL11" s="41"/>
      <c r="GYM11" s="41"/>
      <c r="GYN11" s="41"/>
      <c r="GYO11" s="41"/>
      <c r="GYP11" s="41"/>
      <c r="GYQ11" s="41"/>
      <c r="GYR11" s="41"/>
      <c r="GYS11" s="41"/>
      <c r="GYT11" s="41"/>
      <c r="GYU11" s="41"/>
      <c r="GYV11" s="41"/>
      <c r="GYW11" s="41"/>
      <c r="GYX11" s="41"/>
      <c r="GYY11" s="41"/>
      <c r="GYZ11" s="41"/>
      <c r="GZA11" s="41"/>
      <c r="GZB11" s="41"/>
      <c r="GZC11" s="41"/>
      <c r="GZD11" s="41"/>
      <c r="GZE11" s="41"/>
      <c r="GZF11" s="41"/>
      <c r="GZG11" s="41"/>
      <c r="GZH11" s="41"/>
      <c r="GZI11" s="41"/>
      <c r="GZJ11" s="41"/>
      <c r="GZK11" s="41"/>
      <c r="GZL11" s="41"/>
      <c r="GZM11" s="41"/>
      <c r="GZN11" s="41"/>
      <c r="GZO11" s="41"/>
      <c r="GZP11" s="41"/>
      <c r="GZQ11" s="41"/>
      <c r="GZR11" s="41"/>
      <c r="GZS11" s="41"/>
      <c r="GZT11" s="41"/>
      <c r="GZU11" s="41"/>
      <c r="GZV11" s="41"/>
      <c r="GZW11" s="41"/>
      <c r="GZX11" s="41"/>
      <c r="GZY11" s="41"/>
      <c r="GZZ11" s="41"/>
      <c r="HAA11" s="41"/>
      <c r="HAB11" s="41"/>
      <c r="HAC11" s="41"/>
      <c r="HAD11" s="41"/>
      <c r="HAE11" s="41"/>
      <c r="HAF11" s="41"/>
      <c r="HAG11" s="41"/>
      <c r="HAH11" s="41"/>
      <c r="HAI11" s="41"/>
      <c r="HAJ11" s="41"/>
      <c r="HAK11" s="41"/>
      <c r="HAL11" s="41"/>
      <c r="HAM11" s="41"/>
      <c r="HAN11" s="41"/>
      <c r="HAO11" s="41"/>
      <c r="HAP11" s="41"/>
      <c r="HAQ11" s="41"/>
      <c r="HAR11" s="41"/>
      <c r="HAS11" s="41"/>
      <c r="HAT11" s="41"/>
      <c r="HAU11" s="41"/>
      <c r="HAV11" s="41"/>
      <c r="HAW11" s="41"/>
      <c r="HAX11" s="41"/>
      <c r="HAY11" s="41"/>
      <c r="HAZ11" s="41"/>
      <c r="HBA11" s="41"/>
      <c r="HBB11" s="41"/>
      <c r="HBC11" s="41"/>
      <c r="HBD11" s="41"/>
      <c r="HBE11" s="41"/>
      <c r="HBF11" s="41"/>
      <c r="HBG11" s="41"/>
      <c r="HBH11" s="41"/>
      <c r="HBI11" s="41"/>
      <c r="HBJ11" s="41"/>
      <c r="HBK11" s="41"/>
      <c r="HBL11" s="41"/>
      <c r="HBM11" s="41"/>
      <c r="HBN11" s="41"/>
      <c r="HBO11" s="41"/>
      <c r="HBP11" s="41"/>
      <c r="HBQ11" s="41"/>
      <c r="HBR11" s="41"/>
      <c r="HBS11" s="41"/>
      <c r="HBT11" s="41"/>
      <c r="HBU11" s="41"/>
      <c r="HBV11" s="41"/>
      <c r="HBW11" s="41"/>
      <c r="HBX11" s="41"/>
      <c r="HBY11" s="41"/>
      <c r="HBZ11" s="41"/>
      <c r="HCA11" s="41"/>
      <c r="HCB11" s="41"/>
      <c r="HCC11" s="41"/>
      <c r="HCD11" s="41"/>
      <c r="HCE11" s="41"/>
      <c r="HCF11" s="41"/>
      <c r="HCG11" s="41"/>
      <c r="HCH11" s="41"/>
      <c r="HCI11" s="41"/>
      <c r="HCJ11" s="41"/>
      <c r="HCK11" s="41"/>
      <c r="HCL11" s="41"/>
      <c r="HCM11" s="41"/>
      <c r="HCN11" s="41"/>
      <c r="HCO11" s="41"/>
      <c r="HCP11" s="41"/>
      <c r="HCQ11" s="41"/>
      <c r="HCR11" s="41"/>
      <c r="HCS11" s="41"/>
      <c r="HCT11" s="41"/>
      <c r="HCU11" s="41"/>
      <c r="HCV11" s="41"/>
      <c r="HCW11" s="41"/>
      <c r="HCX11" s="41"/>
      <c r="HCY11" s="41"/>
      <c r="HCZ11" s="41"/>
      <c r="HDA11" s="41"/>
      <c r="HDB11" s="41"/>
      <c r="HDC11" s="41"/>
      <c r="HDD11" s="41"/>
      <c r="HDE11" s="41"/>
      <c r="HDF11" s="41"/>
      <c r="HDG11" s="41"/>
      <c r="HDH11" s="41"/>
      <c r="HDI11" s="41"/>
      <c r="HDJ11" s="41"/>
      <c r="HDK11" s="41"/>
      <c r="HDL11" s="41"/>
      <c r="HDM11" s="41"/>
      <c r="HDN11" s="41"/>
      <c r="HDO11" s="41"/>
      <c r="HDP11" s="41"/>
      <c r="HDQ11" s="41"/>
      <c r="HDR11" s="41"/>
      <c r="HDS11" s="41"/>
      <c r="HDT11" s="41"/>
      <c r="HDU11" s="41"/>
      <c r="HDV11" s="41"/>
      <c r="HDW11" s="41"/>
      <c r="HDX11" s="41"/>
      <c r="HDY11" s="41"/>
      <c r="HDZ11" s="41"/>
      <c r="HEA11" s="41"/>
      <c r="HEB11" s="41"/>
      <c r="HEC11" s="41"/>
      <c r="HED11" s="41"/>
      <c r="HEE11" s="41"/>
      <c r="HEF11" s="41"/>
      <c r="HEG11" s="41"/>
      <c r="HEH11" s="41"/>
      <c r="HEI11" s="41"/>
      <c r="HEJ11" s="41"/>
      <c r="HEK11" s="41"/>
      <c r="HEL11" s="41"/>
      <c r="HEM11" s="41"/>
      <c r="HEN11" s="41"/>
      <c r="HEO11" s="41"/>
      <c r="HEP11" s="41"/>
      <c r="HEQ11" s="41"/>
      <c r="HER11" s="41"/>
      <c r="HES11" s="41"/>
      <c r="HET11" s="41"/>
      <c r="HEU11" s="41"/>
      <c r="HEV11" s="41"/>
      <c r="HEW11" s="41"/>
      <c r="HEX11" s="41"/>
      <c r="HEY11" s="41"/>
      <c r="HEZ11" s="41"/>
      <c r="HFA11" s="41"/>
      <c r="HFB11" s="41"/>
      <c r="HFC11" s="41"/>
      <c r="HFD11" s="41"/>
      <c r="HFE11" s="41"/>
      <c r="HFF11" s="41"/>
      <c r="HFG11" s="41"/>
      <c r="HFH11" s="41"/>
      <c r="HFI11" s="41"/>
      <c r="HFJ11" s="41"/>
      <c r="HFK11" s="41"/>
      <c r="HFL11" s="41"/>
      <c r="HFM11" s="41"/>
      <c r="HFN11" s="41"/>
      <c r="HFO11" s="41"/>
      <c r="HFP11" s="41"/>
      <c r="HFQ11" s="41"/>
      <c r="HFR11" s="41"/>
      <c r="HFS11" s="41"/>
      <c r="HFT11" s="41"/>
      <c r="HFU11" s="41"/>
      <c r="HFV11" s="41"/>
      <c r="HFW11" s="41"/>
      <c r="HFX11" s="41"/>
      <c r="HFY11" s="41"/>
      <c r="HFZ11" s="41"/>
      <c r="HGA11" s="41"/>
      <c r="HGB11" s="41"/>
      <c r="HGC11" s="41"/>
      <c r="HGD11" s="41"/>
      <c r="HGE11" s="41"/>
      <c r="HGF11" s="41"/>
      <c r="HGG11" s="41"/>
      <c r="HGH11" s="41"/>
      <c r="HGI11" s="41"/>
      <c r="HGJ11" s="41"/>
      <c r="HGK11" s="41"/>
      <c r="HGL11" s="41"/>
      <c r="HGM11" s="41"/>
      <c r="HGN11" s="41"/>
      <c r="HGO11" s="41"/>
      <c r="HGP11" s="41"/>
      <c r="HGQ11" s="41"/>
      <c r="HGR11" s="41"/>
      <c r="HGS11" s="41"/>
      <c r="HGT11" s="41"/>
      <c r="HGU11" s="41"/>
      <c r="HGV11" s="41"/>
      <c r="HGW11" s="41"/>
      <c r="HGX11" s="41"/>
      <c r="HGY11" s="41"/>
      <c r="HGZ11" s="41"/>
      <c r="HHA11" s="41"/>
      <c r="HHB11" s="41"/>
      <c r="HHC11" s="41"/>
      <c r="HHD11" s="41"/>
      <c r="HHE11" s="41"/>
      <c r="HHF11" s="41"/>
      <c r="HHG11" s="41"/>
      <c r="HHH11" s="41"/>
      <c r="HHI11" s="41"/>
      <c r="HHJ11" s="41"/>
      <c r="HHK11" s="41"/>
      <c r="HHL11" s="41"/>
      <c r="HHM11" s="41"/>
      <c r="HHN11" s="41"/>
      <c r="HHO11" s="41"/>
      <c r="HHP11" s="41"/>
      <c r="HHQ11" s="41"/>
      <c r="HHR11" s="41"/>
      <c r="HHS11" s="41"/>
      <c r="HHT11" s="41"/>
      <c r="HHU11" s="41"/>
      <c r="HHV11" s="41"/>
      <c r="HHW11" s="41"/>
      <c r="HHX11" s="41"/>
      <c r="HHY11" s="41"/>
      <c r="HHZ11" s="41"/>
      <c r="HIA11" s="41"/>
      <c r="HIB11" s="41"/>
      <c r="HIC11" s="41"/>
      <c r="HID11" s="41"/>
      <c r="HIE11" s="41"/>
      <c r="HIF11" s="41"/>
      <c r="HIG11" s="41"/>
      <c r="HIH11" s="41"/>
      <c r="HII11" s="41"/>
      <c r="HIJ11" s="41"/>
      <c r="HIK11" s="41"/>
      <c r="HIL11" s="41"/>
      <c r="HIM11" s="41"/>
      <c r="HIN11" s="41"/>
      <c r="HIO11" s="41"/>
      <c r="HIP11" s="41"/>
      <c r="HIQ11" s="41"/>
      <c r="HIR11" s="41"/>
      <c r="HIS11" s="41"/>
      <c r="HIT11" s="41"/>
      <c r="HIU11" s="41"/>
      <c r="HIV11" s="41"/>
      <c r="HIW11" s="41"/>
      <c r="HIX11" s="41"/>
      <c r="HIY11" s="41"/>
      <c r="HIZ11" s="41"/>
      <c r="HJA11" s="41"/>
      <c r="HJB11" s="41"/>
      <c r="HJC11" s="41"/>
      <c r="HJD11" s="41"/>
      <c r="HJE11" s="41"/>
      <c r="HJF11" s="41"/>
      <c r="HJG11" s="41"/>
      <c r="HJH11" s="41"/>
      <c r="HJI11" s="41"/>
      <c r="HJJ11" s="41"/>
      <c r="HJK11" s="41"/>
      <c r="HJL11" s="41"/>
      <c r="HJM11" s="41"/>
      <c r="HJN11" s="41"/>
      <c r="HJO11" s="41"/>
      <c r="HJP11" s="41"/>
      <c r="HJQ11" s="41"/>
      <c r="HJR11" s="41"/>
      <c r="HJS11" s="41"/>
      <c r="HJT11" s="41"/>
      <c r="HJU11" s="41"/>
      <c r="HJV11" s="41"/>
      <c r="HJW11" s="41"/>
      <c r="HJX11" s="41"/>
      <c r="HJY11" s="41"/>
      <c r="HJZ11" s="41"/>
      <c r="HKA11" s="41"/>
      <c r="HKB11" s="41"/>
      <c r="HKC11" s="41"/>
      <c r="HKD11" s="41"/>
      <c r="HKE11" s="41"/>
      <c r="HKF11" s="41"/>
      <c r="HKG11" s="41"/>
      <c r="HKH11" s="41"/>
      <c r="HKI11" s="41"/>
      <c r="HKJ11" s="41"/>
      <c r="HKK11" s="41"/>
      <c r="HKL11" s="41"/>
      <c r="HKM11" s="41"/>
      <c r="HKN11" s="41"/>
      <c r="HKO11" s="41"/>
      <c r="HKP11" s="41"/>
      <c r="HKQ11" s="41"/>
      <c r="HKR11" s="41"/>
      <c r="HKS11" s="41"/>
      <c r="HKT11" s="41"/>
      <c r="HKU11" s="41"/>
      <c r="HKV11" s="41"/>
      <c r="HKW11" s="41"/>
      <c r="HKX11" s="41"/>
      <c r="HKY11" s="41"/>
      <c r="HKZ11" s="41"/>
      <c r="HLA11" s="41"/>
      <c r="HLB11" s="41"/>
      <c r="HLC11" s="41"/>
      <c r="HLD11" s="41"/>
      <c r="HLE11" s="41"/>
      <c r="HLF11" s="41"/>
      <c r="HLG11" s="41"/>
      <c r="HLH11" s="41"/>
      <c r="HLI11" s="41"/>
      <c r="HLJ11" s="41"/>
      <c r="HLK11" s="41"/>
      <c r="HLL11" s="41"/>
      <c r="HLM11" s="41"/>
      <c r="HLN11" s="41"/>
      <c r="HLO11" s="41"/>
      <c r="HLP11" s="41"/>
      <c r="HLQ11" s="41"/>
      <c r="HLR11" s="41"/>
      <c r="HLS11" s="41"/>
      <c r="HLT11" s="41"/>
      <c r="HLU11" s="41"/>
      <c r="HLV11" s="41"/>
      <c r="HLW11" s="41"/>
      <c r="HLX11" s="41"/>
      <c r="HLY11" s="41"/>
      <c r="HLZ11" s="41"/>
      <c r="HMA11" s="41"/>
      <c r="HMB11" s="41"/>
      <c r="HMC11" s="41"/>
      <c r="HMD11" s="41"/>
      <c r="HME11" s="41"/>
      <c r="HMF11" s="41"/>
      <c r="HMG11" s="41"/>
      <c r="HMH11" s="41"/>
      <c r="HMI11" s="41"/>
      <c r="HMJ11" s="41"/>
      <c r="HMK11" s="41"/>
      <c r="HML11" s="41"/>
      <c r="HMM11" s="41"/>
      <c r="HMN11" s="41"/>
      <c r="HMO11" s="41"/>
      <c r="HMP11" s="41"/>
      <c r="HMQ11" s="41"/>
      <c r="HMR11" s="41"/>
      <c r="HMS11" s="41"/>
      <c r="HMT11" s="41"/>
      <c r="HMU11" s="41"/>
      <c r="HMV11" s="41"/>
      <c r="HMW11" s="41"/>
      <c r="HMX11" s="41"/>
      <c r="HMY11" s="41"/>
      <c r="HMZ11" s="41"/>
      <c r="HNA11" s="41"/>
      <c r="HNB11" s="41"/>
      <c r="HNC11" s="41"/>
      <c r="HND11" s="41"/>
      <c r="HNE11" s="41"/>
      <c r="HNF11" s="41"/>
      <c r="HNG11" s="41"/>
      <c r="HNH11" s="41"/>
      <c r="HNI11" s="41"/>
      <c r="HNJ11" s="41"/>
      <c r="HNK11" s="41"/>
      <c r="HNL11" s="41"/>
      <c r="HNM11" s="41"/>
      <c r="HNN11" s="41"/>
      <c r="HNO11" s="41"/>
      <c r="HNP11" s="41"/>
      <c r="HNQ11" s="41"/>
      <c r="HNR11" s="41"/>
      <c r="HNS11" s="41"/>
      <c r="HNT11" s="41"/>
      <c r="HNU11" s="41"/>
      <c r="HNV11" s="41"/>
      <c r="HNW11" s="41"/>
      <c r="HNX11" s="41"/>
      <c r="HNY11" s="41"/>
      <c r="HNZ11" s="41"/>
      <c r="HOA11" s="41"/>
      <c r="HOB11" s="41"/>
      <c r="HOC11" s="41"/>
      <c r="HOD11" s="41"/>
      <c r="HOE11" s="41"/>
      <c r="HOF11" s="41"/>
      <c r="HOG11" s="41"/>
      <c r="HOH11" s="41"/>
      <c r="HOI11" s="41"/>
      <c r="HOJ11" s="41"/>
      <c r="HOK11" s="41"/>
      <c r="HOL11" s="41"/>
      <c r="HOM11" s="41"/>
      <c r="HON11" s="41"/>
      <c r="HOO11" s="41"/>
      <c r="HOP11" s="41"/>
      <c r="HOQ11" s="41"/>
      <c r="HOR11" s="41"/>
      <c r="HOS11" s="41"/>
      <c r="HOT11" s="41"/>
      <c r="HOU11" s="41"/>
      <c r="HOV11" s="41"/>
      <c r="HOW11" s="41"/>
      <c r="HOX11" s="41"/>
      <c r="HOY11" s="41"/>
      <c r="HOZ11" s="41"/>
      <c r="HPA11" s="41"/>
      <c r="HPB11" s="41"/>
      <c r="HPC11" s="41"/>
      <c r="HPD11" s="41"/>
      <c r="HPE11" s="41"/>
      <c r="HPF11" s="41"/>
      <c r="HPG11" s="41"/>
      <c r="HPH11" s="41"/>
      <c r="HPI11" s="41"/>
      <c r="HPJ11" s="41"/>
      <c r="HPK11" s="41"/>
      <c r="HPL11" s="41"/>
      <c r="HPM11" s="41"/>
      <c r="HPN11" s="41"/>
      <c r="HPO11" s="41"/>
      <c r="HPP11" s="41"/>
      <c r="HPQ11" s="41"/>
      <c r="HPR11" s="41"/>
      <c r="HPS11" s="41"/>
      <c r="HPT11" s="41"/>
      <c r="HPU11" s="41"/>
      <c r="HPV11" s="41"/>
      <c r="HPW11" s="41"/>
      <c r="HPX11" s="41"/>
      <c r="HPY11" s="41"/>
      <c r="HPZ11" s="41"/>
      <c r="HQA11" s="41"/>
      <c r="HQB11" s="41"/>
      <c r="HQC11" s="41"/>
      <c r="HQD11" s="41"/>
      <c r="HQE11" s="41"/>
      <c r="HQF11" s="41"/>
      <c r="HQG11" s="41"/>
      <c r="HQH11" s="41"/>
      <c r="HQI11" s="41"/>
      <c r="HQJ11" s="41"/>
      <c r="HQK11" s="41"/>
      <c r="HQL11" s="41"/>
      <c r="HQM11" s="41"/>
      <c r="HQN11" s="41"/>
      <c r="HQO11" s="41"/>
      <c r="HQP11" s="41"/>
      <c r="HQQ11" s="41"/>
      <c r="HQR11" s="41"/>
      <c r="HQS11" s="41"/>
      <c r="HQT11" s="41"/>
      <c r="HQU11" s="41"/>
      <c r="HQV11" s="41"/>
      <c r="HQW11" s="41"/>
      <c r="HQX11" s="41"/>
      <c r="HQY11" s="41"/>
      <c r="HQZ11" s="41"/>
      <c r="HRA11" s="41"/>
      <c r="HRB11" s="41"/>
      <c r="HRC11" s="41"/>
      <c r="HRD11" s="41"/>
      <c r="HRE11" s="41"/>
      <c r="HRF11" s="41"/>
      <c r="HRG11" s="41"/>
      <c r="HRH11" s="41"/>
      <c r="HRI11" s="41"/>
      <c r="HRJ11" s="41"/>
      <c r="HRK11" s="41"/>
      <c r="HRL11" s="41"/>
      <c r="HRM11" s="41"/>
      <c r="HRN11" s="41"/>
      <c r="HRO11" s="41"/>
      <c r="HRP11" s="41"/>
      <c r="HRQ11" s="41"/>
      <c r="HRR11" s="41"/>
      <c r="HRS11" s="41"/>
      <c r="HRT11" s="41"/>
      <c r="HRU11" s="41"/>
      <c r="HRV11" s="41"/>
      <c r="HRW11" s="41"/>
      <c r="HRX11" s="41"/>
      <c r="HRY11" s="41"/>
      <c r="HRZ11" s="41"/>
      <c r="HSA11" s="41"/>
      <c r="HSB11" s="41"/>
      <c r="HSC11" s="41"/>
      <c r="HSD11" s="41"/>
      <c r="HSE11" s="41"/>
      <c r="HSF11" s="41"/>
      <c r="HSG11" s="41"/>
      <c r="HSH11" s="41"/>
      <c r="HSI11" s="41"/>
      <c r="HSJ11" s="41"/>
      <c r="HSK11" s="41"/>
      <c r="HSL11" s="41"/>
      <c r="HSM11" s="41"/>
      <c r="HSN11" s="41"/>
      <c r="HSO11" s="41"/>
      <c r="HSP11" s="41"/>
      <c r="HSQ11" s="41"/>
      <c r="HSR11" s="41"/>
      <c r="HSS11" s="41"/>
      <c r="HST11" s="41"/>
      <c r="HSU11" s="41"/>
      <c r="HSV11" s="41"/>
      <c r="HSW11" s="41"/>
      <c r="HSX11" s="41"/>
      <c r="HSY11" s="41"/>
      <c r="HSZ11" s="41"/>
      <c r="HTA11" s="41"/>
      <c r="HTB11" s="41"/>
      <c r="HTC11" s="41"/>
      <c r="HTD11" s="41"/>
      <c r="HTE11" s="41"/>
      <c r="HTF11" s="41"/>
      <c r="HTG11" s="41"/>
      <c r="HTH11" s="41"/>
      <c r="HTI11" s="41"/>
      <c r="HTJ11" s="41"/>
      <c r="HTK11" s="41"/>
      <c r="HTL11" s="41"/>
      <c r="HTM11" s="41"/>
      <c r="HTN11" s="41"/>
      <c r="HTO11" s="41"/>
      <c r="HTP11" s="41"/>
      <c r="HTQ11" s="41"/>
      <c r="HTR11" s="41"/>
      <c r="HTS11" s="41"/>
      <c r="HTT11" s="41"/>
      <c r="HTU11" s="41"/>
      <c r="HTV11" s="41"/>
      <c r="HTW11" s="41"/>
      <c r="HTX11" s="41"/>
      <c r="HTY11" s="41"/>
      <c r="HTZ11" s="41"/>
      <c r="HUA11" s="41"/>
      <c r="HUB11" s="41"/>
      <c r="HUC11" s="41"/>
      <c r="HUD11" s="41"/>
      <c r="HUE11" s="41"/>
      <c r="HUF11" s="41"/>
      <c r="HUG11" s="41"/>
      <c r="HUH11" s="41"/>
      <c r="HUI11" s="41"/>
      <c r="HUJ11" s="41"/>
      <c r="HUK11" s="41"/>
      <c r="HUL11" s="41"/>
      <c r="HUM11" s="41"/>
      <c r="HUN11" s="41"/>
      <c r="HUO11" s="41"/>
      <c r="HUP11" s="41"/>
      <c r="HUQ11" s="41"/>
      <c r="HUR11" s="41"/>
      <c r="HUS11" s="41"/>
      <c r="HUT11" s="41"/>
      <c r="HUU11" s="41"/>
      <c r="HUV11" s="41"/>
      <c r="HUW11" s="41"/>
      <c r="HUX11" s="41"/>
      <c r="HUY11" s="41"/>
      <c r="HUZ11" s="41"/>
      <c r="HVA11" s="41"/>
      <c r="HVB11" s="41"/>
      <c r="HVC11" s="41"/>
      <c r="HVD11" s="41"/>
      <c r="HVE11" s="41"/>
      <c r="HVF11" s="41"/>
      <c r="HVG11" s="41"/>
      <c r="HVH11" s="41"/>
      <c r="HVI11" s="41"/>
      <c r="HVJ11" s="41"/>
      <c r="HVK11" s="41"/>
      <c r="HVL11" s="41"/>
      <c r="HVM11" s="41"/>
      <c r="HVN11" s="41"/>
      <c r="HVO11" s="41"/>
      <c r="HVP11" s="41"/>
      <c r="HVQ11" s="41"/>
      <c r="HVR11" s="41"/>
      <c r="HVS11" s="41"/>
      <c r="HVT11" s="41"/>
      <c r="HVU11" s="41"/>
      <c r="HVV11" s="41"/>
      <c r="HVW11" s="41"/>
      <c r="HVX11" s="41"/>
      <c r="HVY11" s="41"/>
      <c r="HVZ11" s="41"/>
      <c r="HWA11" s="41"/>
      <c r="HWB11" s="41"/>
      <c r="HWC11" s="41"/>
      <c r="HWD11" s="41"/>
      <c r="HWE11" s="41"/>
      <c r="HWF11" s="41"/>
      <c r="HWG11" s="41"/>
      <c r="HWH11" s="41"/>
      <c r="HWI11" s="41"/>
      <c r="HWJ11" s="41"/>
      <c r="HWK11" s="41"/>
      <c r="HWL11" s="41"/>
      <c r="HWM11" s="41"/>
      <c r="HWN11" s="41"/>
      <c r="HWO11" s="41"/>
      <c r="HWP11" s="41"/>
      <c r="HWQ11" s="41"/>
      <c r="HWR11" s="41"/>
      <c r="HWS11" s="41"/>
      <c r="HWT11" s="41"/>
      <c r="HWU11" s="41"/>
      <c r="HWV11" s="41"/>
      <c r="HWW11" s="41"/>
      <c r="HWX11" s="41"/>
      <c r="HWY11" s="41"/>
      <c r="HWZ11" s="41"/>
      <c r="HXA11" s="41"/>
      <c r="HXB11" s="41"/>
      <c r="HXC11" s="41"/>
      <c r="HXD11" s="41"/>
      <c r="HXE11" s="41"/>
      <c r="HXF11" s="41"/>
      <c r="HXG11" s="41"/>
      <c r="HXH11" s="41"/>
      <c r="HXI11" s="41"/>
      <c r="HXJ11" s="41"/>
      <c r="HXK11" s="41"/>
      <c r="HXL11" s="41"/>
      <c r="HXM11" s="41"/>
      <c r="HXN11" s="41"/>
      <c r="HXO11" s="41"/>
      <c r="HXP11" s="41"/>
      <c r="HXQ11" s="41"/>
      <c r="HXR11" s="41"/>
      <c r="HXS11" s="41"/>
      <c r="HXT11" s="41"/>
      <c r="HXU11" s="41"/>
      <c r="HXV11" s="41"/>
      <c r="HXW11" s="41"/>
      <c r="HXX11" s="41"/>
      <c r="HXY11" s="41"/>
      <c r="HXZ11" s="41"/>
      <c r="HYA11" s="41"/>
      <c r="HYB11" s="41"/>
      <c r="HYC11" s="41"/>
      <c r="HYD11" s="41"/>
      <c r="HYE11" s="41"/>
      <c r="HYF11" s="41"/>
      <c r="HYG11" s="41"/>
      <c r="HYH11" s="41"/>
      <c r="HYI11" s="41"/>
      <c r="HYJ11" s="41"/>
      <c r="HYK11" s="41"/>
      <c r="HYL11" s="41"/>
      <c r="HYM11" s="41"/>
      <c r="HYN11" s="41"/>
      <c r="HYO11" s="41"/>
      <c r="HYP11" s="41"/>
      <c r="HYQ11" s="41"/>
      <c r="HYR11" s="41"/>
      <c r="HYS11" s="41"/>
      <c r="HYT11" s="41"/>
      <c r="HYU11" s="41"/>
      <c r="HYV11" s="41"/>
      <c r="HYW11" s="41"/>
      <c r="HYX11" s="41"/>
      <c r="HYY11" s="41"/>
      <c r="HYZ11" s="41"/>
      <c r="HZA11" s="41"/>
      <c r="HZB11" s="41"/>
      <c r="HZC11" s="41"/>
      <c r="HZD11" s="41"/>
      <c r="HZE11" s="41"/>
      <c r="HZF11" s="41"/>
      <c r="HZG11" s="41"/>
      <c r="HZH11" s="41"/>
      <c r="HZI11" s="41"/>
      <c r="HZJ11" s="41"/>
      <c r="HZK11" s="41"/>
      <c r="HZL11" s="41"/>
      <c r="HZM11" s="41"/>
      <c r="HZN11" s="41"/>
      <c r="HZO11" s="41"/>
      <c r="HZP11" s="41"/>
      <c r="HZQ11" s="41"/>
      <c r="HZR11" s="41"/>
      <c r="HZS11" s="41"/>
      <c r="HZT11" s="41"/>
      <c r="HZU11" s="41"/>
      <c r="HZV11" s="41"/>
      <c r="HZW11" s="41"/>
      <c r="HZX11" s="41"/>
      <c r="HZY11" s="41"/>
      <c r="HZZ11" s="41"/>
      <c r="IAA11" s="41"/>
      <c r="IAB11" s="41"/>
      <c r="IAC11" s="41"/>
      <c r="IAD11" s="41"/>
      <c r="IAE11" s="41"/>
      <c r="IAF11" s="41"/>
      <c r="IAG11" s="41"/>
      <c r="IAH11" s="41"/>
      <c r="IAI11" s="41"/>
      <c r="IAJ11" s="41"/>
      <c r="IAK11" s="41"/>
      <c r="IAL11" s="41"/>
      <c r="IAM11" s="41"/>
      <c r="IAN11" s="41"/>
      <c r="IAO11" s="41"/>
      <c r="IAP11" s="41"/>
      <c r="IAQ11" s="41"/>
      <c r="IAR11" s="41"/>
      <c r="IAS11" s="41"/>
      <c r="IAT11" s="41"/>
      <c r="IAU11" s="41"/>
      <c r="IAV11" s="41"/>
      <c r="IAW11" s="41"/>
      <c r="IAX11" s="41"/>
      <c r="IAY11" s="41"/>
      <c r="IAZ11" s="41"/>
      <c r="IBA11" s="41"/>
      <c r="IBB11" s="41"/>
      <c r="IBC11" s="41"/>
      <c r="IBD11" s="41"/>
      <c r="IBE11" s="41"/>
      <c r="IBF11" s="41"/>
      <c r="IBG11" s="41"/>
      <c r="IBH11" s="41"/>
      <c r="IBI11" s="41"/>
      <c r="IBJ11" s="41"/>
      <c r="IBK11" s="41"/>
      <c r="IBL11" s="41"/>
      <c r="IBM11" s="41"/>
      <c r="IBN11" s="41"/>
      <c r="IBO11" s="41"/>
      <c r="IBP11" s="41"/>
      <c r="IBQ11" s="41"/>
      <c r="IBR11" s="41"/>
      <c r="IBS11" s="41"/>
      <c r="IBT11" s="41"/>
      <c r="IBU11" s="41"/>
      <c r="IBV11" s="41"/>
      <c r="IBW11" s="41"/>
      <c r="IBX11" s="41"/>
      <c r="IBY11" s="41"/>
      <c r="IBZ11" s="41"/>
      <c r="ICA11" s="41"/>
      <c r="ICB11" s="41"/>
      <c r="ICC11" s="41"/>
      <c r="ICD11" s="41"/>
      <c r="ICE11" s="41"/>
      <c r="ICF11" s="41"/>
      <c r="ICG11" s="41"/>
      <c r="ICH11" s="41"/>
      <c r="ICI11" s="41"/>
      <c r="ICJ11" s="41"/>
      <c r="ICK11" s="41"/>
      <c r="ICL11" s="41"/>
      <c r="ICM11" s="41"/>
      <c r="ICN11" s="41"/>
      <c r="ICO11" s="41"/>
      <c r="ICP11" s="41"/>
      <c r="ICQ11" s="41"/>
      <c r="ICR11" s="41"/>
      <c r="ICS11" s="41"/>
      <c r="ICT11" s="41"/>
      <c r="ICU11" s="41"/>
      <c r="ICV11" s="41"/>
      <c r="ICW11" s="41"/>
      <c r="ICX11" s="41"/>
      <c r="ICY11" s="41"/>
      <c r="ICZ11" s="41"/>
      <c r="IDA11" s="41"/>
      <c r="IDB11" s="41"/>
      <c r="IDC11" s="41"/>
      <c r="IDD11" s="41"/>
      <c r="IDE11" s="41"/>
      <c r="IDF11" s="41"/>
      <c r="IDG11" s="41"/>
      <c r="IDH11" s="41"/>
      <c r="IDI11" s="41"/>
      <c r="IDJ11" s="41"/>
      <c r="IDK11" s="41"/>
      <c r="IDL11" s="41"/>
      <c r="IDM11" s="41"/>
      <c r="IDN11" s="41"/>
      <c r="IDO11" s="41"/>
      <c r="IDP11" s="41"/>
      <c r="IDQ11" s="41"/>
      <c r="IDR11" s="41"/>
      <c r="IDS11" s="41"/>
      <c r="IDT11" s="41"/>
      <c r="IDU11" s="41"/>
      <c r="IDV11" s="41"/>
      <c r="IDW11" s="41"/>
      <c r="IDX11" s="41"/>
      <c r="IDY11" s="41"/>
      <c r="IDZ11" s="41"/>
      <c r="IEA11" s="41"/>
      <c r="IEB11" s="41"/>
      <c r="IEC11" s="41"/>
      <c r="IED11" s="41"/>
      <c r="IEE11" s="41"/>
      <c r="IEF11" s="41"/>
      <c r="IEG11" s="41"/>
      <c r="IEH11" s="41"/>
      <c r="IEI11" s="41"/>
      <c r="IEJ11" s="41"/>
      <c r="IEK11" s="41"/>
      <c r="IEL11" s="41"/>
      <c r="IEM11" s="41"/>
      <c r="IEN11" s="41"/>
      <c r="IEO11" s="41"/>
      <c r="IEP11" s="41"/>
      <c r="IEQ11" s="41"/>
      <c r="IER11" s="41"/>
      <c r="IES11" s="41"/>
      <c r="IET11" s="41"/>
      <c r="IEU11" s="41"/>
      <c r="IEV11" s="41"/>
      <c r="IEW11" s="41"/>
      <c r="IEX11" s="41"/>
      <c r="IEY11" s="41"/>
      <c r="IEZ11" s="41"/>
      <c r="IFA11" s="41"/>
      <c r="IFB11" s="41"/>
      <c r="IFC11" s="41"/>
      <c r="IFD11" s="41"/>
      <c r="IFE11" s="41"/>
      <c r="IFF11" s="41"/>
      <c r="IFG11" s="41"/>
      <c r="IFH11" s="41"/>
      <c r="IFI11" s="41"/>
      <c r="IFJ11" s="41"/>
      <c r="IFK11" s="41"/>
      <c r="IFL11" s="41"/>
      <c r="IFM11" s="41"/>
      <c r="IFN11" s="41"/>
      <c r="IFO11" s="41"/>
      <c r="IFP11" s="41"/>
      <c r="IFQ11" s="41"/>
      <c r="IFR11" s="41"/>
      <c r="IFS11" s="41"/>
      <c r="IFT11" s="41"/>
      <c r="IFU11" s="41"/>
      <c r="IFV11" s="41"/>
      <c r="IFW11" s="41"/>
      <c r="IFX11" s="41"/>
      <c r="IFY11" s="41"/>
      <c r="IFZ11" s="41"/>
      <c r="IGA11" s="41"/>
      <c r="IGB11" s="41"/>
      <c r="IGC11" s="41"/>
      <c r="IGD11" s="41"/>
      <c r="IGE11" s="41"/>
      <c r="IGF11" s="41"/>
      <c r="IGG11" s="41"/>
      <c r="IGH11" s="41"/>
      <c r="IGI11" s="41"/>
      <c r="IGJ11" s="41"/>
      <c r="IGK11" s="41"/>
      <c r="IGL11" s="41"/>
      <c r="IGM11" s="41"/>
      <c r="IGN11" s="41"/>
      <c r="IGO11" s="41"/>
      <c r="IGP11" s="41"/>
      <c r="IGQ11" s="41"/>
      <c r="IGR11" s="41"/>
      <c r="IGS11" s="41"/>
      <c r="IGT11" s="41"/>
      <c r="IGU11" s="41"/>
      <c r="IGV11" s="41"/>
      <c r="IGW11" s="41"/>
      <c r="IGX11" s="41"/>
      <c r="IGY11" s="41"/>
      <c r="IGZ11" s="41"/>
      <c r="IHA11" s="41"/>
      <c r="IHB11" s="41"/>
      <c r="IHC11" s="41"/>
      <c r="IHD11" s="41"/>
      <c r="IHE11" s="41"/>
      <c r="IHF11" s="41"/>
      <c r="IHG11" s="41"/>
      <c r="IHH11" s="41"/>
      <c r="IHI11" s="41"/>
      <c r="IHJ11" s="41"/>
      <c r="IHK11" s="41"/>
      <c r="IHL11" s="41"/>
      <c r="IHM11" s="41"/>
      <c r="IHN11" s="41"/>
      <c r="IHO11" s="41"/>
      <c r="IHP11" s="41"/>
      <c r="IHQ11" s="41"/>
      <c r="IHR11" s="41"/>
      <c r="IHS11" s="41"/>
      <c r="IHT11" s="41"/>
      <c r="IHU11" s="41"/>
      <c r="IHV11" s="41"/>
      <c r="IHW11" s="41"/>
      <c r="IHX11" s="41"/>
      <c r="IHY11" s="41"/>
      <c r="IHZ11" s="41"/>
      <c r="IIA11" s="41"/>
      <c r="IIB11" s="41"/>
      <c r="IIC11" s="41"/>
      <c r="IID11" s="41"/>
      <c r="IIE11" s="41"/>
      <c r="IIF11" s="41"/>
      <c r="IIG11" s="41"/>
      <c r="IIH11" s="41"/>
      <c r="III11" s="41"/>
      <c r="IIJ11" s="41"/>
      <c r="IIK11" s="41"/>
      <c r="IIL11" s="41"/>
      <c r="IIM11" s="41"/>
      <c r="IIN11" s="41"/>
      <c r="IIO11" s="41"/>
      <c r="IIP11" s="41"/>
      <c r="IIQ11" s="41"/>
      <c r="IIR11" s="41"/>
      <c r="IIS11" s="41"/>
      <c r="IIT11" s="41"/>
      <c r="IIU11" s="41"/>
      <c r="IIV11" s="41"/>
      <c r="IIW11" s="41"/>
      <c r="IIX11" s="41"/>
      <c r="IIY11" s="41"/>
      <c r="IIZ11" s="41"/>
      <c r="IJA11" s="41"/>
      <c r="IJB11" s="41"/>
      <c r="IJC11" s="41"/>
      <c r="IJD11" s="41"/>
      <c r="IJE11" s="41"/>
      <c r="IJF11" s="41"/>
      <c r="IJG11" s="41"/>
      <c r="IJH11" s="41"/>
      <c r="IJI11" s="41"/>
      <c r="IJJ11" s="41"/>
      <c r="IJK11" s="41"/>
      <c r="IJL11" s="41"/>
      <c r="IJM11" s="41"/>
      <c r="IJN11" s="41"/>
      <c r="IJO11" s="41"/>
      <c r="IJP11" s="41"/>
      <c r="IJQ11" s="41"/>
      <c r="IJR11" s="41"/>
      <c r="IJS11" s="41"/>
      <c r="IJT11" s="41"/>
      <c r="IJU11" s="41"/>
      <c r="IJV11" s="41"/>
      <c r="IJW11" s="41"/>
      <c r="IJX11" s="41"/>
      <c r="IJY11" s="41"/>
      <c r="IJZ11" s="41"/>
      <c r="IKA11" s="41"/>
      <c r="IKB11" s="41"/>
      <c r="IKC11" s="41"/>
      <c r="IKD11" s="41"/>
      <c r="IKE11" s="41"/>
      <c r="IKF11" s="41"/>
      <c r="IKG11" s="41"/>
      <c r="IKH11" s="41"/>
      <c r="IKI11" s="41"/>
      <c r="IKJ11" s="41"/>
      <c r="IKK11" s="41"/>
      <c r="IKL11" s="41"/>
      <c r="IKM11" s="41"/>
      <c r="IKN11" s="41"/>
      <c r="IKO11" s="41"/>
      <c r="IKP11" s="41"/>
      <c r="IKQ11" s="41"/>
      <c r="IKR11" s="41"/>
      <c r="IKS11" s="41"/>
      <c r="IKT11" s="41"/>
      <c r="IKU11" s="41"/>
      <c r="IKV11" s="41"/>
      <c r="IKW11" s="41"/>
      <c r="IKX11" s="41"/>
      <c r="IKY11" s="41"/>
      <c r="IKZ11" s="41"/>
      <c r="ILA11" s="41"/>
      <c r="ILB11" s="41"/>
      <c r="ILC11" s="41"/>
      <c r="ILD11" s="41"/>
      <c r="ILE11" s="41"/>
      <c r="ILF11" s="41"/>
      <c r="ILG11" s="41"/>
      <c r="ILH11" s="41"/>
      <c r="ILI11" s="41"/>
      <c r="ILJ11" s="41"/>
      <c r="ILK11" s="41"/>
      <c r="ILL11" s="41"/>
      <c r="ILM11" s="41"/>
      <c r="ILN11" s="41"/>
      <c r="ILO11" s="41"/>
      <c r="ILP11" s="41"/>
      <c r="ILQ11" s="41"/>
      <c r="ILR11" s="41"/>
      <c r="ILS11" s="41"/>
      <c r="ILT11" s="41"/>
      <c r="ILU11" s="41"/>
      <c r="ILV11" s="41"/>
      <c r="ILW11" s="41"/>
      <c r="ILX11" s="41"/>
      <c r="ILY11" s="41"/>
      <c r="ILZ11" s="41"/>
      <c r="IMA11" s="41"/>
      <c r="IMB11" s="41"/>
      <c r="IMC11" s="41"/>
      <c r="IMD11" s="41"/>
      <c r="IME11" s="41"/>
      <c r="IMF11" s="41"/>
      <c r="IMG11" s="41"/>
      <c r="IMH11" s="41"/>
      <c r="IMI11" s="41"/>
      <c r="IMJ11" s="41"/>
      <c r="IMK11" s="41"/>
      <c r="IML11" s="41"/>
      <c r="IMM11" s="41"/>
      <c r="IMN11" s="41"/>
      <c r="IMO11" s="41"/>
      <c r="IMP11" s="41"/>
      <c r="IMQ11" s="41"/>
      <c r="IMR11" s="41"/>
      <c r="IMS11" s="41"/>
      <c r="IMT11" s="41"/>
      <c r="IMU11" s="41"/>
      <c r="IMV11" s="41"/>
      <c r="IMW11" s="41"/>
      <c r="IMX11" s="41"/>
      <c r="IMY11" s="41"/>
      <c r="IMZ11" s="41"/>
      <c r="INA11" s="41"/>
      <c r="INB11" s="41"/>
      <c r="INC11" s="41"/>
      <c r="IND11" s="41"/>
      <c r="INE11" s="41"/>
      <c r="INF11" s="41"/>
      <c r="ING11" s="41"/>
      <c r="INH11" s="41"/>
      <c r="INI11" s="41"/>
      <c r="INJ11" s="41"/>
      <c r="INK11" s="41"/>
      <c r="INL11" s="41"/>
      <c r="INM11" s="41"/>
      <c r="INN11" s="41"/>
      <c r="INO11" s="41"/>
      <c r="INP11" s="41"/>
      <c r="INQ11" s="41"/>
      <c r="INR11" s="41"/>
      <c r="INS11" s="41"/>
      <c r="INT11" s="41"/>
      <c r="INU11" s="41"/>
      <c r="INV11" s="41"/>
      <c r="INW11" s="41"/>
      <c r="INX11" s="41"/>
      <c r="INY11" s="41"/>
      <c r="INZ11" s="41"/>
      <c r="IOA11" s="41"/>
      <c r="IOB11" s="41"/>
      <c r="IOC11" s="41"/>
      <c r="IOD11" s="41"/>
      <c r="IOE11" s="41"/>
      <c r="IOF11" s="41"/>
      <c r="IOG11" s="41"/>
      <c r="IOH11" s="41"/>
      <c r="IOI11" s="41"/>
      <c r="IOJ11" s="41"/>
      <c r="IOK11" s="41"/>
      <c r="IOL11" s="41"/>
      <c r="IOM11" s="41"/>
      <c r="ION11" s="41"/>
      <c r="IOO11" s="41"/>
      <c r="IOP11" s="41"/>
      <c r="IOQ11" s="41"/>
      <c r="IOR11" s="41"/>
      <c r="IOS11" s="41"/>
      <c r="IOT11" s="41"/>
      <c r="IOU11" s="41"/>
      <c r="IOV11" s="41"/>
      <c r="IOW11" s="41"/>
      <c r="IOX11" s="41"/>
      <c r="IOY11" s="41"/>
      <c r="IOZ11" s="41"/>
      <c r="IPA11" s="41"/>
      <c r="IPB11" s="41"/>
      <c r="IPC11" s="41"/>
      <c r="IPD11" s="41"/>
      <c r="IPE11" s="41"/>
      <c r="IPF11" s="41"/>
      <c r="IPG11" s="41"/>
      <c r="IPH11" s="41"/>
      <c r="IPI11" s="41"/>
      <c r="IPJ11" s="41"/>
      <c r="IPK11" s="41"/>
      <c r="IPL11" s="41"/>
      <c r="IPM11" s="41"/>
      <c r="IPN11" s="41"/>
      <c r="IPO11" s="41"/>
      <c r="IPP11" s="41"/>
      <c r="IPQ11" s="41"/>
      <c r="IPR11" s="41"/>
      <c r="IPS11" s="41"/>
      <c r="IPT11" s="41"/>
      <c r="IPU11" s="41"/>
      <c r="IPV11" s="41"/>
      <c r="IPW11" s="41"/>
      <c r="IPX11" s="41"/>
      <c r="IPY11" s="41"/>
      <c r="IPZ11" s="41"/>
      <c r="IQA11" s="41"/>
      <c r="IQB11" s="41"/>
      <c r="IQC11" s="41"/>
      <c r="IQD11" s="41"/>
      <c r="IQE11" s="41"/>
      <c r="IQF11" s="41"/>
      <c r="IQG11" s="41"/>
      <c r="IQH11" s="41"/>
      <c r="IQI11" s="41"/>
      <c r="IQJ11" s="41"/>
      <c r="IQK11" s="41"/>
      <c r="IQL11" s="41"/>
      <c r="IQM11" s="41"/>
      <c r="IQN11" s="41"/>
      <c r="IQO11" s="41"/>
      <c r="IQP11" s="41"/>
      <c r="IQQ11" s="41"/>
      <c r="IQR11" s="41"/>
      <c r="IQS11" s="41"/>
      <c r="IQT11" s="41"/>
      <c r="IQU11" s="41"/>
      <c r="IQV11" s="41"/>
      <c r="IQW11" s="41"/>
      <c r="IQX11" s="41"/>
      <c r="IQY11" s="41"/>
      <c r="IQZ11" s="41"/>
      <c r="IRA11" s="41"/>
      <c r="IRB11" s="41"/>
      <c r="IRC11" s="41"/>
      <c r="IRD11" s="41"/>
      <c r="IRE11" s="41"/>
      <c r="IRF11" s="41"/>
      <c r="IRG11" s="41"/>
      <c r="IRH11" s="41"/>
      <c r="IRI11" s="41"/>
      <c r="IRJ11" s="41"/>
      <c r="IRK11" s="41"/>
      <c r="IRL11" s="41"/>
      <c r="IRM11" s="41"/>
      <c r="IRN11" s="41"/>
      <c r="IRO11" s="41"/>
      <c r="IRP11" s="41"/>
      <c r="IRQ11" s="41"/>
      <c r="IRR11" s="41"/>
      <c r="IRS11" s="41"/>
      <c r="IRT11" s="41"/>
      <c r="IRU11" s="41"/>
      <c r="IRV11" s="41"/>
      <c r="IRW11" s="41"/>
      <c r="IRX11" s="41"/>
      <c r="IRY11" s="41"/>
      <c r="IRZ11" s="41"/>
      <c r="ISA11" s="41"/>
      <c r="ISB11" s="41"/>
      <c r="ISC11" s="41"/>
      <c r="ISD11" s="41"/>
      <c r="ISE11" s="41"/>
      <c r="ISF11" s="41"/>
      <c r="ISG11" s="41"/>
      <c r="ISH11" s="41"/>
      <c r="ISI11" s="41"/>
      <c r="ISJ11" s="41"/>
      <c r="ISK11" s="41"/>
      <c r="ISL11" s="41"/>
      <c r="ISM11" s="41"/>
      <c r="ISN11" s="41"/>
      <c r="ISO11" s="41"/>
      <c r="ISP11" s="41"/>
      <c r="ISQ11" s="41"/>
      <c r="ISR11" s="41"/>
      <c r="ISS11" s="41"/>
      <c r="IST11" s="41"/>
      <c r="ISU11" s="41"/>
      <c r="ISV11" s="41"/>
      <c r="ISW11" s="41"/>
      <c r="ISX11" s="41"/>
      <c r="ISY11" s="41"/>
      <c r="ISZ11" s="41"/>
      <c r="ITA11" s="41"/>
      <c r="ITB11" s="41"/>
      <c r="ITC11" s="41"/>
      <c r="ITD11" s="41"/>
      <c r="ITE11" s="41"/>
      <c r="ITF11" s="41"/>
      <c r="ITG11" s="41"/>
      <c r="ITH11" s="41"/>
      <c r="ITI11" s="41"/>
      <c r="ITJ11" s="41"/>
      <c r="ITK11" s="41"/>
      <c r="ITL11" s="41"/>
      <c r="ITM11" s="41"/>
      <c r="ITN11" s="41"/>
      <c r="ITO11" s="41"/>
      <c r="ITP11" s="41"/>
      <c r="ITQ11" s="41"/>
      <c r="ITR11" s="41"/>
      <c r="ITS11" s="41"/>
      <c r="ITT11" s="41"/>
      <c r="ITU11" s="41"/>
      <c r="ITV11" s="41"/>
      <c r="ITW11" s="41"/>
      <c r="ITX11" s="41"/>
      <c r="ITY11" s="41"/>
      <c r="ITZ11" s="41"/>
      <c r="IUA11" s="41"/>
      <c r="IUB11" s="41"/>
      <c r="IUC11" s="41"/>
      <c r="IUD11" s="41"/>
      <c r="IUE11" s="41"/>
      <c r="IUF11" s="41"/>
      <c r="IUG11" s="41"/>
      <c r="IUH11" s="41"/>
      <c r="IUI11" s="41"/>
      <c r="IUJ11" s="41"/>
      <c r="IUK11" s="41"/>
      <c r="IUL11" s="41"/>
      <c r="IUM11" s="41"/>
      <c r="IUN11" s="41"/>
      <c r="IUO11" s="41"/>
      <c r="IUP11" s="41"/>
      <c r="IUQ11" s="41"/>
      <c r="IUR11" s="41"/>
      <c r="IUS11" s="41"/>
      <c r="IUT11" s="41"/>
      <c r="IUU11" s="41"/>
      <c r="IUV11" s="41"/>
      <c r="IUW11" s="41"/>
      <c r="IUX11" s="41"/>
      <c r="IUY11" s="41"/>
      <c r="IUZ11" s="41"/>
      <c r="IVA11" s="41"/>
      <c r="IVB11" s="41"/>
      <c r="IVC11" s="41"/>
      <c r="IVD11" s="41"/>
      <c r="IVE11" s="41"/>
      <c r="IVF11" s="41"/>
      <c r="IVG11" s="41"/>
      <c r="IVH11" s="41"/>
      <c r="IVI11" s="41"/>
      <c r="IVJ11" s="41"/>
      <c r="IVK11" s="41"/>
      <c r="IVL11" s="41"/>
      <c r="IVM11" s="41"/>
      <c r="IVN11" s="41"/>
      <c r="IVO11" s="41"/>
      <c r="IVP11" s="41"/>
      <c r="IVQ11" s="41"/>
      <c r="IVR11" s="41"/>
      <c r="IVS11" s="41"/>
      <c r="IVT11" s="41"/>
      <c r="IVU11" s="41"/>
      <c r="IVV11" s="41"/>
      <c r="IVW11" s="41"/>
      <c r="IVX11" s="41"/>
      <c r="IVY11" s="41"/>
      <c r="IVZ11" s="41"/>
      <c r="IWA11" s="41"/>
      <c r="IWB11" s="41"/>
      <c r="IWC11" s="41"/>
      <c r="IWD11" s="41"/>
      <c r="IWE11" s="41"/>
      <c r="IWF11" s="41"/>
      <c r="IWG11" s="41"/>
      <c r="IWH11" s="41"/>
      <c r="IWI11" s="41"/>
      <c r="IWJ11" s="41"/>
      <c r="IWK11" s="41"/>
      <c r="IWL11" s="41"/>
      <c r="IWM11" s="41"/>
      <c r="IWN11" s="41"/>
      <c r="IWO11" s="41"/>
      <c r="IWP11" s="41"/>
      <c r="IWQ11" s="41"/>
      <c r="IWR11" s="41"/>
      <c r="IWS11" s="41"/>
      <c r="IWT11" s="41"/>
      <c r="IWU11" s="41"/>
      <c r="IWV11" s="41"/>
      <c r="IWW11" s="41"/>
      <c r="IWX11" s="41"/>
      <c r="IWY11" s="41"/>
      <c r="IWZ11" s="41"/>
      <c r="IXA11" s="41"/>
      <c r="IXB11" s="41"/>
      <c r="IXC11" s="41"/>
      <c r="IXD11" s="41"/>
      <c r="IXE11" s="41"/>
      <c r="IXF11" s="41"/>
      <c r="IXG11" s="41"/>
      <c r="IXH11" s="41"/>
      <c r="IXI11" s="41"/>
      <c r="IXJ11" s="41"/>
      <c r="IXK11" s="41"/>
      <c r="IXL11" s="41"/>
      <c r="IXM11" s="41"/>
      <c r="IXN11" s="41"/>
      <c r="IXO11" s="41"/>
      <c r="IXP11" s="41"/>
      <c r="IXQ11" s="41"/>
      <c r="IXR11" s="41"/>
      <c r="IXS11" s="41"/>
      <c r="IXT11" s="41"/>
      <c r="IXU11" s="41"/>
      <c r="IXV11" s="41"/>
      <c r="IXW11" s="41"/>
      <c r="IXX11" s="41"/>
      <c r="IXY11" s="41"/>
      <c r="IXZ11" s="41"/>
      <c r="IYA11" s="41"/>
      <c r="IYB11" s="41"/>
      <c r="IYC11" s="41"/>
      <c r="IYD11" s="41"/>
      <c r="IYE11" s="41"/>
      <c r="IYF11" s="41"/>
      <c r="IYG11" s="41"/>
      <c r="IYH11" s="41"/>
      <c r="IYI11" s="41"/>
      <c r="IYJ11" s="41"/>
      <c r="IYK11" s="41"/>
      <c r="IYL11" s="41"/>
      <c r="IYM11" s="41"/>
      <c r="IYN11" s="41"/>
      <c r="IYO11" s="41"/>
      <c r="IYP11" s="41"/>
      <c r="IYQ11" s="41"/>
      <c r="IYR11" s="41"/>
      <c r="IYS11" s="41"/>
      <c r="IYT11" s="41"/>
      <c r="IYU11" s="41"/>
      <c r="IYV11" s="41"/>
      <c r="IYW11" s="41"/>
      <c r="IYX11" s="41"/>
      <c r="IYY11" s="41"/>
      <c r="IYZ11" s="41"/>
      <c r="IZA11" s="41"/>
      <c r="IZB11" s="41"/>
      <c r="IZC11" s="41"/>
      <c r="IZD11" s="41"/>
      <c r="IZE11" s="41"/>
      <c r="IZF11" s="41"/>
      <c r="IZG11" s="41"/>
      <c r="IZH11" s="41"/>
      <c r="IZI11" s="41"/>
      <c r="IZJ11" s="41"/>
      <c r="IZK11" s="41"/>
      <c r="IZL11" s="41"/>
      <c r="IZM11" s="41"/>
      <c r="IZN11" s="41"/>
      <c r="IZO11" s="41"/>
      <c r="IZP11" s="41"/>
      <c r="IZQ11" s="41"/>
      <c r="IZR11" s="41"/>
      <c r="IZS11" s="41"/>
      <c r="IZT11" s="41"/>
      <c r="IZU11" s="41"/>
      <c r="IZV11" s="41"/>
      <c r="IZW11" s="41"/>
      <c r="IZX11" s="41"/>
      <c r="IZY11" s="41"/>
      <c r="IZZ11" s="41"/>
      <c r="JAA11" s="41"/>
      <c r="JAB11" s="41"/>
      <c r="JAC11" s="41"/>
      <c r="JAD11" s="41"/>
      <c r="JAE11" s="41"/>
      <c r="JAF11" s="41"/>
      <c r="JAG11" s="41"/>
      <c r="JAH11" s="41"/>
      <c r="JAI11" s="41"/>
      <c r="JAJ11" s="41"/>
      <c r="JAK11" s="41"/>
      <c r="JAL11" s="41"/>
      <c r="JAM11" s="41"/>
      <c r="JAN11" s="41"/>
      <c r="JAO11" s="41"/>
      <c r="JAP11" s="41"/>
      <c r="JAQ11" s="41"/>
      <c r="JAR11" s="41"/>
      <c r="JAS11" s="41"/>
      <c r="JAT11" s="41"/>
      <c r="JAU11" s="41"/>
      <c r="JAV11" s="41"/>
      <c r="JAW11" s="41"/>
      <c r="JAX11" s="41"/>
      <c r="JAY11" s="41"/>
      <c r="JAZ11" s="41"/>
      <c r="JBA11" s="41"/>
      <c r="JBB11" s="41"/>
      <c r="JBC11" s="41"/>
      <c r="JBD11" s="41"/>
      <c r="JBE11" s="41"/>
      <c r="JBF11" s="41"/>
      <c r="JBG11" s="41"/>
      <c r="JBH11" s="41"/>
      <c r="JBI11" s="41"/>
      <c r="JBJ11" s="41"/>
      <c r="JBK11" s="41"/>
      <c r="JBL11" s="41"/>
      <c r="JBM11" s="41"/>
      <c r="JBN11" s="41"/>
      <c r="JBO11" s="41"/>
      <c r="JBP11" s="41"/>
      <c r="JBQ11" s="41"/>
      <c r="JBR11" s="41"/>
      <c r="JBS11" s="41"/>
      <c r="JBT11" s="41"/>
      <c r="JBU11" s="41"/>
      <c r="JBV11" s="41"/>
      <c r="JBW11" s="41"/>
      <c r="JBX11" s="41"/>
      <c r="JBY11" s="41"/>
      <c r="JBZ11" s="41"/>
      <c r="JCA11" s="41"/>
      <c r="JCB11" s="41"/>
      <c r="JCC11" s="41"/>
      <c r="JCD11" s="41"/>
      <c r="JCE11" s="41"/>
      <c r="JCF11" s="41"/>
      <c r="JCG11" s="41"/>
      <c r="JCH11" s="41"/>
      <c r="JCI11" s="41"/>
      <c r="JCJ11" s="41"/>
      <c r="JCK11" s="41"/>
      <c r="JCL11" s="41"/>
      <c r="JCM11" s="41"/>
      <c r="JCN11" s="41"/>
      <c r="JCO11" s="41"/>
      <c r="JCP11" s="41"/>
      <c r="JCQ11" s="41"/>
      <c r="JCR11" s="41"/>
      <c r="JCS11" s="41"/>
      <c r="JCT11" s="41"/>
      <c r="JCU11" s="41"/>
      <c r="JCV11" s="41"/>
      <c r="JCW11" s="41"/>
      <c r="JCX11" s="41"/>
      <c r="JCY11" s="41"/>
      <c r="JCZ11" s="41"/>
      <c r="JDA11" s="41"/>
      <c r="JDB11" s="41"/>
      <c r="JDC11" s="41"/>
      <c r="JDD11" s="41"/>
      <c r="JDE11" s="41"/>
      <c r="JDF11" s="41"/>
      <c r="JDG11" s="41"/>
      <c r="JDH11" s="41"/>
      <c r="JDI11" s="41"/>
      <c r="JDJ11" s="41"/>
      <c r="JDK11" s="41"/>
      <c r="JDL11" s="41"/>
      <c r="JDM11" s="41"/>
      <c r="JDN11" s="41"/>
      <c r="JDO11" s="41"/>
      <c r="JDP11" s="41"/>
      <c r="JDQ11" s="41"/>
      <c r="JDR11" s="41"/>
      <c r="JDS11" s="41"/>
      <c r="JDT11" s="41"/>
      <c r="JDU11" s="41"/>
      <c r="JDV11" s="41"/>
      <c r="JDW11" s="41"/>
      <c r="JDX11" s="41"/>
      <c r="JDY11" s="41"/>
      <c r="JDZ11" s="41"/>
      <c r="JEA11" s="41"/>
      <c r="JEB11" s="41"/>
      <c r="JEC11" s="41"/>
      <c r="JED11" s="41"/>
      <c r="JEE11" s="41"/>
      <c r="JEF11" s="41"/>
      <c r="JEG11" s="41"/>
      <c r="JEH11" s="41"/>
      <c r="JEI11" s="41"/>
      <c r="JEJ11" s="41"/>
      <c r="JEK11" s="41"/>
      <c r="JEL11" s="41"/>
      <c r="JEM11" s="41"/>
      <c r="JEN11" s="41"/>
      <c r="JEO11" s="41"/>
      <c r="JEP11" s="41"/>
      <c r="JEQ11" s="41"/>
      <c r="JER11" s="41"/>
      <c r="JES11" s="41"/>
      <c r="JET11" s="41"/>
      <c r="JEU11" s="41"/>
      <c r="JEV11" s="41"/>
      <c r="JEW11" s="41"/>
      <c r="JEX11" s="41"/>
      <c r="JEY11" s="41"/>
      <c r="JEZ11" s="41"/>
      <c r="JFA11" s="41"/>
      <c r="JFB11" s="41"/>
      <c r="JFC11" s="41"/>
      <c r="JFD11" s="41"/>
      <c r="JFE11" s="41"/>
      <c r="JFF11" s="41"/>
      <c r="JFG11" s="41"/>
      <c r="JFH11" s="41"/>
      <c r="JFI11" s="41"/>
      <c r="JFJ11" s="41"/>
      <c r="JFK11" s="41"/>
      <c r="JFL11" s="41"/>
      <c r="JFM11" s="41"/>
      <c r="JFN11" s="41"/>
      <c r="JFO11" s="41"/>
      <c r="JFP11" s="41"/>
      <c r="JFQ11" s="41"/>
      <c r="JFR11" s="41"/>
      <c r="JFS11" s="41"/>
      <c r="JFT11" s="41"/>
      <c r="JFU11" s="41"/>
      <c r="JFV11" s="41"/>
      <c r="JFW11" s="41"/>
      <c r="JFX11" s="41"/>
      <c r="JFY11" s="41"/>
      <c r="JFZ11" s="41"/>
      <c r="JGA11" s="41"/>
      <c r="JGB11" s="41"/>
      <c r="JGC11" s="41"/>
      <c r="JGD11" s="41"/>
      <c r="JGE11" s="41"/>
      <c r="JGF11" s="41"/>
      <c r="JGG11" s="41"/>
      <c r="JGH11" s="41"/>
      <c r="JGI11" s="41"/>
      <c r="JGJ11" s="41"/>
      <c r="JGK11" s="41"/>
      <c r="JGL11" s="41"/>
      <c r="JGM11" s="41"/>
      <c r="JGN11" s="41"/>
      <c r="JGO11" s="41"/>
      <c r="JGP11" s="41"/>
      <c r="JGQ11" s="41"/>
      <c r="JGR11" s="41"/>
      <c r="JGS11" s="41"/>
      <c r="JGT11" s="41"/>
      <c r="JGU11" s="41"/>
      <c r="JGV11" s="41"/>
      <c r="JGW11" s="41"/>
      <c r="JGX11" s="41"/>
      <c r="JGY11" s="41"/>
      <c r="JGZ11" s="41"/>
      <c r="JHA11" s="41"/>
      <c r="JHB11" s="41"/>
      <c r="JHC11" s="41"/>
      <c r="JHD11" s="41"/>
      <c r="JHE11" s="41"/>
      <c r="JHF11" s="41"/>
      <c r="JHG11" s="41"/>
      <c r="JHH11" s="41"/>
      <c r="JHI11" s="41"/>
      <c r="JHJ11" s="41"/>
      <c r="JHK11" s="41"/>
      <c r="JHL11" s="41"/>
      <c r="JHM11" s="41"/>
      <c r="JHN11" s="41"/>
      <c r="JHO11" s="41"/>
      <c r="JHP11" s="41"/>
      <c r="JHQ11" s="41"/>
      <c r="JHR11" s="41"/>
      <c r="JHS11" s="41"/>
      <c r="JHT11" s="41"/>
      <c r="JHU11" s="41"/>
      <c r="JHV11" s="41"/>
      <c r="JHW11" s="41"/>
      <c r="JHX11" s="41"/>
      <c r="JHY11" s="41"/>
      <c r="JHZ11" s="41"/>
      <c r="JIA11" s="41"/>
      <c r="JIB11" s="41"/>
      <c r="JIC11" s="41"/>
      <c r="JID11" s="41"/>
      <c r="JIE11" s="41"/>
      <c r="JIF11" s="41"/>
      <c r="JIG11" s="41"/>
      <c r="JIH11" s="41"/>
      <c r="JII11" s="41"/>
      <c r="JIJ11" s="41"/>
      <c r="JIK11" s="41"/>
      <c r="JIL11" s="41"/>
      <c r="JIM11" s="41"/>
      <c r="JIN11" s="41"/>
      <c r="JIO11" s="41"/>
      <c r="JIP11" s="41"/>
      <c r="JIQ11" s="41"/>
      <c r="JIR11" s="41"/>
      <c r="JIS11" s="41"/>
      <c r="JIT11" s="41"/>
      <c r="JIU11" s="41"/>
      <c r="JIV11" s="41"/>
      <c r="JIW11" s="41"/>
      <c r="JIX11" s="41"/>
      <c r="JIY11" s="41"/>
      <c r="JIZ11" s="41"/>
      <c r="JJA11" s="41"/>
      <c r="JJB11" s="41"/>
      <c r="JJC11" s="41"/>
      <c r="JJD11" s="41"/>
      <c r="JJE11" s="41"/>
      <c r="JJF11" s="41"/>
      <c r="JJG11" s="41"/>
      <c r="JJH11" s="41"/>
      <c r="JJI11" s="41"/>
      <c r="JJJ11" s="41"/>
      <c r="JJK11" s="41"/>
      <c r="JJL11" s="41"/>
      <c r="JJM11" s="41"/>
      <c r="JJN11" s="41"/>
      <c r="JJO11" s="41"/>
      <c r="JJP11" s="41"/>
      <c r="JJQ11" s="41"/>
      <c r="JJR11" s="41"/>
      <c r="JJS11" s="41"/>
      <c r="JJT11" s="41"/>
      <c r="JJU11" s="41"/>
      <c r="JJV11" s="41"/>
      <c r="JJW11" s="41"/>
      <c r="JJX11" s="41"/>
      <c r="JJY11" s="41"/>
      <c r="JJZ11" s="41"/>
      <c r="JKA11" s="41"/>
      <c r="JKB11" s="41"/>
      <c r="JKC11" s="41"/>
      <c r="JKD11" s="41"/>
      <c r="JKE11" s="41"/>
      <c r="JKF11" s="41"/>
      <c r="JKG11" s="41"/>
      <c r="JKH11" s="41"/>
      <c r="JKI11" s="41"/>
      <c r="JKJ11" s="41"/>
      <c r="JKK11" s="41"/>
      <c r="JKL11" s="41"/>
      <c r="JKM11" s="41"/>
      <c r="JKN11" s="41"/>
      <c r="JKO11" s="41"/>
      <c r="JKP11" s="41"/>
      <c r="JKQ11" s="41"/>
      <c r="JKR11" s="41"/>
      <c r="JKS11" s="41"/>
      <c r="JKT11" s="41"/>
      <c r="JKU11" s="41"/>
      <c r="JKV11" s="41"/>
      <c r="JKW11" s="41"/>
      <c r="JKX11" s="41"/>
      <c r="JKY11" s="41"/>
      <c r="JKZ11" s="41"/>
      <c r="JLA11" s="41"/>
      <c r="JLB11" s="41"/>
      <c r="JLC11" s="41"/>
      <c r="JLD11" s="41"/>
      <c r="JLE11" s="41"/>
      <c r="JLF11" s="41"/>
      <c r="JLG11" s="41"/>
      <c r="JLH11" s="41"/>
      <c r="JLI11" s="41"/>
      <c r="JLJ11" s="41"/>
      <c r="JLK11" s="41"/>
      <c r="JLL11" s="41"/>
      <c r="JLM11" s="41"/>
      <c r="JLN11" s="41"/>
      <c r="JLO11" s="41"/>
      <c r="JLP11" s="41"/>
      <c r="JLQ11" s="41"/>
      <c r="JLR11" s="41"/>
      <c r="JLS11" s="41"/>
      <c r="JLT11" s="41"/>
      <c r="JLU11" s="41"/>
      <c r="JLV11" s="41"/>
      <c r="JLW11" s="41"/>
      <c r="JLX11" s="41"/>
      <c r="JLY11" s="41"/>
      <c r="JLZ11" s="41"/>
      <c r="JMA11" s="41"/>
      <c r="JMB11" s="41"/>
      <c r="JMC11" s="41"/>
      <c r="JMD11" s="41"/>
      <c r="JME11" s="41"/>
      <c r="JMF11" s="41"/>
      <c r="JMG11" s="41"/>
      <c r="JMH11" s="41"/>
      <c r="JMI11" s="41"/>
      <c r="JMJ11" s="41"/>
      <c r="JMK11" s="41"/>
      <c r="JML11" s="41"/>
      <c r="JMM11" s="41"/>
      <c r="JMN11" s="41"/>
      <c r="JMO11" s="41"/>
      <c r="JMP11" s="41"/>
      <c r="JMQ11" s="41"/>
      <c r="JMR11" s="41"/>
      <c r="JMS11" s="41"/>
      <c r="JMT11" s="41"/>
      <c r="JMU11" s="41"/>
      <c r="JMV11" s="41"/>
      <c r="JMW11" s="41"/>
      <c r="JMX11" s="41"/>
      <c r="JMY11" s="41"/>
      <c r="JMZ11" s="41"/>
      <c r="JNA11" s="41"/>
      <c r="JNB11" s="41"/>
      <c r="JNC11" s="41"/>
      <c r="JND11" s="41"/>
      <c r="JNE11" s="41"/>
      <c r="JNF11" s="41"/>
      <c r="JNG11" s="41"/>
      <c r="JNH11" s="41"/>
      <c r="JNI11" s="41"/>
      <c r="JNJ11" s="41"/>
      <c r="JNK11" s="41"/>
      <c r="JNL11" s="41"/>
      <c r="JNM11" s="41"/>
      <c r="JNN11" s="41"/>
      <c r="JNO11" s="41"/>
      <c r="JNP11" s="41"/>
      <c r="JNQ11" s="41"/>
      <c r="JNR11" s="41"/>
      <c r="JNS11" s="41"/>
      <c r="JNT11" s="41"/>
      <c r="JNU11" s="41"/>
      <c r="JNV11" s="41"/>
      <c r="JNW11" s="41"/>
      <c r="JNX11" s="41"/>
      <c r="JNY11" s="41"/>
      <c r="JNZ11" s="41"/>
      <c r="JOA11" s="41"/>
      <c r="JOB11" s="41"/>
      <c r="JOC11" s="41"/>
      <c r="JOD11" s="41"/>
      <c r="JOE11" s="41"/>
      <c r="JOF11" s="41"/>
      <c r="JOG11" s="41"/>
      <c r="JOH11" s="41"/>
      <c r="JOI11" s="41"/>
      <c r="JOJ11" s="41"/>
      <c r="JOK11" s="41"/>
      <c r="JOL11" s="41"/>
      <c r="JOM11" s="41"/>
      <c r="JON11" s="41"/>
      <c r="JOO11" s="41"/>
      <c r="JOP11" s="41"/>
      <c r="JOQ11" s="41"/>
      <c r="JOR11" s="41"/>
      <c r="JOS11" s="41"/>
      <c r="JOT11" s="41"/>
      <c r="JOU11" s="41"/>
      <c r="JOV11" s="41"/>
      <c r="JOW11" s="41"/>
      <c r="JOX11" s="41"/>
      <c r="JOY11" s="41"/>
      <c r="JOZ11" s="41"/>
      <c r="JPA11" s="41"/>
      <c r="JPB11" s="41"/>
      <c r="JPC11" s="41"/>
      <c r="JPD11" s="41"/>
      <c r="JPE11" s="41"/>
      <c r="JPF11" s="41"/>
      <c r="JPG11" s="41"/>
      <c r="JPH11" s="41"/>
      <c r="JPI11" s="41"/>
      <c r="JPJ11" s="41"/>
      <c r="JPK11" s="41"/>
      <c r="JPL11" s="41"/>
      <c r="JPM11" s="41"/>
      <c r="JPN11" s="41"/>
      <c r="JPO11" s="41"/>
      <c r="JPP11" s="41"/>
      <c r="JPQ11" s="41"/>
      <c r="JPR11" s="41"/>
      <c r="JPS11" s="41"/>
      <c r="JPT11" s="41"/>
      <c r="JPU11" s="41"/>
      <c r="JPV11" s="41"/>
      <c r="JPW11" s="41"/>
      <c r="JPX11" s="41"/>
      <c r="JPY11" s="41"/>
      <c r="JPZ11" s="41"/>
      <c r="JQA11" s="41"/>
      <c r="JQB11" s="41"/>
      <c r="JQC11" s="41"/>
      <c r="JQD11" s="41"/>
      <c r="JQE11" s="41"/>
      <c r="JQF11" s="41"/>
      <c r="JQG11" s="41"/>
      <c r="JQH11" s="41"/>
      <c r="JQI11" s="41"/>
      <c r="JQJ11" s="41"/>
      <c r="JQK11" s="41"/>
      <c r="JQL11" s="41"/>
      <c r="JQM11" s="41"/>
      <c r="JQN11" s="41"/>
      <c r="JQO11" s="41"/>
      <c r="JQP11" s="41"/>
      <c r="JQQ11" s="41"/>
      <c r="JQR11" s="41"/>
      <c r="JQS11" s="41"/>
      <c r="JQT11" s="41"/>
      <c r="JQU11" s="41"/>
      <c r="JQV11" s="41"/>
      <c r="JQW11" s="41"/>
      <c r="JQX11" s="41"/>
      <c r="JQY11" s="41"/>
      <c r="JQZ11" s="41"/>
      <c r="JRA11" s="41"/>
      <c r="JRB11" s="41"/>
      <c r="JRC11" s="41"/>
      <c r="JRD11" s="41"/>
      <c r="JRE11" s="41"/>
      <c r="JRF11" s="41"/>
      <c r="JRG11" s="41"/>
      <c r="JRH11" s="41"/>
      <c r="JRI11" s="41"/>
      <c r="JRJ11" s="41"/>
      <c r="JRK11" s="41"/>
      <c r="JRL11" s="41"/>
      <c r="JRM11" s="41"/>
      <c r="JRN11" s="41"/>
      <c r="JRO11" s="41"/>
      <c r="JRP11" s="41"/>
      <c r="JRQ11" s="41"/>
      <c r="JRR11" s="41"/>
      <c r="JRS11" s="41"/>
      <c r="JRT11" s="41"/>
      <c r="JRU11" s="41"/>
      <c r="JRV11" s="41"/>
      <c r="JRW11" s="41"/>
      <c r="JRX11" s="41"/>
      <c r="JRY11" s="41"/>
      <c r="JRZ11" s="41"/>
      <c r="JSA11" s="41"/>
      <c r="JSB11" s="41"/>
      <c r="JSC11" s="41"/>
      <c r="JSD11" s="41"/>
      <c r="JSE11" s="41"/>
      <c r="JSF11" s="41"/>
      <c r="JSG11" s="41"/>
      <c r="JSH11" s="41"/>
      <c r="JSI11" s="41"/>
      <c r="JSJ11" s="41"/>
      <c r="JSK11" s="41"/>
      <c r="JSL11" s="41"/>
      <c r="JSM11" s="41"/>
      <c r="JSN11" s="41"/>
      <c r="JSO11" s="41"/>
      <c r="JSP11" s="41"/>
      <c r="JSQ11" s="41"/>
      <c r="JSR11" s="41"/>
      <c r="JSS11" s="41"/>
      <c r="JST11" s="41"/>
      <c r="JSU11" s="41"/>
      <c r="JSV11" s="41"/>
      <c r="JSW11" s="41"/>
      <c r="JSX11" s="41"/>
      <c r="JSY11" s="41"/>
      <c r="JSZ11" s="41"/>
      <c r="JTA11" s="41"/>
      <c r="JTB11" s="41"/>
      <c r="JTC11" s="41"/>
      <c r="JTD11" s="41"/>
      <c r="JTE11" s="41"/>
      <c r="JTF11" s="41"/>
      <c r="JTG11" s="41"/>
      <c r="JTH11" s="41"/>
      <c r="JTI11" s="41"/>
      <c r="JTJ11" s="41"/>
      <c r="JTK11" s="41"/>
      <c r="JTL11" s="41"/>
      <c r="JTM11" s="41"/>
      <c r="JTN11" s="41"/>
      <c r="JTO11" s="41"/>
      <c r="JTP11" s="41"/>
      <c r="JTQ11" s="41"/>
      <c r="JTR11" s="41"/>
      <c r="JTS11" s="41"/>
      <c r="JTT11" s="41"/>
      <c r="JTU11" s="41"/>
      <c r="JTV11" s="41"/>
      <c r="JTW11" s="41"/>
      <c r="JTX11" s="41"/>
      <c r="JTY11" s="41"/>
      <c r="JTZ11" s="41"/>
      <c r="JUA11" s="41"/>
      <c r="JUB11" s="41"/>
      <c r="JUC11" s="41"/>
      <c r="JUD11" s="41"/>
      <c r="JUE11" s="41"/>
      <c r="JUF11" s="41"/>
      <c r="JUG11" s="41"/>
      <c r="JUH11" s="41"/>
      <c r="JUI11" s="41"/>
      <c r="JUJ11" s="41"/>
      <c r="JUK11" s="41"/>
      <c r="JUL11" s="41"/>
      <c r="JUM11" s="41"/>
      <c r="JUN11" s="41"/>
      <c r="JUO11" s="41"/>
      <c r="JUP11" s="41"/>
      <c r="JUQ11" s="41"/>
      <c r="JUR11" s="41"/>
      <c r="JUS11" s="41"/>
      <c r="JUT11" s="41"/>
      <c r="JUU11" s="41"/>
      <c r="JUV11" s="41"/>
      <c r="JUW11" s="41"/>
      <c r="JUX11" s="41"/>
      <c r="JUY11" s="41"/>
      <c r="JUZ11" s="41"/>
      <c r="JVA11" s="41"/>
      <c r="JVB11" s="41"/>
      <c r="JVC11" s="41"/>
      <c r="JVD11" s="41"/>
      <c r="JVE11" s="41"/>
      <c r="JVF11" s="41"/>
      <c r="JVG11" s="41"/>
      <c r="JVH11" s="41"/>
      <c r="JVI11" s="41"/>
      <c r="JVJ11" s="41"/>
      <c r="JVK11" s="41"/>
      <c r="JVL11" s="41"/>
      <c r="JVM11" s="41"/>
      <c r="JVN11" s="41"/>
      <c r="JVO11" s="41"/>
      <c r="JVP11" s="41"/>
      <c r="JVQ11" s="41"/>
      <c r="JVR11" s="41"/>
      <c r="JVS11" s="41"/>
      <c r="JVT11" s="41"/>
      <c r="JVU11" s="41"/>
      <c r="JVV11" s="41"/>
      <c r="JVW11" s="41"/>
      <c r="JVX11" s="41"/>
      <c r="JVY11" s="41"/>
      <c r="JVZ11" s="41"/>
      <c r="JWA11" s="41"/>
      <c r="JWB11" s="41"/>
      <c r="JWC11" s="41"/>
      <c r="JWD11" s="41"/>
      <c r="JWE11" s="41"/>
      <c r="JWF11" s="41"/>
      <c r="JWG11" s="41"/>
      <c r="JWH11" s="41"/>
      <c r="JWI11" s="41"/>
      <c r="JWJ11" s="41"/>
      <c r="JWK11" s="41"/>
      <c r="JWL11" s="41"/>
      <c r="JWM11" s="41"/>
      <c r="JWN11" s="41"/>
      <c r="JWO11" s="41"/>
      <c r="JWP11" s="41"/>
      <c r="JWQ11" s="41"/>
      <c r="JWR11" s="41"/>
      <c r="JWS11" s="41"/>
      <c r="JWT11" s="41"/>
      <c r="JWU11" s="41"/>
      <c r="JWV11" s="41"/>
      <c r="JWW11" s="41"/>
      <c r="JWX11" s="41"/>
      <c r="JWY11" s="41"/>
      <c r="JWZ11" s="41"/>
      <c r="JXA11" s="41"/>
      <c r="JXB11" s="41"/>
      <c r="JXC11" s="41"/>
      <c r="JXD11" s="41"/>
      <c r="JXE11" s="41"/>
      <c r="JXF11" s="41"/>
      <c r="JXG11" s="41"/>
      <c r="JXH11" s="41"/>
      <c r="JXI11" s="41"/>
      <c r="JXJ11" s="41"/>
      <c r="JXK11" s="41"/>
      <c r="JXL11" s="41"/>
      <c r="JXM11" s="41"/>
      <c r="JXN11" s="41"/>
      <c r="JXO11" s="41"/>
      <c r="JXP11" s="41"/>
      <c r="JXQ11" s="41"/>
      <c r="JXR11" s="41"/>
      <c r="JXS11" s="41"/>
      <c r="JXT11" s="41"/>
      <c r="JXU11" s="41"/>
      <c r="JXV11" s="41"/>
      <c r="JXW11" s="41"/>
      <c r="JXX11" s="41"/>
      <c r="JXY11" s="41"/>
      <c r="JXZ11" s="41"/>
      <c r="JYA11" s="41"/>
      <c r="JYB11" s="41"/>
      <c r="JYC11" s="41"/>
      <c r="JYD11" s="41"/>
      <c r="JYE11" s="41"/>
      <c r="JYF11" s="41"/>
      <c r="JYG11" s="41"/>
      <c r="JYH11" s="41"/>
      <c r="JYI11" s="41"/>
      <c r="JYJ11" s="41"/>
      <c r="JYK11" s="41"/>
      <c r="JYL11" s="41"/>
      <c r="JYM11" s="41"/>
      <c r="JYN11" s="41"/>
      <c r="JYO11" s="41"/>
      <c r="JYP11" s="41"/>
      <c r="JYQ11" s="41"/>
      <c r="JYR11" s="41"/>
      <c r="JYS11" s="41"/>
      <c r="JYT11" s="41"/>
      <c r="JYU11" s="41"/>
      <c r="JYV11" s="41"/>
      <c r="JYW11" s="41"/>
      <c r="JYX11" s="41"/>
      <c r="JYY11" s="41"/>
      <c r="JYZ11" s="41"/>
      <c r="JZA11" s="41"/>
      <c r="JZB11" s="41"/>
      <c r="JZC11" s="41"/>
      <c r="JZD11" s="41"/>
      <c r="JZE11" s="41"/>
      <c r="JZF11" s="41"/>
      <c r="JZG11" s="41"/>
      <c r="JZH11" s="41"/>
      <c r="JZI11" s="41"/>
      <c r="JZJ11" s="41"/>
      <c r="JZK11" s="41"/>
      <c r="JZL11" s="41"/>
      <c r="JZM11" s="41"/>
      <c r="JZN11" s="41"/>
      <c r="JZO11" s="41"/>
      <c r="JZP11" s="41"/>
      <c r="JZQ11" s="41"/>
      <c r="JZR11" s="41"/>
      <c r="JZS11" s="41"/>
      <c r="JZT11" s="41"/>
      <c r="JZU11" s="41"/>
      <c r="JZV11" s="41"/>
      <c r="JZW11" s="41"/>
      <c r="JZX11" s="41"/>
      <c r="JZY11" s="41"/>
      <c r="JZZ11" s="41"/>
      <c r="KAA11" s="41"/>
      <c r="KAB11" s="41"/>
      <c r="KAC11" s="41"/>
      <c r="KAD11" s="41"/>
      <c r="KAE11" s="41"/>
      <c r="KAF11" s="41"/>
      <c r="KAG11" s="41"/>
      <c r="KAH11" s="41"/>
      <c r="KAI11" s="41"/>
      <c r="KAJ11" s="41"/>
      <c r="KAK11" s="41"/>
      <c r="KAL11" s="41"/>
      <c r="KAM11" s="41"/>
      <c r="KAN11" s="41"/>
      <c r="KAO11" s="41"/>
      <c r="KAP11" s="41"/>
      <c r="KAQ11" s="41"/>
      <c r="KAR11" s="41"/>
      <c r="KAS11" s="41"/>
      <c r="KAT11" s="41"/>
      <c r="KAU11" s="41"/>
      <c r="KAV11" s="41"/>
      <c r="KAW11" s="41"/>
      <c r="KAX11" s="41"/>
      <c r="KAY11" s="41"/>
      <c r="KAZ11" s="41"/>
      <c r="KBA11" s="41"/>
      <c r="KBB11" s="41"/>
      <c r="KBC11" s="41"/>
      <c r="KBD11" s="41"/>
      <c r="KBE11" s="41"/>
      <c r="KBF11" s="41"/>
      <c r="KBG11" s="41"/>
      <c r="KBH11" s="41"/>
      <c r="KBI11" s="41"/>
      <c r="KBJ11" s="41"/>
      <c r="KBK11" s="41"/>
      <c r="KBL11" s="41"/>
      <c r="KBM11" s="41"/>
      <c r="KBN11" s="41"/>
      <c r="KBO11" s="41"/>
      <c r="KBP11" s="41"/>
      <c r="KBQ11" s="41"/>
      <c r="KBR11" s="41"/>
      <c r="KBS11" s="41"/>
      <c r="KBT11" s="41"/>
      <c r="KBU11" s="41"/>
      <c r="KBV11" s="41"/>
      <c r="KBW11" s="41"/>
      <c r="KBX11" s="41"/>
      <c r="KBY11" s="41"/>
      <c r="KBZ11" s="41"/>
      <c r="KCA11" s="41"/>
      <c r="KCB11" s="41"/>
      <c r="KCC11" s="41"/>
      <c r="KCD11" s="41"/>
      <c r="KCE11" s="41"/>
      <c r="KCF11" s="41"/>
      <c r="KCG11" s="41"/>
      <c r="KCH11" s="41"/>
      <c r="KCI11" s="41"/>
      <c r="KCJ11" s="41"/>
      <c r="KCK11" s="41"/>
      <c r="KCL11" s="41"/>
      <c r="KCM11" s="41"/>
      <c r="KCN11" s="41"/>
      <c r="KCO11" s="41"/>
      <c r="KCP11" s="41"/>
      <c r="KCQ11" s="41"/>
      <c r="KCR11" s="41"/>
      <c r="KCS11" s="41"/>
      <c r="KCT11" s="41"/>
      <c r="KCU11" s="41"/>
      <c r="KCV11" s="41"/>
      <c r="KCW11" s="41"/>
      <c r="KCX11" s="41"/>
      <c r="KCY11" s="41"/>
      <c r="KCZ11" s="41"/>
      <c r="KDA11" s="41"/>
      <c r="KDB11" s="41"/>
      <c r="KDC11" s="41"/>
      <c r="KDD11" s="41"/>
      <c r="KDE11" s="41"/>
      <c r="KDF11" s="41"/>
      <c r="KDG11" s="41"/>
      <c r="KDH11" s="41"/>
      <c r="KDI11" s="41"/>
      <c r="KDJ11" s="41"/>
      <c r="KDK11" s="41"/>
      <c r="KDL11" s="41"/>
      <c r="KDM11" s="41"/>
      <c r="KDN11" s="41"/>
      <c r="KDO11" s="41"/>
      <c r="KDP11" s="41"/>
      <c r="KDQ11" s="41"/>
      <c r="KDR11" s="41"/>
      <c r="KDS11" s="41"/>
      <c r="KDT11" s="41"/>
      <c r="KDU11" s="41"/>
      <c r="KDV11" s="41"/>
      <c r="KDW11" s="41"/>
      <c r="KDX11" s="41"/>
      <c r="KDY11" s="41"/>
      <c r="KDZ11" s="41"/>
      <c r="KEA11" s="41"/>
      <c r="KEB11" s="41"/>
      <c r="KEC11" s="41"/>
      <c r="KED11" s="41"/>
      <c r="KEE11" s="41"/>
      <c r="KEF11" s="41"/>
      <c r="KEG11" s="41"/>
      <c r="KEH11" s="41"/>
      <c r="KEI11" s="41"/>
      <c r="KEJ11" s="41"/>
      <c r="KEK11" s="41"/>
      <c r="KEL11" s="41"/>
      <c r="KEM11" s="41"/>
      <c r="KEN11" s="41"/>
      <c r="KEO11" s="41"/>
      <c r="KEP11" s="41"/>
      <c r="KEQ11" s="41"/>
      <c r="KER11" s="41"/>
      <c r="KES11" s="41"/>
      <c r="KET11" s="41"/>
      <c r="KEU11" s="41"/>
      <c r="KEV11" s="41"/>
      <c r="KEW11" s="41"/>
      <c r="KEX11" s="41"/>
      <c r="KEY11" s="41"/>
      <c r="KEZ11" s="41"/>
      <c r="KFA11" s="41"/>
      <c r="KFB11" s="41"/>
      <c r="KFC11" s="41"/>
      <c r="KFD11" s="41"/>
      <c r="KFE11" s="41"/>
      <c r="KFF11" s="41"/>
      <c r="KFG11" s="41"/>
      <c r="KFH11" s="41"/>
      <c r="KFI11" s="41"/>
      <c r="KFJ11" s="41"/>
      <c r="KFK11" s="41"/>
      <c r="KFL11" s="41"/>
      <c r="KFM11" s="41"/>
      <c r="KFN11" s="41"/>
      <c r="KFO11" s="41"/>
      <c r="KFP11" s="41"/>
      <c r="KFQ11" s="41"/>
      <c r="KFR11" s="41"/>
      <c r="KFS11" s="41"/>
      <c r="KFT11" s="41"/>
      <c r="KFU11" s="41"/>
      <c r="KFV11" s="41"/>
      <c r="KFW11" s="41"/>
      <c r="KFX11" s="41"/>
      <c r="KFY11" s="41"/>
      <c r="KFZ11" s="41"/>
      <c r="KGA11" s="41"/>
      <c r="KGB11" s="41"/>
      <c r="KGC11" s="41"/>
      <c r="KGD11" s="41"/>
      <c r="KGE11" s="41"/>
      <c r="KGF11" s="41"/>
      <c r="KGG11" s="41"/>
      <c r="KGH11" s="41"/>
      <c r="KGI11" s="41"/>
      <c r="KGJ11" s="41"/>
      <c r="KGK11" s="41"/>
      <c r="KGL11" s="41"/>
      <c r="KGM11" s="41"/>
      <c r="KGN11" s="41"/>
      <c r="KGO11" s="41"/>
      <c r="KGP11" s="41"/>
      <c r="KGQ11" s="41"/>
      <c r="KGR11" s="41"/>
      <c r="KGS11" s="41"/>
      <c r="KGT11" s="41"/>
      <c r="KGU11" s="41"/>
      <c r="KGV11" s="41"/>
      <c r="KGW11" s="41"/>
      <c r="KGX11" s="41"/>
      <c r="KGY11" s="41"/>
      <c r="KGZ11" s="41"/>
      <c r="KHA11" s="41"/>
      <c r="KHB11" s="41"/>
      <c r="KHC11" s="41"/>
      <c r="KHD11" s="41"/>
      <c r="KHE11" s="41"/>
      <c r="KHF11" s="41"/>
      <c r="KHG11" s="41"/>
      <c r="KHH11" s="41"/>
      <c r="KHI11" s="41"/>
      <c r="KHJ11" s="41"/>
      <c r="KHK11" s="41"/>
      <c r="KHL11" s="41"/>
      <c r="KHM11" s="41"/>
      <c r="KHN11" s="41"/>
      <c r="KHO11" s="41"/>
      <c r="KHP11" s="41"/>
      <c r="KHQ11" s="41"/>
      <c r="KHR11" s="41"/>
      <c r="KHS11" s="41"/>
      <c r="KHT11" s="41"/>
      <c r="KHU11" s="41"/>
      <c r="KHV11" s="41"/>
      <c r="KHW11" s="41"/>
      <c r="KHX11" s="41"/>
      <c r="KHY11" s="41"/>
      <c r="KHZ11" s="41"/>
      <c r="KIA11" s="41"/>
      <c r="KIB11" s="41"/>
      <c r="KIC11" s="41"/>
      <c r="KID11" s="41"/>
      <c r="KIE11" s="41"/>
      <c r="KIF11" s="41"/>
      <c r="KIG11" s="41"/>
      <c r="KIH11" s="41"/>
      <c r="KII11" s="41"/>
      <c r="KIJ11" s="41"/>
      <c r="KIK11" s="41"/>
      <c r="KIL11" s="41"/>
      <c r="KIM11" s="41"/>
      <c r="KIN11" s="41"/>
      <c r="KIO11" s="41"/>
      <c r="KIP11" s="41"/>
      <c r="KIQ11" s="41"/>
      <c r="KIR11" s="41"/>
      <c r="KIS11" s="41"/>
      <c r="KIT11" s="41"/>
      <c r="KIU11" s="41"/>
      <c r="KIV11" s="41"/>
      <c r="KIW11" s="41"/>
      <c r="KIX11" s="41"/>
      <c r="KIY11" s="41"/>
      <c r="KIZ11" s="41"/>
      <c r="KJA11" s="41"/>
      <c r="KJB11" s="41"/>
      <c r="KJC11" s="41"/>
      <c r="KJD11" s="41"/>
      <c r="KJE11" s="41"/>
      <c r="KJF11" s="41"/>
      <c r="KJG11" s="41"/>
      <c r="KJH11" s="41"/>
      <c r="KJI11" s="41"/>
      <c r="KJJ11" s="41"/>
      <c r="KJK11" s="41"/>
      <c r="KJL11" s="41"/>
      <c r="KJM11" s="41"/>
      <c r="KJN11" s="41"/>
      <c r="KJO11" s="41"/>
      <c r="KJP11" s="41"/>
      <c r="KJQ11" s="41"/>
      <c r="KJR11" s="41"/>
      <c r="KJS11" s="41"/>
      <c r="KJT11" s="41"/>
      <c r="KJU11" s="41"/>
      <c r="KJV11" s="41"/>
      <c r="KJW11" s="41"/>
      <c r="KJX11" s="41"/>
      <c r="KJY11" s="41"/>
      <c r="KJZ11" s="41"/>
      <c r="KKA11" s="41"/>
      <c r="KKB11" s="41"/>
      <c r="KKC11" s="41"/>
      <c r="KKD11" s="41"/>
      <c r="KKE11" s="41"/>
      <c r="KKF11" s="41"/>
      <c r="KKG11" s="41"/>
      <c r="KKH11" s="41"/>
      <c r="KKI11" s="41"/>
      <c r="KKJ11" s="41"/>
      <c r="KKK11" s="41"/>
      <c r="KKL11" s="41"/>
      <c r="KKM11" s="41"/>
      <c r="KKN11" s="41"/>
      <c r="KKO11" s="41"/>
      <c r="KKP11" s="41"/>
      <c r="KKQ11" s="41"/>
      <c r="KKR11" s="41"/>
      <c r="KKS11" s="41"/>
      <c r="KKT11" s="41"/>
      <c r="KKU11" s="41"/>
      <c r="KKV11" s="41"/>
      <c r="KKW11" s="41"/>
      <c r="KKX11" s="41"/>
      <c r="KKY11" s="41"/>
      <c r="KKZ11" s="41"/>
      <c r="KLA11" s="41"/>
      <c r="KLB11" s="41"/>
      <c r="KLC11" s="41"/>
      <c r="KLD11" s="41"/>
      <c r="KLE11" s="41"/>
      <c r="KLF11" s="41"/>
      <c r="KLG11" s="41"/>
      <c r="KLH11" s="41"/>
      <c r="KLI11" s="41"/>
      <c r="KLJ11" s="41"/>
      <c r="KLK11" s="41"/>
      <c r="KLL11" s="41"/>
      <c r="KLM11" s="41"/>
      <c r="KLN11" s="41"/>
      <c r="KLO11" s="41"/>
      <c r="KLP11" s="41"/>
      <c r="KLQ11" s="41"/>
      <c r="KLR11" s="41"/>
      <c r="KLS11" s="41"/>
      <c r="KLT11" s="41"/>
      <c r="KLU11" s="41"/>
      <c r="KLV11" s="41"/>
      <c r="KLW11" s="41"/>
      <c r="KLX11" s="41"/>
      <c r="KLY11" s="41"/>
      <c r="KLZ11" s="41"/>
      <c r="KMA11" s="41"/>
      <c r="KMB11" s="41"/>
      <c r="KMC11" s="41"/>
      <c r="KMD11" s="41"/>
      <c r="KME11" s="41"/>
      <c r="KMF11" s="41"/>
      <c r="KMG11" s="41"/>
      <c r="KMH11" s="41"/>
      <c r="KMI11" s="41"/>
      <c r="KMJ11" s="41"/>
      <c r="KMK11" s="41"/>
      <c r="KML11" s="41"/>
      <c r="KMM11" s="41"/>
      <c r="KMN11" s="41"/>
      <c r="KMO11" s="41"/>
      <c r="KMP11" s="41"/>
      <c r="KMQ11" s="41"/>
      <c r="KMR11" s="41"/>
      <c r="KMS11" s="41"/>
      <c r="KMT11" s="41"/>
      <c r="KMU11" s="41"/>
      <c r="KMV11" s="41"/>
      <c r="KMW11" s="41"/>
      <c r="KMX11" s="41"/>
      <c r="KMY11" s="41"/>
      <c r="KMZ11" s="41"/>
      <c r="KNA11" s="41"/>
      <c r="KNB11" s="41"/>
      <c r="KNC11" s="41"/>
      <c r="KND11" s="41"/>
      <c r="KNE11" s="41"/>
      <c r="KNF11" s="41"/>
      <c r="KNG11" s="41"/>
      <c r="KNH11" s="41"/>
      <c r="KNI11" s="41"/>
      <c r="KNJ11" s="41"/>
      <c r="KNK11" s="41"/>
      <c r="KNL11" s="41"/>
      <c r="KNM11" s="41"/>
      <c r="KNN11" s="41"/>
      <c r="KNO11" s="41"/>
      <c r="KNP11" s="41"/>
      <c r="KNQ11" s="41"/>
      <c r="KNR11" s="41"/>
      <c r="KNS11" s="41"/>
      <c r="KNT11" s="41"/>
      <c r="KNU11" s="41"/>
      <c r="KNV11" s="41"/>
      <c r="KNW11" s="41"/>
      <c r="KNX11" s="41"/>
      <c r="KNY11" s="41"/>
      <c r="KNZ11" s="41"/>
      <c r="KOA11" s="41"/>
      <c r="KOB11" s="41"/>
      <c r="KOC11" s="41"/>
      <c r="KOD11" s="41"/>
      <c r="KOE11" s="41"/>
      <c r="KOF11" s="41"/>
      <c r="KOG11" s="41"/>
      <c r="KOH11" s="41"/>
      <c r="KOI11" s="41"/>
      <c r="KOJ11" s="41"/>
      <c r="KOK11" s="41"/>
      <c r="KOL11" s="41"/>
      <c r="KOM11" s="41"/>
      <c r="KON11" s="41"/>
      <c r="KOO11" s="41"/>
      <c r="KOP11" s="41"/>
      <c r="KOQ11" s="41"/>
      <c r="KOR11" s="41"/>
      <c r="KOS11" s="41"/>
      <c r="KOT11" s="41"/>
      <c r="KOU11" s="41"/>
      <c r="KOV11" s="41"/>
      <c r="KOW11" s="41"/>
      <c r="KOX11" s="41"/>
      <c r="KOY11" s="41"/>
      <c r="KOZ11" s="41"/>
      <c r="KPA11" s="41"/>
      <c r="KPB11" s="41"/>
      <c r="KPC11" s="41"/>
      <c r="KPD11" s="41"/>
      <c r="KPE11" s="41"/>
      <c r="KPF11" s="41"/>
      <c r="KPG11" s="41"/>
      <c r="KPH11" s="41"/>
      <c r="KPI11" s="41"/>
      <c r="KPJ11" s="41"/>
      <c r="KPK11" s="41"/>
      <c r="KPL11" s="41"/>
      <c r="KPM11" s="41"/>
      <c r="KPN11" s="41"/>
      <c r="KPO11" s="41"/>
      <c r="KPP11" s="41"/>
      <c r="KPQ11" s="41"/>
      <c r="KPR11" s="41"/>
      <c r="KPS11" s="41"/>
      <c r="KPT11" s="41"/>
      <c r="KPU11" s="41"/>
      <c r="KPV11" s="41"/>
      <c r="KPW11" s="41"/>
      <c r="KPX11" s="41"/>
      <c r="KPY11" s="41"/>
      <c r="KPZ11" s="41"/>
      <c r="KQA11" s="41"/>
      <c r="KQB11" s="41"/>
      <c r="KQC11" s="41"/>
      <c r="KQD11" s="41"/>
      <c r="KQE11" s="41"/>
      <c r="KQF11" s="41"/>
      <c r="KQG11" s="41"/>
      <c r="KQH11" s="41"/>
      <c r="KQI11" s="41"/>
      <c r="KQJ11" s="41"/>
      <c r="KQK11" s="41"/>
      <c r="KQL11" s="41"/>
      <c r="KQM11" s="41"/>
      <c r="KQN11" s="41"/>
      <c r="KQO11" s="41"/>
      <c r="KQP11" s="41"/>
      <c r="KQQ11" s="41"/>
      <c r="KQR11" s="41"/>
      <c r="KQS11" s="41"/>
      <c r="KQT11" s="41"/>
      <c r="KQU11" s="41"/>
      <c r="KQV11" s="41"/>
      <c r="KQW11" s="41"/>
      <c r="KQX11" s="41"/>
      <c r="KQY11" s="41"/>
      <c r="KQZ11" s="41"/>
      <c r="KRA11" s="41"/>
      <c r="KRB11" s="41"/>
      <c r="KRC11" s="41"/>
      <c r="KRD11" s="41"/>
      <c r="KRE11" s="41"/>
      <c r="KRF11" s="41"/>
      <c r="KRG11" s="41"/>
      <c r="KRH11" s="41"/>
      <c r="KRI11" s="41"/>
      <c r="KRJ11" s="41"/>
      <c r="KRK11" s="41"/>
      <c r="KRL11" s="41"/>
      <c r="KRM11" s="41"/>
      <c r="KRN11" s="41"/>
      <c r="KRO11" s="41"/>
      <c r="KRP11" s="41"/>
      <c r="KRQ11" s="41"/>
      <c r="KRR11" s="41"/>
      <c r="KRS11" s="41"/>
      <c r="KRT11" s="41"/>
      <c r="KRU11" s="41"/>
      <c r="KRV11" s="41"/>
      <c r="KRW11" s="41"/>
      <c r="KRX11" s="41"/>
      <c r="KRY11" s="41"/>
      <c r="KRZ11" s="41"/>
      <c r="KSA11" s="41"/>
      <c r="KSB11" s="41"/>
      <c r="KSC11" s="41"/>
      <c r="KSD11" s="41"/>
      <c r="KSE11" s="41"/>
      <c r="KSF11" s="41"/>
      <c r="KSG11" s="41"/>
      <c r="KSH11" s="41"/>
      <c r="KSI11" s="41"/>
      <c r="KSJ11" s="41"/>
      <c r="KSK11" s="41"/>
      <c r="KSL11" s="41"/>
      <c r="KSM11" s="41"/>
      <c r="KSN11" s="41"/>
      <c r="KSO11" s="41"/>
      <c r="KSP11" s="41"/>
      <c r="KSQ11" s="41"/>
      <c r="KSR11" s="41"/>
      <c r="KSS11" s="41"/>
      <c r="KST11" s="41"/>
      <c r="KSU11" s="41"/>
      <c r="KSV11" s="41"/>
      <c r="KSW11" s="41"/>
      <c r="KSX11" s="41"/>
      <c r="KSY11" s="41"/>
      <c r="KSZ11" s="41"/>
      <c r="KTA11" s="41"/>
      <c r="KTB11" s="41"/>
      <c r="KTC11" s="41"/>
      <c r="KTD11" s="41"/>
      <c r="KTE11" s="41"/>
      <c r="KTF11" s="41"/>
      <c r="KTG11" s="41"/>
      <c r="KTH11" s="41"/>
      <c r="KTI11" s="41"/>
      <c r="KTJ11" s="41"/>
      <c r="KTK11" s="41"/>
      <c r="KTL11" s="41"/>
      <c r="KTM11" s="41"/>
      <c r="KTN11" s="41"/>
      <c r="KTO11" s="41"/>
      <c r="KTP11" s="41"/>
      <c r="KTQ11" s="41"/>
      <c r="KTR11" s="41"/>
      <c r="KTS11" s="41"/>
      <c r="KTT11" s="41"/>
      <c r="KTU11" s="41"/>
      <c r="KTV11" s="41"/>
      <c r="KTW11" s="41"/>
      <c r="KTX11" s="41"/>
      <c r="KTY11" s="41"/>
      <c r="KTZ11" s="41"/>
      <c r="KUA11" s="41"/>
      <c r="KUB11" s="41"/>
      <c r="KUC11" s="41"/>
      <c r="KUD11" s="41"/>
      <c r="KUE11" s="41"/>
      <c r="KUF11" s="41"/>
      <c r="KUG11" s="41"/>
      <c r="KUH11" s="41"/>
      <c r="KUI11" s="41"/>
      <c r="KUJ11" s="41"/>
      <c r="KUK11" s="41"/>
      <c r="KUL11" s="41"/>
      <c r="KUM11" s="41"/>
      <c r="KUN11" s="41"/>
      <c r="KUO11" s="41"/>
      <c r="KUP11" s="41"/>
      <c r="KUQ11" s="41"/>
      <c r="KUR11" s="41"/>
      <c r="KUS11" s="41"/>
      <c r="KUT11" s="41"/>
      <c r="KUU11" s="41"/>
      <c r="KUV11" s="41"/>
      <c r="KUW11" s="41"/>
      <c r="KUX11" s="41"/>
      <c r="KUY11" s="41"/>
      <c r="KUZ11" s="41"/>
      <c r="KVA11" s="41"/>
      <c r="KVB11" s="41"/>
      <c r="KVC11" s="41"/>
      <c r="KVD11" s="41"/>
      <c r="KVE11" s="41"/>
      <c r="KVF11" s="41"/>
      <c r="KVG11" s="41"/>
      <c r="KVH11" s="41"/>
      <c r="KVI11" s="41"/>
      <c r="KVJ11" s="41"/>
      <c r="KVK11" s="41"/>
      <c r="KVL11" s="41"/>
      <c r="KVM11" s="41"/>
      <c r="KVN11" s="41"/>
      <c r="KVO11" s="41"/>
      <c r="KVP11" s="41"/>
      <c r="KVQ11" s="41"/>
      <c r="KVR11" s="41"/>
      <c r="KVS11" s="41"/>
      <c r="KVT11" s="41"/>
      <c r="KVU11" s="41"/>
      <c r="KVV11" s="41"/>
      <c r="KVW11" s="41"/>
      <c r="KVX11" s="41"/>
      <c r="KVY11" s="41"/>
      <c r="KVZ11" s="41"/>
      <c r="KWA11" s="41"/>
      <c r="KWB11" s="41"/>
      <c r="KWC11" s="41"/>
      <c r="KWD11" s="41"/>
      <c r="KWE11" s="41"/>
      <c r="KWF11" s="41"/>
      <c r="KWG11" s="41"/>
      <c r="KWH11" s="41"/>
      <c r="KWI11" s="41"/>
      <c r="KWJ11" s="41"/>
      <c r="KWK11" s="41"/>
      <c r="KWL11" s="41"/>
      <c r="KWM11" s="41"/>
      <c r="KWN11" s="41"/>
      <c r="KWO11" s="41"/>
      <c r="KWP11" s="41"/>
      <c r="KWQ11" s="41"/>
      <c r="KWR11" s="41"/>
      <c r="KWS11" s="41"/>
      <c r="KWT11" s="41"/>
      <c r="KWU11" s="41"/>
      <c r="KWV11" s="41"/>
      <c r="KWW11" s="41"/>
      <c r="KWX11" s="41"/>
      <c r="KWY11" s="41"/>
      <c r="KWZ11" s="41"/>
      <c r="KXA11" s="41"/>
      <c r="KXB11" s="41"/>
      <c r="KXC11" s="41"/>
      <c r="KXD11" s="41"/>
      <c r="KXE11" s="41"/>
      <c r="KXF11" s="41"/>
      <c r="KXG11" s="41"/>
      <c r="KXH11" s="41"/>
      <c r="KXI11" s="41"/>
      <c r="KXJ11" s="41"/>
      <c r="KXK11" s="41"/>
      <c r="KXL11" s="41"/>
      <c r="KXM11" s="41"/>
      <c r="KXN11" s="41"/>
      <c r="KXO11" s="41"/>
      <c r="KXP11" s="41"/>
      <c r="KXQ11" s="41"/>
      <c r="KXR11" s="41"/>
      <c r="KXS11" s="41"/>
      <c r="KXT11" s="41"/>
      <c r="KXU11" s="41"/>
      <c r="KXV11" s="41"/>
      <c r="KXW11" s="41"/>
      <c r="KXX11" s="41"/>
      <c r="KXY11" s="41"/>
      <c r="KXZ11" s="41"/>
      <c r="KYA11" s="41"/>
      <c r="KYB11" s="41"/>
      <c r="KYC11" s="41"/>
      <c r="KYD11" s="41"/>
      <c r="KYE11" s="41"/>
      <c r="KYF11" s="41"/>
      <c r="KYG11" s="41"/>
      <c r="KYH11" s="41"/>
      <c r="KYI11" s="41"/>
      <c r="KYJ11" s="41"/>
      <c r="KYK11" s="41"/>
      <c r="KYL11" s="41"/>
      <c r="KYM11" s="41"/>
      <c r="KYN11" s="41"/>
      <c r="KYO11" s="41"/>
      <c r="KYP11" s="41"/>
      <c r="KYQ11" s="41"/>
      <c r="KYR11" s="41"/>
      <c r="KYS11" s="41"/>
      <c r="KYT11" s="41"/>
      <c r="KYU11" s="41"/>
      <c r="KYV11" s="41"/>
      <c r="KYW11" s="41"/>
      <c r="KYX11" s="41"/>
      <c r="KYY11" s="41"/>
      <c r="KYZ11" s="41"/>
      <c r="KZA11" s="41"/>
      <c r="KZB11" s="41"/>
      <c r="KZC11" s="41"/>
      <c r="KZD11" s="41"/>
      <c r="KZE11" s="41"/>
      <c r="KZF11" s="41"/>
      <c r="KZG11" s="41"/>
      <c r="KZH11" s="41"/>
      <c r="KZI11" s="41"/>
      <c r="KZJ11" s="41"/>
      <c r="KZK11" s="41"/>
      <c r="KZL11" s="41"/>
      <c r="KZM11" s="41"/>
      <c r="KZN11" s="41"/>
      <c r="KZO11" s="41"/>
      <c r="KZP11" s="41"/>
      <c r="KZQ11" s="41"/>
      <c r="KZR11" s="41"/>
      <c r="KZS11" s="41"/>
      <c r="KZT11" s="41"/>
      <c r="KZU11" s="41"/>
      <c r="KZV11" s="41"/>
      <c r="KZW11" s="41"/>
      <c r="KZX11" s="41"/>
      <c r="KZY11" s="41"/>
      <c r="KZZ11" s="41"/>
      <c r="LAA11" s="41"/>
      <c r="LAB11" s="41"/>
      <c r="LAC11" s="41"/>
      <c r="LAD11" s="41"/>
      <c r="LAE11" s="41"/>
      <c r="LAF11" s="41"/>
      <c r="LAG11" s="41"/>
      <c r="LAH11" s="41"/>
      <c r="LAI11" s="41"/>
      <c r="LAJ11" s="41"/>
      <c r="LAK11" s="41"/>
      <c r="LAL11" s="41"/>
      <c r="LAM11" s="41"/>
      <c r="LAN11" s="41"/>
      <c r="LAO11" s="41"/>
      <c r="LAP11" s="41"/>
      <c r="LAQ11" s="41"/>
      <c r="LAR11" s="41"/>
      <c r="LAS11" s="41"/>
      <c r="LAT11" s="41"/>
      <c r="LAU11" s="41"/>
      <c r="LAV11" s="41"/>
      <c r="LAW11" s="41"/>
      <c r="LAX11" s="41"/>
      <c r="LAY11" s="41"/>
      <c r="LAZ11" s="41"/>
      <c r="LBA11" s="41"/>
      <c r="LBB11" s="41"/>
      <c r="LBC11" s="41"/>
      <c r="LBD11" s="41"/>
      <c r="LBE11" s="41"/>
      <c r="LBF11" s="41"/>
      <c r="LBG11" s="41"/>
      <c r="LBH11" s="41"/>
      <c r="LBI11" s="41"/>
      <c r="LBJ11" s="41"/>
      <c r="LBK11" s="41"/>
      <c r="LBL11" s="41"/>
      <c r="LBM11" s="41"/>
      <c r="LBN11" s="41"/>
      <c r="LBO11" s="41"/>
      <c r="LBP11" s="41"/>
      <c r="LBQ11" s="41"/>
      <c r="LBR11" s="41"/>
      <c r="LBS11" s="41"/>
      <c r="LBT11" s="41"/>
      <c r="LBU11" s="41"/>
      <c r="LBV11" s="41"/>
      <c r="LBW11" s="41"/>
      <c r="LBX11" s="41"/>
      <c r="LBY11" s="41"/>
      <c r="LBZ11" s="41"/>
      <c r="LCA11" s="41"/>
      <c r="LCB11" s="41"/>
      <c r="LCC11" s="41"/>
      <c r="LCD11" s="41"/>
      <c r="LCE11" s="41"/>
      <c r="LCF11" s="41"/>
      <c r="LCG11" s="41"/>
      <c r="LCH11" s="41"/>
      <c r="LCI11" s="41"/>
      <c r="LCJ11" s="41"/>
      <c r="LCK11" s="41"/>
      <c r="LCL11" s="41"/>
      <c r="LCM11" s="41"/>
      <c r="LCN11" s="41"/>
      <c r="LCO11" s="41"/>
      <c r="LCP11" s="41"/>
      <c r="LCQ11" s="41"/>
      <c r="LCR11" s="41"/>
      <c r="LCS11" s="41"/>
      <c r="LCT11" s="41"/>
      <c r="LCU11" s="41"/>
      <c r="LCV11" s="41"/>
      <c r="LCW11" s="41"/>
      <c r="LCX11" s="41"/>
      <c r="LCY11" s="41"/>
      <c r="LCZ11" s="41"/>
      <c r="LDA11" s="41"/>
      <c r="LDB11" s="41"/>
      <c r="LDC11" s="41"/>
      <c r="LDD11" s="41"/>
      <c r="LDE11" s="41"/>
      <c r="LDF11" s="41"/>
      <c r="LDG11" s="41"/>
      <c r="LDH11" s="41"/>
      <c r="LDI11" s="41"/>
      <c r="LDJ11" s="41"/>
      <c r="LDK11" s="41"/>
      <c r="LDL11" s="41"/>
      <c r="LDM11" s="41"/>
      <c r="LDN11" s="41"/>
      <c r="LDO11" s="41"/>
      <c r="LDP11" s="41"/>
      <c r="LDQ11" s="41"/>
      <c r="LDR11" s="41"/>
      <c r="LDS11" s="41"/>
      <c r="LDT11" s="41"/>
      <c r="LDU11" s="41"/>
      <c r="LDV11" s="41"/>
      <c r="LDW11" s="41"/>
      <c r="LDX11" s="41"/>
      <c r="LDY11" s="41"/>
      <c r="LDZ11" s="41"/>
      <c r="LEA11" s="41"/>
      <c r="LEB11" s="41"/>
      <c r="LEC11" s="41"/>
      <c r="LED11" s="41"/>
      <c r="LEE11" s="41"/>
      <c r="LEF11" s="41"/>
      <c r="LEG11" s="41"/>
      <c r="LEH11" s="41"/>
      <c r="LEI11" s="41"/>
      <c r="LEJ11" s="41"/>
      <c r="LEK11" s="41"/>
      <c r="LEL11" s="41"/>
      <c r="LEM11" s="41"/>
      <c r="LEN11" s="41"/>
      <c r="LEO11" s="41"/>
      <c r="LEP11" s="41"/>
      <c r="LEQ11" s="41"/>
      <c r="LER11" s="41"/>
      <c r="LES11" s="41"/>
      <c r="LET11" s="41"/>
      <c r="LEU11" s="41"/>
      <c r="LEV11" s="41"/>
      <c r="LEW11" s="41"/>
      <c r="LEX11" s="41"/>
      <c r="LEY11" s="41"/>
      <c r="LEZ11" s="41"/>
      <c r="LFA11" s="41"/>
      <c r="LFB11" s="41"/>
      <c r="LFC11" s="41"/>
      <c r="LFD11" s="41"/>
      <c r="LFE11" s="41"/>
      <c r="LFF11" s="41"/>
      <c r="LFG11" s="41"/>
      <c r="LFH11" s="41"/>
      <c r="LFI11" s="41"/>
      <c r="LFJ11" s="41"/>
      <c r="LFK11" s="41"/>
      <c r="LFL11" s="41"/>
      <c r="LFM11" s="41"/>
      <c r="LFN11" s="41"/>
      <c r="LFO11" s="41"/>
      <c r="LFP11" s="41"/>
      <c r="LFQ11" s="41"/>
      <c r="LFR11" s="41"/>
      <c r="LFS11" s="41"/>
      <c r="LFT11" s="41"/>
      <c r="LFU11" s="41"/>
      <c r="LFV11" s="41"/>
      <c r="LFW11" s="41"/>
      <c r="LFX11" s="41"/>
      <c r="LFY11" s="41"/>
      <c r="LFZ11" s="41"/>
      <c r="LGA11" s="41"/>
      <c r="LGB11" s="41"/>
      <c r="LGC11" s="41"/>
      <c r="LGD11" s="41"/>
      <c r="LGE11" s="41"/>
      <c r="LGF11" s="41"/>
      <c r="LGG11" s="41"/>
      <c r="LGH11" s="41"/>
      <c r="LGI11" s="41"/>
      <c r="LGJ11" s="41"/>
      <c r="LGK11" s="41"/>
      <c r="LGL11" s="41"/>
      <c r="LGM11" s="41"/>
      <c r="LGN11" s="41"/>
      <c r="LGO11" s="41"/>
      <c r="LGP11" s="41"/>
      <c r="LGQ11" s="41"/>
      <c r="LGR11" s="41"/>
      <c r="LGS11" s="41"/>
      <c r="LGT11" s="41"/>
      <c r="LGU11" s="41"/>
      <c r="LGV11" s="41"/>
      <c r="LGW11" s="41"/>
      <c r="LGX11" s="41"/>
      <c r="LGY11" s="41"/>
      <c r="LGZ11" s="41"/>
      <c r="LHA11" s="41"/>
      <c r="LHB11" s="41"/>
      <c r="LHC11" s="41"/>
      <c r="LHD11" s="41"/>
      <c r="LHE11" s="41"/>
      <c r="LHF11" s="41"/>
      <c r="LHG11" s="41"/>
      <c r="LHH11" s="41"/>
      <c r="LHI11" s="41"/>
      <c r="LHJ11" s="41"/>
      <c r="LHK11" s="41"/>
      <c r="LHL11" s="41"/>
      <c r="LHM11" s="41"/>
      <c r="LHN11" s="41"/>
      <c r="LHO11" s="41"/>
      <c r="LHP11" s="41"/>
      <c r="LHQ11" s="41"/>
      <c r="LHR11" s="41"/>
      <c r="LHS11" s="41"/>
      <c r="LHT11" s="41"/>
      <c r="LHU11" s="41"/>
      <c r="LHV11" s="41"/>
      <c r="LHW11" s="41"/>
      <c r="LHX11" s="41"/>
      <c r="LHY11" s="41"/>
      <c r="LHZ11" s="41"/>
      <c r="LIA11" s="41"/>
      <c r="LIB11" s="41"/>
      <c r="LIC11" s="41"/>
      <c r="LID11" s="41"/>
      <c r="LIE11" s="41"/>
      <c r="LIF11" s="41"/>
      <c r="LIG11" s="41"/>
      <c r="LIH11" s="41"/>
      <c r="LII11" s="41"/>
      <c r="LIJ11" s="41"/>
      <c r="LIK11" s="41"/>
      <c r="LIL11" s="41"/>
      <c r="LIM11" s="41"/>
      <c r="LIN11" s="41"/>
      <c r="LIO11" s="41"/>
      <c r="LIP11" s="41"/>
      <c r="LIQ11" s="41"/>
      <c r="LIR11" s="41"/>
      <c r="LIS11" s="41"/>
      <c r="LIT11" s="41"/>
      <c r="LIU11" s="41"/>
      <c r="LIV11" s="41"/>
      <c r="LIW11" s="41"/>
      <c r="LIX11" s="41"/>
      <c r="LIY11" s="41"/>
      <c r="LIZ11" s="41"/>
      <c r="LJA11" s="41"/>
      <c r="LJB11" s="41"/>
      <c r="LJC11" s="41"/>
      <c r="LJD11" s="41"/>
      <c r="LJE11" s="41"/>
      <c r="LJF11" s="41"/>
      <c r="LJG11" s="41"/>
      <c r="LJH11" s="41"/>
      <c r="LJI11" s="41"/>
      <c r="LJJ11" s="41"/>
      <c r="LJK11" s="41"/>
      <c r="LJL11" s="41"/>
      <c r="LJM11" s="41"/>
      <c r="LJN11" s="41"/>
      <c r="LJO11" s="41"/>
      <c r="LJP11" s="41"/>
      <c r="LJQ11" s="41"/>
      <c r="LJR11" s="41"/>
      <c r="LJS11" s="41"/>
      <c r="LJT11" s="41"/>
      <c r="LJU11" s="41"/>
      <c r="LJV11" s="41"/>
      <c r="LJW11" s="41"/>
      <c r="LJX11" s="41"/>
      <c r="LJY11" s="41"/>
      <c r="LJZ11" s="41"/>
      <c r="LKA11" s="41"/>
      <c r="LKB11" s="41"/>
      <c r="LKC11" s="41"/>
      <c r="LKD11" s="41"/>
      <c r="LKE11" s="41"/>
      <c r="LKF11" s="41"/>
      <c r="LKG11" s="41"/>
      <c r="LKH11" s="41"/>
      <c r="LKI11" s="41"/>
      <c r="LKJ11" s="41"/>
      <c r="LKK11" s="41"/>
      <c r="LKL11" s="41"/>
      <c r="LKM11" s="41"/>
      <c r="LKN11" s="41"/>
      <c r="LKO11" s="41"/>
      <c r="LKP11" s="41"/>
      <c r="LKQ11" s="41"/>
      <c r="LKR11" s="41"/>
      <c r="LKS11" s="41"/>
      <c r="LKT11" s="41"/>
      <c r="LKU11" s="41"/>
      <c r="LKV11" s="41"/>
      <c r="LKW11" s="41"/>
      <c r="LKX11" s="41"/>
      <c r="LKY11" s="41"/>
      <c r="LKZ11" s="41"/>
      <c r="LLA11" s="41"/>
      <c r="LLB11" s="41"/>
      <c r="LLC11" s="41"/>
      <c r="LLD11" s="41"/>
      <c r="LLE11" s="41"/>
      <c r="LLF11" s="41"/>
      <c r="LLG11" s="41"/>
      <c r="LLH11" s="41"/>
      <c r="LLI11" s="41"/>
      <c r="LLJ11" s="41"/>
      <c r="LLK11" s="41"/>
      <c r="LLL11" s="41"/>
      <c r="LLM11" s="41"/>
      <c r="LLN11" s="41"/>
      <c r="LLO11" s="41"/>
      <c r="LLP11" s="41"/>
      <c r="LLQ11" s="41"/>
      <c r="LLR11" s="41"/>
      <c r="LLS11" s="41"/>
      <c r="LLT11" s="41"/>
      <c r="LLU11" s="41"/>
      <c r="LLV11" s="41"/>
      <c r="LLW11" s="41"/>
      <c r="LLX11" s="41"/>
      <c r="LLY11" s="41"/>
      <c r="LLZ11" s="41"/>
      <c r="LMA11" s="41"/>
      <c r="LMB11" s="41"/>
      <c r="LMC11" s="41"/>
      <c r="LMD11" s="41"/>
      <c r="LME11" s="41"/>
      <c r="LMF11" s="41"/>
      <c r="LMG11" s="41"/>
      <c r="LMH11" s="41"/>
      <c r="LMI11" s="41"/>
      <c r="LMJ11" s="41"/>
      <c r="LMK11" s="41"/>
      <c r="LML11" s="41"/>
      <c r="LMM11" s="41"/>
      <c r="LMN11" s="41"/>
      <c r="LMO11" s="41"/>
      <c r="LMP11" s="41"/>
      <c r="LMQ11" s="41"/>
      <c r="LMR11" s="41"/>
      <c r="LMS11" s="41"/>
      <c r="LMT11" s="41"/>
      <c r="LMU11" s="41"/>
      <c r="LMV11" s="41"/>
      <c r="LMW11" s="41"/>
      <c r="LMX11" s="41"/>
      <c r="LMY11" s="41"/>
      <c r="LMZ11" s="41"/>
      <c r="LNA11" s="41"/>
      <c r="LNB11" s="41"/>
      <c r="LNC11" s="41"/>
      <c r="LND11" s="41"/>
      <c r="LNE11" s="41"/>
      <c r="LNF11" s="41"/>
      <c r="LNG11" s="41"/>
      <c r="LNH11" s="41"/>
      <c r="LNI11" s="41"/>
      <c r="LNJ11" s="41"/>
      <c r="LNK11" s="41"/>
      <c r="LNL11" s="41"/>
      <c r="LNM11" s="41"/>
      <c r="LNN11" s="41"/>
      <c r="LNO11" s="41"/>
      <c r="LNP11" s="41"/>
      <c r="LNQ11" s="41"/>
      <c r="LNR11" s="41"/>
      <c r="LNS11" s="41"/>
      <c r="LNT11" s="41"/>
      <c r="LNU11" s="41"/>
      <c r="LNV11" s="41"/>
      <c r="LNW11" s="41"/>
      <c r="LNX11" s="41"/>
      <c r="LNY11" s="41"/>
      <c r="LNZ11" s="41"/>
      <c r="LOA11" s="41"/>
      <c r="LOB11" s="41"/>
      <c r="LOC11" s="41"/>
      <c r="LOD11" s="41"/>
      <c r="LOE11" s="41"/>
      <c r="LOF11" s="41"/>
      <c r="LOG11" s="41"/>
      <c r="LOH11" s="41"/>
      <c r="LOI11" s="41"/>
      <c r="LOJ11" s="41"/>
      <c r="LOK11" s="41"/>
      <c r="LOL11" s="41"/>
      <c r="LOM11" s="41"/>
      <c r="LON11" s="41"/>
      <c r="LOO11" s="41"/>
      <c r="LOP11" s="41"/>
      <c r="LOQ11" s="41"/>
      <c r="LOR11" s="41"/>
      <c r="LOS11" s="41"/>
      <c r="LOT11" s="41"/>
      <c r="LOU11" s="41"/>
      <c r="LOV11" s="41"/>
      <c r="LOW11" s="41"/>
      <c r="LOX11" s="41"/>
      <c r="LOY11" s="41"/>
      <c r="LOZ11" s="41"/>
      <c r="LPA11" s="41"/>
      <c r="LPB11" s="41"/>
      <c r="LPC11" s="41"/>
      <c r="LPD11" s="41"/>
      <c r="LPE11" s="41"/>
      <c r="LPF11" s="41"/>
      <c r="LPG11" s="41"/>
      <c r="LPH11" s="41"/>
      <c r="LPI11" s="41"/>
      <c r="LPJ11" s="41"/>
      <c r="LPK11" s="41"/>
      <c r="LPL11" s="41"/>
      <c r="LPM11" s="41"/>
      <c r="LPN11" s="41"/>
      <c r="LPO11" s="41"/>
      <c r="LPP11" s="41"/>
      <c r="LPQ11" s="41"/>
      <c r="LPR11" s="41"/>
      <c r="LPS11" s="41"/>
      <c r="LPT11" s="41"/>
      <c r="LPU11" s="41"/>
      <c r="LPV11" s="41"/>
      <c r="LPW11" s="41"/>
      <c r="LPX11" s="41"/>
      <c r="LPY11" s="41"/>
      <c r="LPZ11" s="41"/>
      <c r="LQA11" s="41"/>
      <c r="LQB11" s="41"/>
      <c r="LQC11" s="41"/>
      <c r="LQD11" s="41"/>
      <c r="LQE11" s="41"/>
      <c r="LQF11" s="41"/>
      <c r="LQG11" s="41"/>
      <c r="LQH11" s="41"/>
      <c r="LQI11" s="41"/>
      <c r="LQJ11" s="41"/>
      <c r="LQK11" s="41"/>
      <c r="LQL11" s="41"/>
      <c r="LQM11" s="41"/>
      <c r="LQN11" s="41"/>
      <c r="LQO11" s="41"/>
      <c r="LQP11" s="41"/>
      <c r="LQQ11" s="41"/>
      <c r="LQR11" s="41"/>
      <c r="LQS11" s="41"/>
      <c r="LQT11" s="41"/>
      <c r="LQU11" s="41"/>
      <c r="LQV11" s="41"/>
      <c r="LQW11" s="41"/>
      <c r="LQX11" s="41"/>
      <c r="LQY11" s="41"/>
      <c r="LQZ11" s="41"/>
      <c r="LRA11" s="41"/>
      <c r="LRB11" s="41"/>
      <c r="LRC11" s="41"/>
      <c r="LRD11" s="41"/>
      <c r="LRE11" s="41"/>
      <c r="LRF11" s="41"/>
      <c r="LRG11" s="41"/>
      <c r="LRH11" s="41"/>
      <c r="LRI11" s="41"/>
      <c r="LRJ11" s="41"/>
      <c r="LRK11" s="41"/>
      <c r="LRL11" s="41"/>
      <c r="LRM11" s="41"/>
      <c r="LRN11" s="41"/>
      <c r="LRO11" s="41"/>
      <c r="LRP11" s="41"/>
      <c r="LRQ11" s="41"/>
      <c r="LRR11" s="41"/>
      <c r="LRS11" s="41"/>
      <c r="LRT11" s="41"/>
      <c r="LRU11" s="41"/>
      <c r="LRV11" s="41"/>
      <c r="LRW11" s="41"/>
      <c r="LRX11" s="41"/>
      <c r="LRY11" s="41"/>
      <c r="LRZ11" s="41"/>
      <c r="LSA11" s="41"/>
      <c r="LSB11" s="41"/>
      <c r="LSC11" s="41"/>
      <c r="LSD11" s="41"/>
      <c r="LSE11" s="41"/>
      <c r="LSF11" s="41"/>
      <c r="LSG11" s="41"/>
      <c r="LSH11" s="41"/>
      <c r="LSI11" s="41"/>
      <c r="LSJ11" s="41"/>
      <c r="LSK11" s="41"/>
      <c r="LSL11" s="41"/>
      <c r="LSM11" s="41"/>
      <c r="LSN11" s="41"/>
      <c r="LSO11" s="41"/>
      <c r="LSP11" s="41"/>
      <c r="LSQ11" s="41"/>
      <c r="LSR11" s="41"/>
      <c r="LSS11" s="41"/>
      <c r="LST11" s="41"/>
      <c r="LSU11" s="41"/>
      <c r="LSV11" s="41"/>
      <c r="LSW11" s="41"/>
      <c r="LSX11" s="41"/>
      <c r="LSY11" s="41"/>
      <c r="LSZ11" s="41"/>
      <c r="LTA11" s="41"/>
      <c r="LTB11" s="41"/>
      <c r="LTC11" s="41"/>
      <c r="LTD11" s="41"/>
      <c r="LTE11" s="41"/>
      <c r="LTF11" s="41"/>
      <c r="LTG11" s="41"/>
      <c r="LTH11" s="41"/>
      <c r="LTI11" s="41"/>
      <c r="LTJ11" s="41"/>
      <c r="LTK11" s="41"/>
      <c r="LTL11" s="41"/>
      <c r="LTM11" s="41"/>
      <c r="LTN11" s="41"/>
      <c r="LTO11" s="41"/>
      <c r="LTP11" s="41"/>
      <c r="LTQ11" s="41"/>
      <c r="LTR11" s="41"/>
      <c r="LTS11" s="41"/>
      <c r="LTT11" s="41"/>
      <c r="LTU11" s="41"/>
      <c r="LTV11" s="41"/>
      <c r="LTW11" s="41"/>
      <c r="LTX11" s="41"/>
      <c r="LTY11" s="41"/>
      <c r="LTZ11" s="41"/>
      <c r="LUA11" s="41"/>
      <c r="LUB11" s="41"/>
      <c r="LUC11" s="41"/>
      <c r="LUD11" s="41"/>
      <c r="LUE11" s="41"/>
      <c r="LUF11" s="41"/>
      <c r="LUG11" s="41"/>
      <c r="LUH11" s="41"/>
      <c r="LUI11" s="41"/>
      <c r="LUJ11" s="41"/>
      <c r="LUK11" s="41"/>
      <c r="LUL11" s="41"/>
      <c r="LUM11" s="41"/>
      <c r="LUN11" s="41"/>
      <c r="LUO11" s="41"/>
      <c r="LUP11" s="41"/>
      <c r="LUQ11" s="41"/>
      <c r="LUR11" s="41"/>
      <c r="LUS11" s="41"/>
      <c r="LUT11" s="41"/>
      <c r="LUU11" s="41"/>
      <c r="LUV11" s="41"/>
      <c r="LUW11" s="41"/>
      <c r="LUX11" s="41"/>
      <c r="LUY11" s="41"/>
      <c r="LUZ11" s="41"/>
      <c r="LVA11" s="41"/>
      <c r="LVB11" s="41"/>
      <c r="LVC11" s="41"/>
      <c r="LVD11" s="41"/>
      <c r="LVE11" s="41"/>
      <c r="LVF11" s="41"/>
      <c r="LVG11" s="41"/>
      <c r="LVH11" s="41"/>
      <c r="LVI11" s="41"/>
      <c r="LVJ11" s="41"/>
      <c r="LVK11" s="41"/>
      <c r="LVL11" s="41"/>
      <c r="LVM11" s="41"/>
      <c r="LVN11" s="41"/>
      <c r="LVO11" s="41"/>
      <c r="LVP11" s="41"/>
      <c r="LVQ11" s="41"/>
      <c r="LVR11" s="41"/>
      <c r="LVS11" s="41"/>
      <c r="LVT11" s="41"/>
      <c r="LVU11" s="41"/>
      <c r="LVV11" s="41"/>
      <c r="LVW11" s="41"/>
      <c r="LVX11" s="41"/>
      <c r="LVY11" s="41"/>
      <c r="LVZ11" s="41"/>
      <c r="LWA11" s="41"/>
      <c r="LWB11" s="41"/>
      <c r="LWC11" s="41"/>
      <c r="LWD11" s="41"/>
      <c r="LWE11" s="41"/>
      <c r="LWF11" s="41"/>
      <c r="LWG11" s="41"/>
      <c r="LWH11" s="41"/>
      <c r="LWI11" s="41"/>
      <c r="LWJ11" s="41"/>
      <c r="LWK11" s="41"/>
      <c r="LWL11" s="41"/>
      <c r="LWM11" s="41"/>
      <c r="LWN11" s="41"/>
      <c r="LWO11" s="41"/>
      <c r="LWP11" s="41"/>
      <c r="LWQ11" s="41"/>
      <c r="LWR11" s="41"/>
      <c r="LWS11" s="41"/>
      <c r="LWT11" s="41"/>
      <c r="LWU11" s="41"/>
      <c r="LWV11" s="41"/>
      <c r="LWW11" s="41"/>
      <c r="LWX11" s="41"/>
      <c r="LWY11" s="41"/>
      <c r="LWZ11" s="41"/>
      <c r="LXA11" s="41"/>
      <c r="LXB11" s="41"/>
      <c r="LXC11" s="41"/>
      <c r="LXD11" s="41"/>
      <c r="LXE11" s="41"/>
      <c r="LXF11" s="41"/>
      <c r="LXG11" s="41"/>
      <c r="LXH11" s="41"/>
      <c r="LXI11" s="41"/>
      <c r="LXJ11" s="41"/>
      <c r="LXK11" s="41"/>
      <c r="LXL11" s="41"/>
      <c r="LXM11" s="41"/>
      <c r="LXN11" s="41"/>
      <c r="LXO11" s="41"/>
      <c r="LXP11" s="41"/>
      <c r="LXQ11" s="41"/>
      <c r="LXR11" s="41"/>
      <c r="LXS11" s="41"/>
      <c r="LXT11" s="41"/>
      <c r="LXU11" s="41"/>
      <c r="LXV11" s="41"/>
      <c r="LXW11" s="41"/>
      <c r="LXX11" s="41"/>
      <c r="LXY11" s="41"/>
      <c r="LXZ11" s="41"/>
      <c r="LYA11" s="41"/>
      <c r="LYB11" s="41"/>
      <c r="LYC11" s="41"/>
      <c r="LYD11" s="41"/>
      <c r="LYE11" s="41"/>
      <c r="LYF11" s="41"/>
      <c r="LYG11" s="41"/>
      <c r="LYH11" s="41"/>
      <c r="LYI11" s="41"/>
      <c r="LYJ11" s="41"/>
      <c r="LYK11" s="41"/>
      <c r="LYL11" s="41"/>
      <c r="LYM11" s="41"/>
      <c r="LYN11" s="41"/>
      <c r="LYO11" s="41"/>
      <c r="LYP11" s="41"/>
      <c r="LYQ11" s="41"/>
      <c r="LYR11" s="41"/>
      <c r="LYS11" s="41"/>
      <c r="LYT11" s="41"/>
      <c r="LYU11" s="41"/>
      <c r="LYV11" s="41"/>
      <c r="LYW11" s="41"/>
      <c r="LYX11" s="41"/>
      <c r="LYY11" s="41"/>
      <c r="LYZ11" s="41"/>
      <c r="LZA11" s="41"/>
      <c r="LZB11" s="41"/>
      <c r="LZC11" s="41"/>
      <c r="LZD11" s="41"/>
      <c r="LZE11" s="41"/>
      <c r="LZF11" s="41"/>
      <c r="LZG11" s="41"/>
      <c r="LZH11" s="41"/>
      <c r="LZI11" s="41"/>
      <c r="LZJ11" s="41"/>
      <c r="LZK11" s="41"/>
      <c r="LZL11" s="41"/>
      <c r="LZM11" s="41"/>
      <c r="LZN11" s="41"/>
      <c r="LZO11" s="41"/>
      <c r="LZP11" s="41"/>
      <c r="LZQ11" s="41"/>
      <c r="LZR11" s="41"/>
      <c r="LZS11" s="41"/>
      <c r="LZT11" s="41"/>
      <c r="LZU11" s="41"/>
      <c r="LZV11" s="41"/>
      <c r="LZW11" s="41"/>
      <c r="LZX11" s="41"/>
      <c r="LZY11" s="41"/>
      <c r="LZZ11" s="41"/>
      <c r="MAA11" s="41"/>
      <c r="MAB11" s="41"/>
      <c r="MAC11" s="41"/>
      <c r="MAD11" s="41"/>
      <c r="MAE11" s="41"/>
      <c r="MAF11" s="41"/>
      <c r="MAG11" s="41"/>
      <c r="MAH11" s="41"/>
      <c r="MAI11" s="41"/>
      <c r="MAJ11" s="41"/>
      <c r="MAK11" s="41"/>
      <c r="MAL11" s="41"/>
      <c r="MAM11" s="41"/>
      <c r="MAN11" s="41"/>
      <c r="MAO11" s="41"/>
      <c r="MAP11" s="41"/>
      <c r="MAQ11" s="41"/>
      <c r="MAR11" s="41"/>
      <c r="MAS11" s="41"/>
      <c r="MAT11" s="41"/>
      <c r="MAU11" s="41"/>
      <c r="MAV11" s="41"/>
      <c r="MAW11" s="41"/>
      <c r="MAX11" s="41"/>
      <c r="MAY11" s="41"/>
      <c r="MAZ11" s="41"/>
      <c r="MBA11" s="41"/>
      <c r="MBB11" s="41"/>
      <c r="MBC11" s="41"/>
      <c r="MBD11" s="41"/>
      <c r="MBE11" s="41"/>
      <c r="MBF11" s="41"/>
      <c r="MBG11" s="41"/>
      <c r="MBH11" s="41"/>
      <c r="MBI11" s="41"/>
      <c r="MBJ11" s="41"/>
      <c r="MBK11" s="41"/>
      <c r="MBL11" s="41"/>
      <c r="MBM11" s="41"/>
      <c r="MBN11" s="41"/>
      <c r="MBO11" s="41"/>
      <c r="MBP11" s="41"/>
      <c r="MBQ11" s="41"/>
      <c r="MBR11" s="41"/>
      <c r="MBS11" s="41"/>
      <c r="MBT11" s="41"/>
      <c r="MBU11" s="41"/>
      <c r="MBV11" s="41"/>
      <c r="MBW11" s="41"/>
      <c r="MBX11" s="41"/>
      <c r="MBY11" s="41"/>
      <c r="MBZ11" s="41"/>
      <c r="MCA11" s="41"/>
      <c r="MCB11" s="41"/>
      <c r="MCC11" s="41"/>
      <c r="MCD11" s="41"/>
      <c r="MCE11" s="41"/>
      <c r="MCF11" s="41"/>
      <c r="MCG11" s="41"/>
      <c r="MCH11" s="41"/>
      <c r="MCI11" s="41"/>
      <c r="MCJ11" s="41"/>
      <c r="MCK11" s="41"/>
      <c r="MCL11" s="41"/>
      <c r="MCM11" s="41"/>
      <c r="MCN11" s="41"/>
      <c r="MCO11" s="41"/>
      <c r="MCP11" s="41"/>
      <c r="MCQ11" s="41"/>
      <c r="MCR11" s="41"/>
      <c r="MCS11" s="41"/>
      <c r="MCT11" s="41"/>
      <c r="MCU11" s="41"/>
      <c r="MCV11" s="41"/>
      <c r="MCW11" s="41"/>
      <c r="MCX11" s="41"/>
      <c r="MCY11" s="41"/>
      <c r="MCZ11" s="41"/>
      <c r="MDA11" s="41"/>
      <c r="MDB11" s="41"/>
      <c r="MDC11" s="41"/>
      <c r="MDD11" s="41"/>
      <c r="MDE11" s="41"/>
      <c r="MDF11" s="41"/>
      <c r="MDG11" s="41"/>
      <c r="MDH11" s="41"/>
      <c r="MDI11" s="41"/>
      <c r="MDJ11" s="41"/>
      <c r="MDK11" s="41"/>
      <c r="MDL11" s="41"/>
      <c r="MDM11" s="41"/>
      <c r="MDN11" s="41"/>
      <c r="MDO11" s="41"/>
      <c r="MDP11" s="41"/>
      <c r="MDQ11" s="41"/>
      <c r="MDR11" s="41"/>
      <c r="MDS11" s="41"/>
      <c r="MDT11" s="41"/>
      <c r="MDU11" s="41"/>
      <c r="MDV11" s="41"/>
      <c r="MDW11" s="41"/>
      <c r="MDX11" s="41"/>
      <c r="MDY11" s="41"/>
      <c r="MDZ11" s="41"/>
      <c r="MEA11" s="41"/>
      <c r="MEB11" s="41"/>
      <c r="MEC11" s="41"/>
      <c r="MED11" s="41"/>
      <c r="MEE11" s="41"/>
      <c r="MEF11" s="41"/>
      <c r="MEG11" s="41"/>
      <c r="MEH11" s="41"/>
      <c r="MEI11" s="41"/>
      <c r="MEJ11" s="41"/>
      <c r="MEK11" s="41"/>
      <c r="MEL11" s="41"/>
      <c r="MEM11" s="41"/>
      <c r="MEN11" s="41"/>
      <c r="MEO11" s="41"/>
      <c r="MEP11" s="41"/>
      <c r="MEQ11" s="41"/>
      <c r="MER11" s="41"/>
      <c r="MES11" s="41"/>
      <c r="MET11" s="41"/>
      <c r="MEU11" s="41"/>
      <c r="MEV11" s="41"/>
      <c r="MEW11" s="41"/>
      <c r="MEX11" s="41"/>
      <c r="MEY11" s="41"/>
      <c r="MEZ11" s="41"/>
      <c r="MFA11" s="41"/>
      <c r="MFB11" s="41"/>
      <c r="MFC11" s="41"/>
      <c r="MFD11" s="41"/>
      <c r="MFE11" s="41"/>
      <c r="MFF11" s="41"/>
      <c r="MFG11" s="41"/>
      <c r="MFH11" s="41"/>
      <c r="MFI11" s="41"/>
      <c r="MFJ11" s="41"/>
      <c r="MFK11" s="41"/>
      <c r="MFL11" s="41"/>
      <c r="MFM11" s="41"/>
      <c r="MFN11" s="41"/>
      <c r="MFO11" s="41"/>
      <c r="MFP11" s="41"/>
      <c r="MFQ11" s="41"/>
      <c r="MFR11" s="41"/>
      <c r="MFS11" s="41"/>
      <c r="MFT11" s="41"/>
      <c r="MFU11" s="41"/>
      <c r="MFV11" s="41"/>
      <c r="MFW11" s="41"/>
      <c r="MFX11" s="41"/>
      <c r="MFY11" s="41"/>
      <c r="MFZ11" s="41"/>
      <c r="MGA11" s="41"/>
      <c r="MGB11" s="41"/>
      <c r="MGC11" s="41"/>
      <c r="MGD11" s="41"/>
      <c r="MGE11" s="41"/>
      <c r="MGF11" s="41"/>
      <c r="MGG11" s="41"/>
      <c r="MGH11" s="41"/>
      <c r="MGI11" s="41"/>
      <c r="MGJ11" s="41"/>
      <c r="MGK11" s="41"/>
      <c r="MGL11" s="41"/>
      <c r="MGM11" s="41"/>
      <c r="MGN11" s="41"/>
      <c r="MGO11" s="41"/>
      <c r="MGP11" s="41"/>
      <c r="MGQ11" s="41"/>
      <c r="MGR11" s="41"/>
      <c r="MGS11" s="41"/>
      <c r="MGT11" s="41"/>
      <c r="MGU11" s="41"/>
      <c r="MGV11" s="41"/>
      <c r="MGW11" s="41"/>
      <c r="MGX11" s="41"/>
      <c r="MGY11" s="41"/>
      <c r="MGZ11" s="41"/>
      <c r="MHA11" s="41"/>
      <c r="MHB11" s="41"/>
      <c r="MHC11" s="41"/>
      <c r="MHD11" s="41"/>
      <c r="MHE11" s="41"/>
      <c r="MHF11" s="41"/>
      <c r="MHG11" s="41"/>
      <c r="MHH11" s="41"/>
      <c r="MHI11" s="41"/>
      <c r="MHJ11" s="41"/>
      <c r="MHK11" s="41"/>
      <c r="MHL11" s="41"/>
      <c r="MHM11" s="41"/>
      <c r="MHN11" s="41"/>
      <c r="MHO11" s="41"/>
      <c r="MHP11" s="41"/>
      <c r="MHQ11" s="41"/>
      <c r="MHR11" s="41"/>
      <c r="MHS11" s="41"/>
      <c r="MHT11" s="41"/>
      <c r="MHU11" s="41"/>
      <c r="MHV11" s="41"/>
      <c r="MHW11" s="41"/>
      <c r="MHX11" s="41"/>
      <c r="MHY11" s="41"/>
      <c r="MHZ11" s="41"/>
      <c r="MIA11" s="41"/>
      <c r="MIB11" s="41"/>
      <c r="MIC11" s="41"/>
      <c r="MID11" s="41"/>
      <c r="MIE11" s="41"/>
      <c r="MIF11" s="41"/>
      <c r="MIG11" s="41"/>
      <c r="MIH11" s="41"/>
      <c r="MII11" s="41"/>
      <c r="MIJ11" s="41"/>
      <c r="MIK11" s="41"/>
      <c r="MIL11" s="41"/>
      <c r="MIM11" s="41"/>
      <c r="MIN11" s="41"/>
      <c r="MIO11" s="41"/>
      <c r="MIP11" s="41"/>
      <c r="MIQ11" s="41"/>
      <c r="MIR11" s="41"/>
      <c r="MIS11" s="41"/>
      <c r="MIT11" s="41"/>
      <c r="MIU11" s="41"/>
      <c r="MIV11" s="41"/>
      <c r="MIW11" s="41"/>
      <c r="MIX11" s="41"/>
      <c r="MIY11" s="41"/>
      <c r="MIZ11" s="41"/>
      <c r="MJA11" s="41"/>
      <c r="MJB11" s="41"/>
      <c r="MJC11" s="41"/>
      <c r="MJD11" s="41"/>
      <c r="MJE11" s="41"/>
      <c r="MJF11" s="41"/>
      <c r="MJG11" s="41"/>
      <c r="MJH11" s="41"/>
      <c r="MJI11" s="41"/>
      <c r="MJJ11" s="41"/>
      <c r="MJK11" s="41"/>
      <c r="MJL11" s="41"/>
      <c r="MJM11" s="41"/>
      <c r="MJN11" s="41"/>
      <c r="MJO11" s="41"/>
      <c r="MJP11" s="41"/>
      <c r="MJQ11" s="41"/>
      <c r="MJR11" s="41"/>
      <c r="MJS11" s="41"/>
      <c r="MJT11" s="41"/>
      <c r="MJU11" s="41"/>
      <c r="MJV11" s="41"/>
      <c r="MJW11" s="41"/>
      <c r="MJX11" s="41"/>
      <c r="MJY11" s="41"/>
      <c r="MJZ11" s="41"/>
      <c r="MKA11" s="41"/>
      <c r="MKB11" s="41"/>
      <c r="MKC11" s="41"/>
      <c r="MKD11" s="41"/>
      <c r="MKE11" s="41"/>
      <c r="MKF11" s="41"/>
      <c r="MKG11" s="41"/>
      <c r="MKH11" s="41"/>
      <c r="MKI11" s="41"/>
      <c r="MKJ11" s="41"/>
      <c r="MKK11" s="41"/>
      <c r="MKL11" s="41"/>
      <c r="MKM11" s="41"/>
      <c r="MKN11" s="41"/>
      <c r="MKO11" s="41"/>
      <c r="MKP11" s="41"/>
      <c r="MKQ11" s="41"/>
      <c r="MKR11" s="41"/>
      <c r="MKS11" s="41"/>
      <c r="MKT11" s="41"/>
      <c r="MKU11" s="41"/>
      <c r="MKV11" s="41"/>
      <c r="MKW11" s="41"/>
      <c r="MKX11" s="41"/>
      <c r="MKY11" s="41"/>
      <c r="MKZ11" s="41"/>
      <c r="MLA11" s="41"/>
      <c r="MLB11" s="41"/>
      <c r="MLC11" s="41"/>
      <c r="MLD11" s="41"/>
      <c r="MLE11" s="41"/>
      <c r="MLF11" s="41"/>
      <c r="MLG11" s="41"/>
      <c r="MLH11" s="41"/>
      <c r="MLI11" s="41"/>
      <c r="MLJ11" s="41"/>
      <c r="MLK11" s="41"/>
      <c r="MLL11" s="41"/>
      <c r="MLM11" s="41"/>
      <c r="MLN11" s="41"/>
      <c r="MLO11" s="41"/>
      <c r="MLP11" s="41"/>
      <c r="MLQ11" s="41"/>
      <c r="MLR11" s="41"/>
      <c r="MLS11" s="41"/>
      <c r="MLT11" s="41"/>
      <c r="MLU11" s="41"/>
      <c r="MLV11" s="41"/>
      <c r="MLW11" s="41"/>
      <c r="MLX11" s="41"/>
      <c r="MLY11" s="41"/>
      <c r="MLZ11" s="41"/>
      <c r="MMA11" s="41"/>
      <c r="MMB11" s="41"/>
      <c r="MMC11" s="41"/>
      <c r="MMD11" s="41"/>
      <c r="MME11" s="41"/>
      <c r="MMF11" s="41"/>
      <c r="MMG11" s="41"/>
      <c r="MMH11" s="41"/>
      <c r="MMI11" s="41"/>
      <c r="MMJ11" s="41"/>
      <c r="MMK11" s="41"/>
      <c r="MML11" s="41"/>
      <c r="MMM11" s="41"/>
      <c r="MMN11" s="41"/>
      <c r="MMO11" s="41"/>
      <c r="MMP11" s="41"/>
      <c r="MMQ11" s="41"/>
      <c r="MMR11" s="41"/>
      <c r="MMS11" s="41"/>
      <c r="MMT11" s="41"/>
      <c r="MMU11" s="41"/>
      <c r="MMV11" s="41"/>
      <c r="MMW11" s="41"/>
      <c r="MMX11" s="41"/>
      <c r="MMY11" s="41"/>
      <c r="MMZ11" s="41"/>
      <c r="MNA11" s="41"/>
      <c r="MNB11" s="41"/>
      <c r="MNC11" s="41"/>
      <c r="MND11" s="41"/>
      <c r="MNE11" s="41"/>
      <c r="MNF11" s="41"/>
      <c r="MNG11" s="41"/>
      <c r="MNH11" s="41"/>
      <c r="MNI11" s="41"/>
      <c r="MNJ11" s="41"/>
      <c r="MNK11" s="41"/>
      <c r="MNL11" s="41"/>
      <c r="MNM11" s="41"/>
      <c r="MNN11" s="41"/>
      <c r="MNO11" s="41"/>
      <c r="MNP11" s="41"/>
      <c r="MNQ11" s="41"/>
      <c r="MNR11" s="41"/>
      <c r="MNS11" s="41"/>
      <c r="MNT11" s="41"/>
      <c r="MNU11" s="41"/>
      <c r="MNV11" s="41"/>
      <c r="MNW11" s="41"/>
      <c r="MNX11" s="41"/>
      <c r="MNY11" s="41"/>
      <c r="MNZ11" s="41"/>
      <c r="MOA11" s="41"/>
      <c r="MOB11" s="41"/>
      <c r="MOC11" s="41"/>
      <c r="MOD11" s="41"/>
      <c r="MOE11" s="41"/>
      <c r="MOF11" s="41"/>
      <c r="MOG11" s="41"/>
      <c r="MOH11" s="41"/>
      <c r="MOI11" s="41"/>
      <c r="MOJ11" s="41"/>
      <c r="MOK11" s="41"/>
      <c r="MOL11" s="41"/>
      <c r="MOM11" s="41"/>
      <c r="MON11" s="41"/>
      <c r="MOO11" s="41"/>
      <c r="MOP11" s="41"/>
      <c r="MOQ11" s="41"/>
      <c r="MOR11" s="41"/>
      <c r="MOS11" s="41"/>
      <c r="MOT11" s="41"/>
      <c r="MOU11" s="41"/>
      <c r="MOV11" s="41"/>
      <c r="MOW11" s="41"/>
      <c r="MOX11" s="41"/>
      <c r="MOY11" s="41"/>
      <c r="MOZ11" s="41"/>
      <c r="MPA11" s="41"/>
      <c r="MPB11" s="41"/>
      <c r="MPC11" s="41"/>
      <c r="MPD11" s="41"/>
      <c r="MPE11" s="41"/>
      <c r="MPF11" s="41"/>
      <c r="MPG11" s="41"/>
      <c r="MPH11" s="41"/>
      <c r="MPI11" s="41"/>
      <c r="MPJ11" s="41"/>
      <c r="MPK11" s="41"/>
      <c r="MPL11" s="41"/>
      <c r="MPM11" s="41"/>
      <c r="MPN11" s="41"/>
      <c r="MPO11" s="41"/>
      <c r="MPP11" s="41"/>
      <c r="MPQ11" s="41"/>
      <c r="MPR11" s="41"/>
      <c r="MPS11" s="41"/>
      <c r="MPT11" s="41"/>
      <c r="MPU11" s="41"/>
      <c r="MPV11" s="41"/>
      <c r="MPW11" s="41"/>
      <c r="MPX11" s="41"/>
      <c r="MPY11" s="41"/>
      <c r="MPZ11" s="41"/>
      <c r="MQA11" s="41"/>
      <c r="MQB11" s="41"/>
      <c r="MQC11" s="41"/>
      <c r="MQD11" s="41"/>
      <c r="MQE11" s="41"/>
      <c r="MQF11" s="41"/>
      <c r="MQG11" s="41"/>
      <c r="MQH11" s="41"/>
      <c r="MQI11" s="41"/>
      <c r="MQJ11" s="41"/>
      <c r="MQK11" s="41"/>
      <c r="MQL11" s="41"/>
      <c r="MQM11" s="41"/>
      <c r="MQN11" s="41"/>
      <c r="MQO11" s="41"/>
      <c r="MQP11" s="41"/>
      <c r="MQQ11" s="41"/>
      <c r="MQR11" s="41"/>
      <c r="MQS11" s="41"/>
      <c r="MQT11" s="41"/>
      <c r="MQU11" s="41"/>
      <c r="MQV11" s="41"/>
      <c r="MQW11" s="41"/>
      <c r="MQX11" s="41"/>
      <c r="MQY11" s="41"/>
      <c r="MQZ11" s="41"/>
      <c r="MRA11" s="41"/>
      <c r="MRB11" s="41"/>
      <c r="MRC11" s="41"/>
      <c r="MRD11" s="41"/>
      <c r="MRE11" s="41"/>
      <c r="MRF11" s="41"/>
      <c r="MRG11" s="41"/>
      <c r="MRH11" s="41"/>
      <c r="MRI11" s="41"/>
      <c r="MRJ11" s="41"/>
      <c r="MRK11" s="41"/>
      <c r="MRL11" s="41"/>
      <c r="MRM11" s="41"/>
      <c r="MRN11" s="41"/>
      <c r="MRO11" s="41"/>
      <c r="MRP11" s="41"/>
      <c r="MRQ11" s="41"/>
      <c r="MRR11" s="41"/>
      <c r="MRS11" s="41"/>
      <c r="MRT11" s="41"/>
      <c r="MRU11" s="41"/>
      <c r="MRV11" s="41"/>
      <c r="MRW11" s="41"/>
      <c r="MRX11" s="41"/>
      <c r="MRY11" s="41"/>
      <c r="MRZ11" s="41"/>
      <c r="MSA11" s="41"/>
      <c r="MSB11" s="41"/>
      <c r="MSC11" s="41"/>
      <c r="MSD11" s="41"/>
      <c r="MSE11" s="41"/>
      <c r="MSF11" s="41"/>
      <c r="MSG11" s="41"/>
      <c r="MSH11" s="41"/>
      <c r="MSI11" s="41"/>
      <c r="MSJ11" s="41"/>
      <c r="MSK11" s="41"/>
      <c r="MSL11" s="41"/>
      <c r="MSM11" s="41"/>
      <c r="MSN11" s="41"/>
      <c r="MSO11" s="41"/>
      <c r="MSP11" s="41"/>
      <c r="MSQ11" s="41"/>
      <c r="MSR11" s="41"/>
      <c r="MSS11" s="41"/>
      <c r="MST11" s="41"/>
      <c r="MSU11" s="41"/>
      <c r="MSV11" s="41"/>
      <c r="MSW11" s="41"/>
      <c r="MSX11" s="41"/>
      <c r="MSY11" s="41"/>
      <c r="MSZ11" s="41"/>
      <c r="MTA11" s="41"/>
      <c r="MTB11" s="41"/>
      <c r="MTC11" s="41"/>
      <c r="MTD11" s="41"/>
      <c r="MTE11" s="41"/>
      <c r="MTF11" s="41"/>
      <c r="MTG11" s="41"/>
      <c r="MTH11" s="41"/>
      <c r="MTI11" s="41"/>
      <c r="MTJ11" s="41"/>
      <c r="MTK11" s="41"/>
      <c r="MTL11" s="41"/>
      <c r="MTM11" s="41"/>
      <c r="MTN11" s="41"/>
      <c r="MTO11" s="41"/>
      <c r="MTP11" s="41"/>
      <c r="MTQ11" s="41"/>
      <c r="MTR11" s="41"/>
      <c r="MTS11" s="41"/>
      <c r="MTT11" s="41"/>
      <c r="MTU11" s="41"/>
      <c r="MTV11" s="41"/>
      <c r="MTW11" s="41"/>
      <c r="MTX11" s="41"/>
      <c r="MTY11" s="41"/>
      <c r="MTZ11" s="41"/>
      <c r="MUA11" s="41"/>
      <c r="MUB11" s="41"/>
      <c r="MUC11" s="41"/>
      <c r="MUD11" s="41"/>
      <c r="MUE11" s="41"/>
      <c r="MUF11" s="41"/>
      <c r="MUG11" s="41"/>
      <c r="MUH11" s="41"/>
      <c r="MUI11" s="41"/>
      <c r="MUJ11" s="41"/>
      <c r="MUK11" s="41"/>
      <c r="MUL11" s="41"/>
      <c r="MUM11" s="41"/>
      <c r="MUN11" s="41"/>
      <c r="MUO11" s="41"/>
      <c r="MUP11" s="41"/>
      <c r="MUQ11" s="41"/>
      <c r="MUR11" s="41"/>
      <c r="MUS11" s="41"/>
      <c r="MUT11" s="41"/>
      <c r="MUU11" s="41"/>
      <c r="MUV11" s="41"/>
      <c r="MUW11" s="41"/>
      <c r="MUX11" s="41"/>
      <c r="MUY11" s="41"/>
      <c r="MUZ11" s="41"/>
      <c r="MVA11" s="41"/>
      <c r="MVB11" s="41"/>
      <c r="MVC11" s="41"/>
      <c r="MVD11" s="41"/>
      <c r="MVE11" s="41"/>
      <c r="MVF11" s="41"/>
      <c r="MVG11" s="41"/>
      <c r="MVH11" s="41"/>
      <c r="MVI11" s="41"/>
      <c r="MVJ11" s="41"/>
      <c r="MVK11" s="41"/>
      <c r="MVL11" s="41"/>
      <c r="MVM11" s="41"/>
      <c r="MVN11" s="41"/>
      <c r="MVO11" s="41"/>
      <c r="MVP11" s="41"/>
      <c r="MVQ11" s="41"/>
      <c r="MVR11" s="41"/>
      <c r="MVS11" s="41"/>
      <c r="MVT11" s="41"/>
      <c r="MVU11" s="41"/>
      <c r="MVV11" s="41"/>
      <c r="MVW11" s="41"/>
      <c r="MVX11" s="41"/>
      <c r="MVY11" s="41"/>
      <c r="MVZ11" s="41"/>
      <c r="MWA11" s="41"/>
      <c r="MWB11" s="41"/>
      <c r="MWC11" s="41"/>
      <c r="MWD11" s="41"/>
      <c r="MWE11" s="41"/>
      <c r="MWF11" s="41"/>
      <c r="MWG11" s="41"/>
      <c r="MWH11" s="41"/>
      <c r="MWI11" s="41"/>
      <c r="MWJ11" s="41"/>
      <c r="MWK11" s="41"/>
      <c r="MWL11" s="41"/>
      <c r="MWM11" s="41"/>
      <c r="MWN11" s="41"/>
      <c r="MWO11" s="41"/>
      <c r="MWP11" s="41"/>
      <c r="MWQ11" s="41"/>
      <c r="MWR11" s="41"/>
      <c r="MWS11" s="41"/>
      <c r="MWT11" s="41"/>
      <c r="MWU11" s="41"/>
      <c r="MWV11" s="41"/>
      <c r="MWW11" s="41"/>
      <c r="MWX11" s="41"/>
      <c r="MWY11" s="41"/>
      <c r="MWZ11" s="41"/>
      <c r="MXA11" s="41"/>
      <c r="MXB11" s="41"/>
      <c r="MXC11" s="41"/>
      <c r="MXD11" s="41"/>
      <c r="MXE11" s="41"/>
      <c r="MXF11" s="41"/>
      <c r="MXG11" s="41"/>
      <c r="MXH11" s="41"/>
      <c r="MXI11" s="41"/>
      <c r="MXJ11" s="41"/>
      <c r="MXK11" s="41"/>
      <c r="MXL11" s="41"/>
      <c r="MXM11" s="41"/>
      <c r="MXN11" s="41"/>
      <c r="MXO11" s="41"/>
      <c r="MXP11" s="41"/>
      <c r="MXQ11" s="41"/>
      <c r="MXR11" s="41"/>
      <c r="MXS11" s="41"/>
      <c r="MXT11" s="41"/>
      <c r="MXU11" s="41"/>
      <c r="MXV11" s="41"/>
      <c r="MXW11" s="41"/>
      <c r="MXX11" s="41"/>
      <c r="MXY11" s="41"/>
      <c r="MXZ11" s="41"/>
      <c r="MYA11" s="41"/>
      <c r="MYB11" s="41"/>
      <c r="MYC11" s="41"/>
      <c r="MYD11" s="41"/>
      <c r="MYE11" s="41"/>
      <c r="MYF11" s="41"/>
      <c r="MYG11" s="41"/>
      <c r="MYH11" s="41"/>
      <c r="MYI11" s="41"/>
      <c r="MYJ11" s="41"/>
      <c r="MYK11" s="41"/>
      <c r="MYL11" s="41"/>
      <c r="MYM11" s="41"/>
      <c r="MYN11" s="41"/>
      <c r="MYO11" s="41"/>
      <c r="MYP11" s="41"/>
      <c r="MYQ11" s="41"/>
      <c r="MYR11" s="41"/>
      <c r="MYS11" s="41"/>
      <c r="MYT11" s="41"/>
      <c r="MYU11" s="41"/>
      <c r="MYV11" s="41"/>
      <c r="MYW11" s="41"/>
      <c r="MYX11" s="41"/>
      <c r="MYY11" s="41"/>
      <c r="MYZ11" s="41"/>
      <c r="MZA11" s="41"/>
      <c r="MZB11" s="41"/>
      <c r="MZC11" s="41"/>
      <c r="MZD11" s="41"/>
      <c r="MZE11" s="41"/>
      <c r="MZF11" s="41"/>
      <c r="MZG11" s="41"/>
      <c r="MZH11" s="41"/>
      <c r="MZI11" s="41"/>
      <c r="MZJ11" s="41"/>
      <c r="MZK11" s="41"/>
      <c r="MZL11" s="41"/>
      <c r="MZM11" s="41"/>
      <c r="MZN11" s="41"/>
      <c r="MZO11" s="41"/>
      <c r="MZP11" s="41"/>
      <c r="MZQ11" s="41"/>
      <c r="MZR11" s="41"/>
      <c r="MZS11" s="41"/>
      <c r="MZT11" s="41"/>
      <c r="MZU11" s="41"/>
      <c r="MZV11" s="41"/>
      <c r="MZW11" s="41"/>
      <c r="MZX11" s="41"/>
      <c r="MZY11" s="41"/>
      <c r="MZZ11" s="41"/>
      <c r="NAA11" s="41"/>
      <c r="NAB11" s="41"/>
      <c r="NAC11" s="41"/>
      <c r="NAD11" s="41"/>
      <c r="NAE11" s="41"/>
      <c r="NAF11" s="41"/>
      <c r="NAG11" s="41"/>
      <c r="NAH11" s="41"/>
      <c r="NAI11" s="41"/>
      <c r="NAJ11" s="41"/>
      <c r="NAK11" s="41"/>
      <c r="NAL11" s="41"/>
      <c r="NAM11" s="41"/>
      <c r="NAN11" s="41"/>
      <c r="NAO11" s="41"/>
      <c r="NAP11" s="41"/>
      <c r="NAQ11" s="41"/>
      <c r="NAR11" s="41"/>
      <c r="NAS11" s="41"/>
      <c r="NAT11" s="41"/>
      <c r="NAU11" s="41"/>
      <c r="NAV11" s="41"/>
      <c r="NAW11" s="41"/>
      <c r="NAX11" s="41"/>
      <c r="NAY11" s="41"/>
      <c r="NAZ11" s="41"/>
      <c r="NBA11" s="41"/>
      <c r="NBB11" s="41"/>
      <c r="NBC11" s="41"/>
      <c r="NBD11" s="41"/>
      <c r="NBE11" s="41"/>
      <c r="NBF11" s="41"/>
      <c r="NBG11" s="41"/>
      <c r="NBH11" s="41"/>
      <c r="NBI11" s="41"/>
      <c r="NBJ11" s="41"/>
      <c r="NBK11" s="41"/>
      <c r="NBL11" s="41"/>
      <c r="NBM11" s="41"/>
      <c r="NBN11" s="41"/>
      <c r="NBO11" s="41"/>
      <c r="NBP11" s="41"/>
      <c r="NBQ11" s="41"/>
      <c r="NBR11" s="41"/>
      <c r="NBS11" s="41"/>
      <c r="NBT11" s="41"/>
      <c r="NBU11" s="41"/>
      <c r="NBV11" s="41"/>
      <c r="NBW11" s="41"/>
      <c r="NBX11" s="41"/>
      <c r="NBY11" s="41"/>
      <c r="NBZ11" s="41"/>
      <c r="NCA11" s="41"/>
      <c r="NCB11" s="41"/>
      <c r="NCC11" s="41"/>
      <c r="NCD11" s="41"/>
      <c r="NCE11" s="41"/>
      <c r="NCF11" s="41"/>
      <c r="NCG11" s="41"/>
      <c r="NCH11" s="41"/>
      <c r="NCI11" s="41"/>
      <c r="NCJ11" s="41"/>
      <c r="NCK11" s="41"/>
      <c r="NCL11" s="41"/>
      <c r="NCM11" s="41"/>
      <c r="NCN11" s="41"/>
      <c r="NCO11" s="41"/>
      <c r="NCP11" s="41"/>
      <c r="NCQ11" s="41"/>
      <c r="NCR11" s="41"/>
      <c r="NCS11" s="41"/>
      <c r="NCT11" s="41"/>
      <c r="NCU11" s="41"/>
      <c r="NCV11" s="41"/>
      <c r="NCW11" s="41"/>
      <c r="NCX11" s="41"/>
      <c r="NCY11" s="41"/>
      <c r="NCZ11" s="41"/>
      <c r="NDA11" s="41"/>
      <c r="NDB11" s="41"/>
      <c r="NDC11" s="41"/>
      <c r="NDD11" s="41"/>
      <c r="NDE11" s="41"/>
      <c r="NDF11" s="41"/>
      <c r="NDG11" s="41"/>
      <c r="NDH11" s="41"/>
      <c r="NDI11" s="41"/>
      <c r="NDJ11" s="41"/>
      <c r="NDK11" s="41"/>
      <c r="NDL11" s="41"/>
      <c r="NDM11" s="41"/>
      <c r="NDN11" s="41"/>
      <c r="NDO11" s="41"/>
      <c r="NDP11" s="41"/>
      <c r="NDQ11" s="41"/>
      <c r="NDR11" s="41"/>
      <c r="NDS11" s="41"/>
      <c r="NDT11" s="41"/>
      <c r="NDU11" s="41"/>
      <c r="NDV11" s="41"/>
      <c r="NDW11" s="41"/>
      <c r="NDX11" s="41"/>
      <c r="NDY11" s="41"/>
      <c r="NDZ11" s="41"/>
      <c r="NEA11" s="41"/>
      <c r="NEB11" s="41"/>
      <c r="NEC11" s="41"/>
      <c r="NED11" s="41"/>
      <c r="NEE11" s="41"/>
      <c r="NEF11" s="41"/>
      <c r="NEG11" s="41"/>
      <c r="NEH11" s="41"/>
      <c r="NEI11" s="41"/>
      <c r="NEJ11" s="41"/>
      <c r="NEK11" s="41"/>
      <c r="NEL11" s="41"/>
      <c r="NEM11" s="41"/>
      <c r="NEN11" s="41"/>
      <c r="NEO11" s="41"/>
      <c r="NEP11" s="41"/>
      <c r="NEQ11" s="41"/>
      <c r="NER11" s="41"/>
      <c r="NES11" s="41"/>
      <c r="NET11" s="41"/>
      <c r="NEU11" s="41"/>
      <c r="NEV11" s="41"/>
      <c r="NEW11" s="41"/>
      <c r="NEX11" s="41"/>
      <c r="NEY11" s="41"/>
      <c r="NEZ11" s="41"/>
      <c r="NFA11" s="41"/>
      <c r="NFB11" s="41"/>
      <c r="NFC11" s="41"/>
      <c r="NFD11" s="41"/>
      <c r="NFE11" s="41"/>
      <c r="NFF11" s="41"/>
      <c r="NFG11" s="41"/>
      <c r="NFH11" s="41"/>
      <c r="NFI11" s="41"/>
      <c r="NFJ11" s="41"/>
      <c r="NFK11" s="41"/>
      <c r="NFL11" s="41"/>
      <c r="NFM11" s="41"/>
      <c r="NFN11" s="41"/>
      <c r="NFO11" s="41"/>
      <c r="NFP11" s="41"/>
      <c r="NFQ11" s="41"/>
      <c r="NFR11" s="41"/>
      <c r="NFS11" s="41"/>
      <c r="NFT11" s="41"/>
      <c r="NFU11" s="41"/>
      <c r="NFV11" s="41"/>
      <c r="NFW11" s="41"/>
      <c r="NFX11" s="41"/>
      <c r="NFY11" s="41"/>
      <c r="NFZ11" s="41"/>
      <c r="NGA11" s="41"/>
      <c r="NGB11" s="41"/>
      <c r="NGC11" s="41"/>
      <c r="NGD11" s="41"/>
      <c r="NGE11" s="41"/>
      <c r="NGF11" s="41"/>
      <c r="NGG11" s="41"/>
      <c r="NGH11" s="41"/>
      <c r="NGI11" s="41"/>
      <c r="NGJ11" s="41"/>
      <c r="NGK11" s="41"/>
      <c r="NGL11" s="41"/>
      <c r="NGM11" s="41"/>
      <c r="NGN11" s="41"/>
      <c r="NGO11" s="41"/>
      <c r="NGP11" s="41"/>
      <c r="NGQ11" s="41"/>
      <c r="NGR11" s="41"/>
      <c r="NGS11" s="41"/>
      <c r="NGT11" s="41"/>
      <c r="NGU11" s="41"/>
      <c r="NGV11" s="41"/>
      <c r="NGW11" s="41"/>
      <c r="NGX11" s="41"/>
      <c r="NGY11" s="41"/>
      <c r="NGZ11" s="41"/>
      <c r="NHA11" s="41"/>
      <c r="NHB11" s="41"/>
      <c r="NHC11" s="41"/>
      <c r="NHD11" s="41"/>
      <c r="NHE11" s="41"/>
      <c r="NHF11" s="41"/>
      <c r="NHG11" s="41"/>
      <c r="NHH11" s="41"/>
      <c r="NHI11" s="41"/>
      <c r="NHJ11" s="41"/>
      <c r="NHK11" s="41"/>
      <c r="NHL11" s="41"/>
      <c r="NHM11" s="41"/>
      <c r="NHN11" s="41"/>
      <c r="NHO11" s="41"/>
      <c r="NHP11" s="41"/>
      <c r="NHQ11" s="41"/>
      <c r="NHR11" s="41"/>
      <c r="NHS11" s="41"/>
      <c r="NHT11" s="41"/>
      <c r="NHU11" s="41"/>
      <c r="NHV11" s="41"/>
      <c r="NHW11" s="41"/>
      <c r="NHX11" s="41"/>
      <c r="NHY11" s="41"/>
      <c r="NHZ11" s="41"/>
      <c r="NIA11" s="41"/>
      <c r="NIB11" s="41"/>
      <c r="NIC11" s="41"/>
      <c r="NID11" s="41"/>
      <c r="NIE11" s="41"/>
      <c r="NIF11" s="41"/>
      <c r="NIG11" s="41"/>
      <c r="NIH11" s="41"/>
      <c r="NII11" s="41"/>
      <c r="NIJ11" s="41"/>
      <c r="NIK11" s="41"/>
      <c r="NIL11" s="41"/>
      <c r="NIM11" s="41"/>
      <c r="NIN11" s="41"/>
      <c r="NIO11" s="41"/>
      <c r="NIP11" s="41"/>
      <c r="NIQ11" s="41"/>
      <c r="NIR11" s="41"/>
      <c r="NIS11" s="41"/>
      <c r="NIT11" s="41"/>
      <c r="NIU11" s="41"/>
      <c r="NIV11" s="41"/>
      <c r="NIW11" s="41"/>
      <c r="NIX11" s="41"/>
      <c r="NIY11" s="41"/>
      <c r="NIZ11" s="41"/>
      <c r="NJA11" s="41"/>
      <c r="NJB11" s="41"/>
      <c r="NJC11" s="41"/>
      <c r="NJD11" s="41"/>
      <c r="NJE11" s="41"/>
      <c r="NJF11" s="41"/>
      <c r="NJG11" s="41"/>
      <c r="NJH11" s="41"/>
      <c r="NJI11" s="41"/>
      <c r="NJJ11" s="41"/>
      <c r="NJK11" s="41"/>
      <c r="NJL11" s="41"/>
      <c r="NJM11" s="41"/>
      <c r="NJN11" s="41"/>
      <c r="NJO11" s="41"/>
      <c r="NJP11" s="41"/>
      <c r="NJQ11" s="41"/>
      <c r="NJR11" s="41"/>
      <c r="NJS11" s="41"/>
      <c r="NJT11" s="41"/>
      <c r="NJU11" s="41"/>
      <c r="NJV11" s="41"/>
      <c r="NJW11" s="41"/>
      <c r="NJX11" s="41"/>
      <c r="NJY11" s="41"/>
      <c r="NJZ11" s="41"/>
      <c r="NKA11" s="41"/>
      <c r="NKB11" s="41"/>
      <c r="NKC11" s="41"/>
      <c r="NKD11" s="41"/>
      <c r="NKE11" s="41"/>
      <c r="NKF11" s="41"/>
      <c r="NKG11" s="41"/>
      <c r="NKH11" s="41"/>
      <c r="NKI11" s="41"/>
      <c r="NKJ11" s="41"/>
      <c r="NKK11" s="41"/>
      <c r="NKL11" s="41"/>
      <c r="NKM11" s="41"/>
      <c r="NKN11" s="41"/>
      <c r="NKO11" s="41"/>
      <c r="NKP11" s="41"/>
      <c r="NKQ11" s="41"/>
      <c r="NKR11" s="41"/>
      <c r="NKS11" s="41"/>
      <c r="NKT11" s="41"/>
      <c r="NKU11" s="41"/>
      <c r="NKV11" s="41"/>
      <c r="NKW11" s="41"/>
      <c r="NKX11" s="41"/>
      <c r="NKY11" s="41"/>
      <c r="NKZ11" s="41"/>
      <c r="NLA11" s="41"/>
      <c r="NLB11" s="41"/>
      <c r="NLC11" s="41"/>
      <c r="NLD11" s="41"/>
      <c r="NLE11" s="41"/>
      <c r="NLF11" s="41"/>
      <c r="NLG11" s="41"/>
      <c r="NLH11" s="41"/>
      <c r="NLI11" s="41"/>
      <c r="NLJ11" s="41"/>
      <c r="NLK11" s="41"/>
      <c r="NLL11" s="41"/>
      <c r="NLM11" s="41"/>
      <c r="NLN11" s="41"/>
      <c r="NLO11" s="41"/>
      <c r="NLP11" s="41"/>
      <c r="NLQ11" s="41"/>
      <c r="NLR11" s="41"/>
      <c r="NLS11" s="41"/>
      <c r="NLT11" s="41"/>
      <c r="NLU11" s="41"/>
      <c r="NLV11" s="41"/>
      <c r="NLW11" s="41"/>
      <c r="NLX11" s="41"/>
      <c r="NLY11" s="41"/>
      <c r="NLZ11" s="41"/>
      <c r="NMA11" s="41"/>
      <c r="NMB11" s="41"/>
      <c r="NMC11" s="41"/>
      <c r="NMD11" s="41"/>
      <c r="NME11" s="41"/>
      <c r="NMF11" s="41"/>
      <c r="NMG11" s="41"/>
      <c r="NMH11" s="41"/>
      <c r="NMI11" s="41"/>
      <c r="NMJ11" s="41"/>
      <c r="NMK11" s="41"/>
      <c r="NML11" s="41"/>
      <c r="NMM11" s="41"/>
      <c r="NMN11" s="41"/>
      <c r="NMO11" s="41"/>
      <c r="NMP11" s="41"/>
      <c r="NMQ11" s="41"/>
      <c r="NMR11" s="41"/>
      <c r="NMS11" s="41"/>
      <c r="NMT11" s="41"/>
      <c r="NMU11" s="41"/>
      <c r="NMV11" s="41"/>
      <c r="NMW11" s="41"/>
      <c r="NMX11" s="41"/>
      <c r="NMY11" s="41"/>
      <c r="NMZ11" s="41"/>
      <c r="NNA11" s="41"/>
      <c r="NNB11" s="41"/>
      <c r="NNC11" s="41"/>
      <c r="NND11" s="41"/>
      <c r="NNE11" s="41"/>
      <c r="NNF11" s="41"/>
      <c r="NNG11" s="41"/>
      <c r="NNH11" s="41"/>
      <c r="NNI11" s="41"/>
      <c r="NNJ11" s="41"/>
      <c r="NNK11" s="41"/>
      <c r="NNL11" s="41"/>
      <c r="NNM11" s="41"/>
      <c r="NNN11" s="41"/>
      <c r="NNO11" s="41"/>
      <c r="NNP11" s="41"/>
      <c r="NNQ11" s="41"/>
      <c r="NNR11" s="41"/>
      <c r="NNS11" s="41"/>
      <c r="NNT11" s="41"/>
      <c r="NNU11" s="41"/>
      <c r="NNV11" s="41"/>
      <c r="NNW11" s="41"/>
      <c r="NNX11" s="41"/>
      <c r="NNY11" s="41"/>
      <c r="NNZ11" s="41"/>
      <c r="NOA11" s="41"/>
      <c r="NOB11" s="41"/>
      <c r="NOC11" s="41"/>
      <c r="NOD11" s="41"/>
      <c r="NOE11" s="41"/>
      <c r="NOF11" s="41"/>
      <c r="NOG11" s="41"/>
      <c r="NOH11" s="41"/>
      <c r="NOI11" s="41"/>
      <c r="NOJ11" s="41"/>
      <c r="NOK11" s="41"/>
      <c r="NOL11" s="41"/>
      <c r="NOM11" s="41"/>
      <c r="NON11" s="41"/>
      <c r="NOO11" s="41"/>
      <c r="NOP11" s="41"/>
      <c r="NOQ11" s="41"/>
      <c r="NOR11" s="41"/>
      <c r="NOS11" s="41"/>
      <c r="NOT11" s="41"/>
      <c r="NOU11" s="41"/>
      <c r="NOV11" s="41"/>
      <c r="NOW11" s="41"/>
      <c r="NOX11" s="41"/>
      <c r="NOY11" s="41"/>
      <c r="NOZ11" s="41"/>
      <c r="NPA11" s="41"/>
      <c r="NPB11" s="41"/>
      <c r="NPC11" s="41"/>
      <c r="NPD11" s="41"/>
      <c r="NPE11" s="41"/>
      <c r="NPF11" s="41"/>
      <c r="NPG11" s="41"/>
      <c r="NPH11" s="41"/>
      <c r="NPI11" s="41"/>
      <c r="NPJ11" s="41"/>
      <c r="NPK11" s="41"/>
      <c r="NPL11" s="41"/>
      <c r="NPM11" s="41"/>
      <c r="NPN11" s="41"/>
      <c r="NPO11" s="41"/>
      <c r="NPP11" s="41"/>
      <c r="NPQ11" s="41"/>
      <c r="NPR11" s="41"/>
      <c r="NPS11" s="41"/>
      <c r="NPT11" s="41"/>
      <c r="NPU11" s="41"/>
      <c r="NPV11" s="41"/>
      <c r="NPW11" s="41"/>
      <c r="NPX11" s="41"/>
      <c r="NPY11" s="41"/>
      <c r="NPZ11" s="41"/>
      <c r="NQA11" s="41"/>
      <c r="NQB11" s="41"/>
      <c r="NQC11" s="41"/>
      <c r="NQD11" s="41"/>
      <c r="NQE11" s="41"/>
      <c r="NQF11" s="41"/>
      <c r="NQG11" s="41"/>
      <c r="NQH11" s="41"/>
      <c r="NQI11" s="41"/>
      <c r="NQJ11" s="41"/>
      <c r="NQK11" s="41"/>
      <c r="NQL11" s="41"/>
      <c r="NQM11" s="41"/>
      <c r="NQN11" s="41"/>
      <c r="NQO11" s="41"/>
      <c r="NQP11" s="41"/>
      <c r="NQQ11" s="41"/>
      <c r="NQR11" s="41"/>
      <c r="NQS11" s="41"/>
      <c r="NQT11" s="41"/>
      <c r="NQU11" s="41"/>
      <c r="NQV11" s="41"/>
      <c r="NQW11" s="41"/>
      <c r="NQX11" s="41"/>
      <c r="NQY11" s="41"/>
      <c r="NQZ11" s="41"/>
      <c r="NRA11" s="41"/>
      <c r="NRB11" s="41"/>
      <c r="NRC11" s="41"/>
      <c r="NRD11" s="41"/>
      <c r="NRE11" s="41"/>
      <c r="NRF11" s="41"/>
      <c r="NRG11" s="41"/>
      <c r="NRH11" s="41"/>
      <c r="NRI11" s="41"/>
      <c r="NRJ11" s="41"/>
      <c r="NRK11" s="41"/>
      <c r="NRL11" s="41"/>
      <c r="NRM11" s="41"/>
      <c r="NRN11" s="41"/>
      <c r="NRO11" s="41"/>
      <c r="NRP11" s="41"/>
      <c r="NRQ11" s="41"/>
      <c r="NRR11" s="41"/>
      <c r="NRS11" s="41"/>
      <c r="NRT11" s="41"/>
      <c r="NRU11" s="41"/>
      <c r="NRV11" s="41"/>
      <c r="NRW11" s="41"/>
      <c r="NRX11" s="41"/>
      <c r="NRY11" s="41"/>
      <c r="NRZ11" s="41"/>
      <c r="NSA11" s="41"/>
      <c r="NSB11" s="41"/>
      <c r="NSC11" s="41"/>
      <c r="NSD11" s="41"/>
      <c r="NSE11" s="41"/>
      <c r="NSF11" s="41"/>
      <c r="NSG11" s="41"/>
      <c r="NSH11" s="41"/>
      <c r="NSI11" s="41"/>
      <c r="NSJ11" s="41"/>
      <c r="NSK11" s="41"/>
      <c r="NSL11" s="41"/>
      <c r="NSM11" s="41"/>
      <c r="NSN11" s="41"/>
      <c r="NSO11" s="41"/>
      <c r="NSP11" s="41"/>
      <c r="NSQ11" s="41"/>
      <c r="NSR11" s="41"/>
      <c r="NSS11" s="41"/>
      <c r="NST11" s="41"/>
      <c r="NSU11" s="41"/>
      <c r="NSV11" s="41"/>
      <c r="NSW11" s="41"/>
      <c r="NSX11" s="41"/>
      <c r="NSY11" s="41"/>
      <c r="NSZ11" s="41"/>
      <c r="NTA11" s="41"/>
      <c r="NTB11" s="41"/>
      <c r="NTC11" s="41"/>
      <c r="NTD11" s="41"/>
      <c r="NTE11" s="41"/>
      <c r="NTF11" s="41"/>
      <c r="NTG11" s="41"/>
      <c r="NTH11" s="41"/>
      <c r="NTI11" s="41"/>
      <c r="NTJ11" s="41"/>
      <c r="NTK11" s="41"/>
      <c r="NTL11" s="41"/>
      <c r="NTM11" s="41"/>
      <c r="NTN11" s="41"/>
      <c r="NTO11" s="41"/>
      <c r="NTP11" s="41"/>
      <c r="NTQ11" s="41"/>
      <c r="NTR11" s="41"/>
      <c r="NTS11" s="41"/>
      <c r="NTT11" s="41"/>
      <c r="NTU11" s="41"/>
      <c r="NTV11" s="41"/>
      <c r="NTW11" s="41"/>
      <c r="NTX11" s="41"/>
      <c r="NTY11" s="41"/>
      <c r="NTZ11" s="41"/>
      <c r="NUA11" s="41"/>
      <c r="NUB11" s="41"/>
      <c r="NUC11" s="41"/>
      <c r="NUD11" s="41"/>
      <c r="NUE11" s="41"/>
      <c r="NUF11" s="41"/>
      <c r="NUG11" s="41"/>
      <c r="NUH11" s="41"/>
      <c r="NUI11" s="41"/>
      <c r="NUJ11" s="41"/>
      <c r="NUK11" s="41"/>
      <c r="NUL11" s="41"/>
      <c r="NUM11" s="41"/>
      <c r="NUN11" s="41"/>
      <c r="NUO11" s="41"/>
      <c r="NUP11" s="41"/>
      <c r="NUQ11" s="41"/>
      <c r="NUR11" s="41"/>
      <c r="NUS11" s="41"/>
      <c r="NUT11" s="41"/>
      <c r="NUU11" s="41"/>
      <c r="NUV11" s="41"/>
      <c r="NUW11" s="41"/>
      <c r="NUX11" s="41"/>
      <c r="NUY11" s="41"/>
      <c r="NUZ11" s="41"/>
      <c r="NVA11" s="41"/>
      <c r="NVB11" s="41"/>
      <c r="NVC11" s="41"/>
      <c r="NVD11" s="41"/>
      <c r="NVE11" s="41"/>
      <c r="NVF11" s="41"/>
      <c r="NVG11" s="41"/>
      <c r="NVH11" s="41"/>
      <c r="NVI11" s="41"/>
      <c r="NVJ11" s="41"/>
      <c r="NVK11" s="41"/>
      <c r="NVL11" s="41"/>
      <c r="NVM11" s="41"/>
      <c r="NVN11" s="41"/>
      <c r="NVO11" s="41"/>
      <c r="NVP11" s="41"/>
      <c r="NVQ11" s="41"/>
      <c r="NVR11" s="41"/>
      <c r="NVS11" s="41"/>
      <c r="NVT11" s="41"/>
      <c r="NVU11" s="41"/>
      <c r="NVV11" s="41"/>
      <c r="NVW11" s="41"/>
      <c r="NVX11" s="41"/>
      <c r="NVY11" s="41"/>
      <c r="NVZ11" s="41"/>
      <c r="NWA11" s="41"/>
      <c r="NWB11" s="41"/>
      <c r="NWC11" s="41"/>
      <c r="NWD11" s="41"/>
      <c r="NWE11" s="41"/>
      <c r="NWF11" s="41"/>
      <c r="NWG11" s="41"/>
      <c r="NWH11" s="41"/>
      <c r="NWI11" s="41"/>
      <c r="NWJ11" s="41"/>
      <c r="NWK11" s="41"/>
      <c r="NWL11" s="41"/>
      <c r="NWM11" s="41"/>
      <c r="NWN11" s="41"/>
      <c r="NWO11" s="41"/>
      <c r="NWP11" s="41"/>
      <c r="NWQ11" s="41"/>
      <c r="NWR11" s="41"/>
      <c r="NWS11" s="41"/>
      <c r="NWT11" s="41"/>
      <c r="NWU11" s="41"/>
      <c r="NWV11" s="41"/>
      <c r="NWW11" s="41"/>
      <c r="NWX11" s="41"/>
      <c r="NWY11" s="41"/>
      <c r="NWZ11" s="41"/>
      <c r="NXA11" s="41"/>
      <c r="NXB11" s="41"/>
      <c r="NXC11" s="41"/>
      <c r="NXD11" s="41"/>
      <c r="NXE11" s="41"/>
      <c r="NXF11" s="41"/>
      <c r="NXG11" s="41"/>
      <c r="NXH11" s="41"/>
      <c r="NXI11" s="41"/>
      <c r="NXJ11" s="41"/>
      <c r="NXK11" s="41"/>
      <c r="NXL11" s="41"/>
      <c r="NXM11" s="41"/>
      <c r="NXN11" s="41"/>
      <c r="NXO11" s="41"/>
      <c r="NXP11" s="41"/>
      <c r="NXQ11" s="41"/>
      <c r="NXR11" s="41"/>
      <c r="NXS11" s="41"/>
      <c r="NXT11" s="41"/>
      <c r="NXU11" s="41"/>
      <c r="NXV11" s="41"/>
      <c r="NXW11" s="41"/>
      <c r="NXX11" s="41"/>
      <c r="NXY11" s="41"/>
      <c r="NXZ11" s="41"/>
      <c r="NYA11" s="41"/>
      <c r="NYB11" s="41"/>
      <c r="NYC11" s="41"/>
      <c r="NYD11" s="41"/>
      <c r="NYE11" s="41"/>
      <c r="NYF11" s="41"/>
      <c r="NYG11" s="41"/>
      <c r="NYH11" s="41"/>
      <c r="NYI11" s="41"/>
      <c r="NYJ11" s="41"/>
      <c r="NYK11" s="41"/>
      <c r="NYL11" s="41"/>
      <c r="NYM11" s="41"/>
      <c r="NYN11" s="41"/>
      <c r="NYO11" s="41"/>
      <c r="NYP11" s="41"/>
      <c r="NYQ11" s="41"/>
      <c r="NYR11" s="41"/>
      <c r="NYS11" s="41"/>
      <c r="NYT11" s="41"/>
      <c r="NYU11" s="41"/>
      <c r="NYV11" s="41"/>
      <c r="NYW11" s="41"/>
      <c r="NYX11" s="41"/>
      <c r="NYY11" s="41"/>
      <c r="NYZ11" s="41"/>
      <c r="NZA11" s="41"/>
      <c r="NZB11" s="41"/>
      <c r="NZC11" s="41"/>
      <c r="NZD11" s="41"/>
      <c r="NZE11" s="41"/>
      <c r="NZF11" s="41"/>
      <c r="NZG11" s="41"/>
      <c r="NZH11" s="41"/>
      <c r="NZI11" s="41"/>
      <c r="NZJ11" s="41"/>
      <c r="NZK11" s="41"/>
      <c r="NZL11" s="41"/>
      <c r="NZM11" s="41"/>
      <c r="NZN11" s="41"/>
      <c r="NZO11" s="41"/>
      <c r="NZP11" s="41"/>
      <c r="NZQ11" s="41"/>
      <c r="NZR11" s="41"/>
      <c r="NZS11" s="41"/>
      <c r="NZT11" s="41"/>
      <c r="NZU11" s="41"/>
      <c r="NZV11" s="41"/>
      <c r="NZW11" s="41"/>
      <c r="NZX11" s="41"/>
      <c r="NZY11" s="41"/>
      <c r="NZZ11" s="41"/>
      <c r="OAA11" s="41"/>
      <c r="OAB11" s="41"/>
      <c r="OAC11" s="41"/>
      <c r="OAD11" s="41"/>
      <c r="OAE11" s="41"/>
      <c r="OAF11" s="41"/>
      <c r="OAG11" s="41"/>
      <c r="OAH11" s="41"/>
      <c r="OAI11" s="41"/>
      <c r="OAJ11" s="41"/>
      <c r="OAK11" s="41"/>
      <c r="OAL11" s="41"/>
      <c r="OAM11" s="41"/>
      <c r="OAN11" s="41"/>
      <c r="OAO11" s="41"/>
      <c r="OAP11" s="41"/>
      <c r="OAQ11" s="41"/>
      <c r="OAR11" s="41"/>
      <c r="OAS11" s="41"/>
      <c r="OAT11" s="41"/>
      <c r="OAU11" s="41"/>
      <c r="OAV11" s="41"/>
      <c r="OAW11" s="41"/>
      <c r="OAX11" s="41"/>
      <c r="OAY11" s="41"/>
      <c r="OAZ11" s="41"/>
      <c r="OBA11" s="41"/>
      <c r="OBB11" s="41"/>
      <c r="OBC11" s="41"/>
      <c r="OBD11" s="41"/>
      <c r="OBE11" s="41"/>
      <c r="OBF11" s="41"/>
      <c r="OBG11" s="41"/>
      <c r="OBH11" s="41"/>
      <c r="OBI11" s="41"/>
      <c r="OBJ11" s="41"/>
      <c r="OBK11" s="41"/>
      <c r="OBL11" s="41"/>
      <c r="OBM11" s="41"/>
      <c r="OBN11" s="41"/>
      <c r="OBO11" s="41"/>
      <c r="OBP11" s="41"/>
      <c r="OBQ11" s="41"/>
      <c r="OBR11" s="41"/>
      <c r="OBS11" s="41"/>
      <c r="OBT11" s="41"/>
      <c r="OBU11" s="41"/>
      <c r="OBV11" s="41"/>
      <c r="OBW11" s="41"/>
      <c r="OBX11" s="41"/>
      <c r="OBY11" s="41"/>
      <c r="OBZ11" s="41"/>
      <c r="OCA11" s="41"/>
      <c r="OCB11" s="41"/>
      <c r="OCC11" s="41"/>
      <c r="OCD11" s="41"/>
      <c r="OCE11" s="41"/>
      <c r="OCF11" s="41"/>
      <c r="OCG11" s="41"/>
      <c r="OCH11" s="41"/>
      <c r="OCI11" s="41"/>
      <c r="OCJ11" s="41"/>
      <c r="OCK11" s="41"/>
      <c r="OCL11" s="41"/>
      <c r="OCM11" s="41"/>
      <c r="OCN11" s="41"/>
      <c r="OCO11" s="41"/>
      <c r="OCP11" s="41"/>
      <c r="OCQ11" s="41"/>
      <c r="OCR11" s="41"/>
      <c r="OCS11" s="41"/>
      <c r="OCT11" s="41"/>
      <c r="OCU11" s="41"/>
      <c r="OCV11" s="41"/>
      <c r="OCW11" s="41"/>
      <c r="OCX11" s="41"/>
      <c r="OCY11" s="41"/>
      <c r="OCZ11" s="41"/>
      <c r="ODA11" s="41"/>
      <c r="ODB11" s="41"/>
      <c r="ODC11" s="41"/>
      <c r="ODD11" s="41"/>
      <c r="ODE11" s="41"/>
      <c r="ODF11" s="41"/>
      <c r="ODG11" s="41"/>
      <c r="ODH11" s="41"/>
      <c r="ODI11" s="41"/>
      <c r="ODJ11" s="41"/>
      <c r="ODK11" s="41"/>
      <c r="ODL11" s="41"/>
      <c r="ODM11" s="41"/>
      <c r="ODN11" s="41"/>
      <c r="ODO11" s="41"/>
      <c r="ODP11" s="41"/>
      <c r="ODQ11" s="41"/>
      <c r="ODR11" s="41"/>
      <c r="ODS11" s="41"/>
      <c r="ODT11" s="41"/>
      <c r="ODU11" s="41"/>
      <c r="ODV11" s="41"/>
      <c r="ODW11" s="41"/>
      <c r="ODX11" s="41"/>
      <c r="ODY11" s="41"/>
      <c r="ODZ11" s="41"/>
      <c r="OEA11" s="41"/>
      <c r="OEB11" s="41"/>
      <c r="OEC11" s="41"/>
      <c r="OED11" s="41"/>
      <c r="OEE11" s="41"/>
      <c r="OEF11" s="41"/>
      <c r="OEG11" s="41"/>
      <c r="OEH11" s="41"/>
      <c r="OEI11" s="41"/>
      <c r="OEJ11" s="41"/>
      <c r="OEK11" s="41"/>
      <c r="OEL11" s="41"/>
      <c r="OEM11" s="41"/>
      <c r="OEN11" s="41"/>
      <c r="OEO11" s="41"/>
      <c r="OEP11" s="41"/>
      <c r="OEQ11" s="41"/>
      <c r="OER11" s="41"/>
      <c r="OES11" s="41"/>
      <c r="OET11" s="41"/>
      <c r="OEU11" s="41"/>
      <c r="OEV11" s="41"/>
      <c r="OEW11" s="41"/>
      <c r="OEX11" s="41"/>
      <c r="OEY11" s="41"/>
      <c r="OEZ11" s="41"/>
      <c r="OFA11" s="41"/>
      <c r="OFB11" s="41"/>
      <c r="OFC11" s="41"/>
      <c r="OFD11" s="41"/>
      <c r="OFE11" s="41"/>
      <c r="OFF11" s="41"/>
      <c r="OFG11" s="41"/>
      <c r="OFH11" s="41"/>
      <c r="OFI11" s="41"/>
      <c r="OFJ11" s="41"/>
      <c r="OFK11" s="41"/>
      <c r="OFL11" s="41"/>
      <c r="OFM11" s="41"/>
      <c r="OFN11" s="41"/>
      <c r="OFO11" s="41"/>
      <c r="OFP11" s="41"/>
      <c r="OFQ11" s="41"/>
      <c r="OFR11" s="41"/>
      <c r="OFS11" s="41"/>
      <c r="OFT11" s="41"/>
      <c r="OFU11" s="41"/>
      <c r="OFV11" s="41"/>
      <c r="OFW11" s="41"/>
      <c r="OFX11" s="41"/>
      <c r="OFY11" s="41"/>
      <c r="OFZ11" s="41"/>
      <c r="OGA11" s="41"/>
      <c r="OGB11" s="41"/>
      <c r="OGC11" s="41"/>
      <c r="OGD11" s="41"/>
      <c r="OGE11" s="41"/>
      <c r="OGF11" s="41"/>
      <c r="OGG11" s="41"/>
      <c r="OGH11" s="41"/>
      <c r="OGI11" s="41"/>
      <c r="OGJ11" s="41"/>
      <c r="OGK11" s="41"/>
      <c r="OGL11" s="41"/>
      <c r="OGM11" s="41"/>
      <c r="OGN11" s="41"/>
      <c r="OGO11" s="41"/>
      <c r="OGP11" s="41"/>
      <c r="OGQ11" s="41"/>
      <c r="OGR11" s="41"/>
      <c r="OGS11" s="41"/>
      <c r="OGT11" s="41"/>
      <c r="OGU11" s="41"/>
      <c r="OGV11" s="41"/>
      <c r="OGW11" s="41"/>
      <c r="OGX11" s="41"/>
      <c r="OGY11" s="41"/>
      <c r="OGZ11" s="41"/>
      <c r="OHA11" s="41"/>
      <c r="OHB11" s="41"/>
      <c r="OHC11" s="41"/>
      <c r="OHD11" s="41"/>
      <c r="OHE11" s="41"/>
      <c r="OHF11" s="41"/>
      <c r="OHG11" s="41"/>
      <c r="OHH11" s="41"/>
      <c r="OHI11" s="41"/>
      <c r="OHJ11" s="41"/>
      <c r="OHK11" s="41"/>
      <c r="OHL11" s="41"/>
      <c r="OHM11" s="41"/>
      <c r="OHN11" s="41"/>
      <c r="OHO11" s="41"/>
      <c r="OHP11" s="41"/>
      <c r="OHQ11" s="41"/>
      <c r="OHR11" s="41"/>
      <c r="OHS11" s="41"/>
      <c r="OHT11" s="41"/>
      <c r="OHU11" s="41"/>
      <c r="OHV11" s="41"/>
      <c r="OHW11" s="41"/>
      <c r="OHX11" s="41"/>
      <c r="OHY11" s="41"/>
      <c r="OHZ11" s="41"/>
      <c r="OIA11" s="41"/>
      <c r="OIB11" s="41"/>
      <c r="OIC11" s="41"/>
      <c r="OID11" s="41"/>
      <c r="OIE11" s="41"/>
      <c r="OIF11" s="41"/>
      <c r="OIG11" s="41"/>
      <c r="OIH11" s="41"/>
      <c r="OII11" s="41"/>
      <c r="OIJ11" s="41"/>
      <c r="OIK11" s="41"/>
      <c r="OIL11" s="41"/>
      <c r="OIM11" s="41"/>
      <c r="OIN11" s="41"/>
      <c r="OIO11" s="41"/>
      <c r="OIP11" s="41"/>
      <c r="OIQ11" s="41"/>
      <c r="OIR11" s="41"/>
      <c r="OIS11" s="41"/>
      <c r="OIT11" s="41"/>
      <c r="OIU11" s="41"/>
      <c r="OIV11" s="41"/>
      <c r="OIW11" s="41"/>
      <c r="OIX11" s="41"/>
      <c r="OIY11" s="41"/>
      <c r="OIZ11" s="41"/>
      <c r="OJA11" s="41"/>
      <c r="OJB11" s="41"/>
      <c r="OJC11" s="41"/>
      <c r="OJD11" s="41"/>
      <c r="OJE11" s="41"/>
      <c r="OJF11" s="41"/>
      <c r="OJG11" s="41"/>
      <c r="OJH11" s="41"/>
      <c r="OJI11" s="41"/>
      <c r="OJJ11" s="41"/>
      <c r="OJK11" s="41"/>
      <c r="OJL11" s="41"/>
      <c r="OJM11" s="41"/>
      <c r="OJN11" s="41"/>
      <c r="OJO11" s="41"/>
      <c r="OJP11" s="41"/>
      <c r="OJQ11" s="41"/>
      <c r="OJR11" s="41"/>
      <c r="OJS11" s="41"/>
      <c r="OJT11" s="41"/>
      <c r="OJU11" s="41"/>
      <c r="OJV11" s="41"/>
      <c r="OJW11" s="41"/>
      <c r="OJX11" s="41"/>
      <c r="OJY11" s="41"/>
      <c r="OJZ11" s="41"/>
      <c r="OKA11" s="41"/>
      <c r="OKB11" s="41"/>
      <c r="OKC11" s="41"/>
      <c r="OKD11" s="41"/>
      <c r="OKE11" s="41"/>
      <c r="OKF11" s="41"/>
      <c r="OKG11" s="41"/>
      <c r="OKH11" s="41"/>
      <c r="OKI11" s="41"/>
      <c r="OKJ11" s="41"/>
      <c r="OKK11" s="41"/>
      <c r="OKL11" s="41"/>
      <c r="OKM11" s="41"/>
      <c r="OKN11" s="41"/>
      <c r="OKO11" s="41"/>
      <c r="OKP11" s="41"/>
      <c r="OKQ11" s="41"/>
      <c r="OKR11" s="41"/>
      <c r="OKS11" s="41"/>
      <c r="OKT11" s="41"/>
      <c r="OKU11" s="41"/>
      <c r="OKV11" s="41"/>
      <c r="OKW11" s="41"/>
      <c r="OKX11" s="41"/>
      <c r="OKY11" s="41"/>
      <c r="OKZ11" s="41"/>
      <c r="OLA11" s="41"/>
      <c r="OLB11" s="41"/>
      <c r="OLC11" s="41"/>
      <c r="OLD11" s="41"/>
      <c r="OLE11" s="41"/>
      <c r="OLF11" s="41"/>
      <c r="OLG11" s="41"/>
      <c r="OLH11" s="41"/>
      <c r="OLI11" s="41"/>
      <c r="OLJ11" s="41"/>
      <c r="OLK11" s="41"/>
      <c r="OLL11" s="41"/>
      <c r="OLM11" s="41"/>
      <c r="OLN11" s="41"/>
      <c r="OLO11" s="41"/>
      <c r="OLP11" s="41"/>
      <c r="OLQ11" s="41"/>
      <c r="OLR11" s="41"/>
      <c r="OLS11" s="41"/>
      <c r="OLT11" s="41"/>
      <c r="OLU11" s="41"/>
      <c r="OLV11" s="41"/>
      <c r="OLW11" s="41"/>
      <c r="OLX11" s="41"/>
      <c r="OLY11" s="41"/>
      <c r="OLZ11" s="41"/>
      <c r="OMA11" s="41"/>
      <c r="OMB11" s="41"/>
      <c r="OMC11" s="41"/>
      <c r="OMD11" s="41"/>
      <c r="OME11" s="41"/>
      <c r="OMF11" s="41"/>
      <c r="OMG11" s="41"/>
      <c r="OMH11" s="41"/>
      <c r="OMI11" s="41"/>
      <c r="OMJ11" s="41"/>
      <c r="OMK11" s="41"/>
      <c r="OML11" s="41"/>
      <c r="OMM11" s="41"/>
      <c r="OMN11" s="41"/>
      <c r="OMO11" s="41"/>
      <c r="OMP11" s="41"/>
      <c r="OMQ11" s="41"/>
      <c r="OMR11" s="41"/>
      <c r="OMS11" s="41"/>
      <c r="OMT11" s="41"/>
      <c r="OMU11" s="41"/>
      <c r="OMV11" s="41"/>
      <c r="OMW11" s="41"/>
      <c r="OMX11" s="41"/>
      <c r="OMY11" s="41"/>
      <c r="OMZ11" s="41"/>
      <c r="ONA11" s="41"/>
      <c r="ONB11" s="41"/>
      <c r="ONC11" s="41"/>
      <c r="OND11" s="41"/>
      <c r="ONE11" s="41"/>
      <c r="ONF11" s="41"/>
      <c r="ONG11" s="41"/>
      <c r="ONH11" s="41"/>
      <c r="ONI11" s="41"/>
      <c r="ONJ11" s="41"/>
      <c r="ONK11" s="41"/>
      <c r="ONL11" s="41"/>
      <c r="ONM11" s="41"/>
      <c r="ONN11" s="41"/>
      <c r="ONO11" s="41"/>
      <c r="ONP11" s="41"/>
      <c r="ONQ11" s="41"/>
      <c r="ONR11" s="41"/>
      <c r="ONS11" s="41"/>
      <c r="ONT11" s="41"/>
      <c r="ONU11" s="41"/>
      <c r="ONV11" s="41"/>
      <c r="ONW11" s="41"/>
      <c r="ONX11" s="41"/>
      <c r="ONY11" s="41"/>
      <c r="ONZ11" s="41"/>
      <c r="OOA11" s="41"/>
      <c r="OOB11" s="41"/>
      <c r="OOC11" s="41"/>
      <c r="OOD11" s="41"/>
      <c r="OOE11" s="41"/>
      <c r="OOF11" s="41"/>
      <c r="OOG11" s="41"/>
      <c r="OOH11" s="41"/>
      <c r="OOI11" s="41"/>
      <c r="OOJ11" s="41"/>
      <c r="OOK11" s="41"/>
      <c r="OOL11" s="41"/>
      <c r="OOM11" s="41"/>
      <c r="OON11" s="41"/>
      <c r="OOO11" s="41"/>
      <c r="OOP11" s="41"/>
      <c r="OOQ11" s="41"/>
      <c r="OOR11" s="41"/>
      <c r="OOS11" s="41"/>
      <c r="OOT11" s="41"/>
      <c r="OOU11" s="41"/>
      <c r="OOV11" s="41"/>
      <c r="OOW11" s="41"/>
      <c r="OOX11" s="41"/>
      <c r="OOY11" s="41"/>
      <c r="OOZ11" s="41"/>
      <c r="OPA11" s="41"/>
      <c r="OPB11" s="41"/>
      <c r="OPC11" s="41"/>
      <c r="OPD11" s="41"/>
      <c r="OPE11" s="41"/>
      <c r="OPF11" s="41"/>
      <c r="OPG11" s="41"/>
      <c r="OPH11" s="41"/>
      <c r="OPI11" s="41"/>
      <c r="OPJ11" s="41"/>
      <c r="OPK11" s="41"/>
      <c r="OPL11" s="41"/>
      <c r="OPM11" s="41"/>
      <c r="OPN11" s="41"/>
      <c r="OPO11" s="41"/>
      <c r="OPP11" s="41"/>
      <c r="OPQ11" s="41"/>
      <c r="OPR11" s="41"/>
      <c r="OPS11" s="41"/>
      <c r="OPT11" s="41"/>
      <c r="OPU11" s="41"/>
      <c r="OPV11" s="41"/>
      <c r="OPW11" s="41"/>
      <c r="OPX11" s="41"/>
      <c r="OPY11" s="41"/>
      <c r="OPZ11" s="41"/>
      <c r="OQA11" s="41"/>
      <c r="OQB11" s="41"/>
      <c r="OQC11" s="41"/>
      <c r="OQD11" s="41"/>
      <c r="OQE11" s="41"/>
      <c r="OQF11" s="41"/>
      <c r="OQG11" s="41"/>
      <c r="OQH11" s="41"/>
      <c r="OQI11" s="41"/>
      <c r="OQJ11" s="41"/>
      <c r="OQK11" s="41"/>
      <c r="OQL11" s="41"/>
      <c r="OQM11" s="41"/>
      <c r="OQN11" s="41"/>
      <c r="OQO11" s="41"/>
      <c r="OQP11" s="41"/>
      <c r="OQQ11" s="41"/>
      <c r="OQR11" s="41"/>
      <c r="OQS11" s="41"/>
      <c r="OQT11" s="41"/>
      <c r="OQU11" s="41"/>
      <c r="OQV11" s="41"/>
      <c r="OQW11" s="41"/>
      <c r="OQX11" s="41"/>
      <c r="OQY11" s="41"/>
      <c r="OQZ11" s="41"/>
      <c r="ORA11" s="41"/>
      <c r="ORB11" s="41"/>
      <c r="ORC11" s="41"/>
      <c r="ORD11" s="41"/>
      <c r="ORE11" s="41"/>
      <c r="ORF11" s="41"/>
      <c r="ORG11" s="41"/>
      <c r="ORH11" s="41"/>
      <c r="ORI11" s="41"/>
      <c r="ORJ11" s="41"/>
      <c r="ORK11" s="41"/>
      <c r="ORL11" s="41"/>
      <c r="ORM11" s="41"/>
      <c r="ORN11" s="41"/>
      <c r="ORO11" s="41"/>
      <c r="ORP11" s="41"/>
      <c r="ORQ11" s="41"/>
      <c r="ORR11" s="41"/>
      <c r="ORS11" s="41"/>
      <c r="ORT11" s="41"/>
      <c r="ORU11" s="41"/>
      <c r="ORV11" s="41"/>
      <c r="ORW11" s="41"/>
      <c r="ORX11" s="41"/>
      <c r="ORY11" s="41"/>
      <c r="ORZ11" s="41"/>
      <c r="OSA11" s="41"/>
      <c r="OSB11" s="41"/>
      <c r="OSC11" s="41"/>
      <c r="OSD11" s="41"/>
      <c r="OSE11" s="41"/>
      <c r="OSF11" s="41"/>
      <c r="OSG11" s="41"/>
      <c r="OSH11" s="41"/>
      <c r="OSI11" s="41"/>
      <c r="OSJ11" s="41"/>
      <c r="OSK11" s="41"/>
      <c r="OSL11" s="41"/>
      <c r="OSM11" s="41"/>
      <c r="OSN11" s="41"/>
      <c r="OSO11" s="41"/>
      <c r="OSP11" s="41"/>
      <c r="OSQ11" s="41"/>
      <c r="OSR11" s="41"/>
      <c r="OSS11" s="41"/>
      <c r="OST11" s="41"/>
      <c r="OSU11" s="41"/>
      <c r="OSV11" s="41"/>
      <c r="OSW11" s="41"/>
      <c r="OSX11" s="41"/>
      <c r="OSY11" s="41"/>
      <c r="OSZ11" s="41"/>
      <c r="OTA11" s="41"/>
      <c r="OTB11" s="41"/>
      <c r="OTC11" s="41"/>
      <c r="OTD11" s="41"/>
      <c r="OTE11" s="41"/>
      <c r="OTF11" s="41"/>
      <c r="OTG11" s="41"/>
      <c r="OTH11" s="41"/>
      <c r="OTI11" s="41"/>
      <c r="OTJ11" s="41"/>
      <c r="OTK11" s="41"/>
      <c r="OTL11" s="41"/>
      <c r="OTM11" s="41"/>
      <c r="OTN11" s="41"/>
      <c r="OTO11" s="41"/>
      <c r="OTP11" s="41"/>
      <c r="OTQ11" s="41"/>
      <c r="OTR11" s="41"/>
      <c r="OTS11" s="41"/>
      <c r="OTT11" s="41"/>
      <c r="OTU11" s="41"/>
      <c r="OTV11" s="41"/>
      <c r="OTW11" s="41"/>
      <c r="OTX11" s="41"/>
      <c r="OTY11" s="41"/>
      <c r="OTZ11" s="41"/>
      <c r="OUA11" s="41"/>
      <c r="OUB11" s="41"/>
      <c r="OUC11" s="41"/>
      <c r="OUD11" s="41"/>
      <c r="OUE11" s="41"/>
      <c r="OUF11" s="41"/>
      <c r="OUG11" s="41"/>
      <c r="OUH11" s="41"/>
      <c r="OUI11" s="41"/>
      <c r="OUJ11" s="41"/>
      <c r="OUK11" s="41"/>
      <c r="OUL11" s="41"/>
      <c r="OUM11" s="41"/>
      <c r="OUN11" s="41"/>
      <c r="OUO11" s="41"/>
      <c r="OUP11" s="41"/>
      <c r="OUQ11" s="41"/>
      <c r="OUR11" s="41"/>
      <c r="OUS11" s="41"/>
      <c r="OUT11" s="41"/>
      <c r="OUU11" s="41"/>
      <c r="OUV11" s="41"/>
      <c r="OUW11" s="41"/>
      <c r="OUX11" s="41"/>
      <c r="OUY11" s="41"/>
      <c r="OUZ11" s="41"/>
      <c r="OVA11" s="41"/>
      <c r="OVB11" s="41"/>
      <c r="OVC11" s="41"/>
      <c r="OVD11" s="41"/>
      <c r="OVE11" s="41"/>
      <c r="OVF11" s="41"/>
      <c r="OVG11" s="41"/>
      <c r="OVH11" s="41"/>
      <c r="OVI11" s="41"/>
      <c r="OVJ11" s="41"/>
      <c r="OVK11" s="41"/>
      <c r="OVL11" s="41"/>
      <c r="OVM11" s="41"/>
      <c r="OVN11" s="41"/>
      <c r="OVO11" s="41"/>
      <c r="OVP11" s="41"/>
      <c r="OVQ11" s="41"/>
      <c r="OVR11" s="41"/>
      <c r="OVS11" s="41"/>
      <c r="OVT11" s="41"/>
      <c r="OVU11" s="41"/>
      <c r="OVV11" s="41"/>
      <c r="OVW11" s="41"/>
      <c r="OVX11" s="41"/>
      <c r="OVY11" s="41"/>
      <c r="OVZ11" s="41"/>
      <c r="OWA11" s="41"/>
      <c r="OWB11" s="41"/>
      <c r="OWC11" s="41"/>
      <c r="OWD11" s="41"/>
      <c r="OWE11" s="41"/>
      <c r="OWF11" s="41"/>
      <c r="OWG11" s="41"/>
      <c r="OWH11" s="41"/>
      <c r="OWI11" s="41"/>
      <c r="OWJ11" s="41"/>
      <c r="OWK11" s="41"/>
      <c r="OWL11" s="41"/>
      <c r="OWM11" s="41"/>
      <c r="OWN11" s="41"/>
      <c r="OWO11" s="41"/>
      <c r="OWP11" s="41"/>
      <c r="OWQ11" s="41"/>
      <c r="OWR11" s="41"/>
      <c r="OWS11" s="41"/>
      <c r="OWT11" s="41"/>
      <c r="OWU11" s="41"/>
      <c r="OWV11" s="41"/>
      <c r="OWW11" s="41"/>
      <c r="OWX11" s="41"/>
      <c r="OWY11" s="41"/>
      <c r="OWZ11" s="41"/>
      <c r="OXA11" s="41"/>
      <c r="OXB11" s="41"/>
      <c r="OXC11" s="41"/>
      <c r="OXD11" s="41"/>
      <c r="OXE11" s="41"/>
      <c r="OXF11" s="41"/>
      <c r="OXG11" s="41"/>
      <c r="OXH11" s="41"/>
      <c r="OXI11" s="41"/>
      <c r="OXJ11" s="41"/>
      <c r="OXK11" s="41"/>
      <c r="OXL11" s="41"/>
      <c r="OXM11" s="41"/>
      <c r="OXN11" s="41"/>
      <c r="OXO11" s="41"/>
      <c r="OXP11" s="41"/>
      <c r="OXQ11" s="41"/>
      <c r="OXR11" s="41"/>
      <c r="OXS11" s="41"/>
      <c r="OXT11" s="41"/>
      <c r="OXU11" s="41"/>
      <c r="OXV11" s="41"/>
      <c r="OXW11" s="41"/>
      <c r="OXX11" s="41"/>
      <c r="OXY11" s="41"/>
      <c r="OXZ11" s="41"/>
      <c r="OYA11" s="41"/>
      <c r="OYB11" s="41"/>
      <c r="OYC11" s="41"/>
      <c r="OYD11" s="41"/>
      <c r="OYE11" s="41"/>
      <c r="OYF11" s="41"/>
      <c r="OYG11" s="41"/>
      <c r="OYH11" s="41"/>
      <c r="OYI11" s="41"/>
      <c r="OYJ11" s="41"/>
      <c r="OYK11" s="41"/>
      <c r="OYL11" s="41"/>
      <c r="OYM11" s="41"/>
      <c r="OYN11" s="41"/>
      <c r="OYO11" s="41"/>
      <c r="OYP11" s="41"/>
      <c r="OYQ11" s="41"/>
      <c r="OYR11" s="41"/>
      <c r="OYS11" s="41"/>
      <c r="OYT11" s="41"/>
      <c r="OYU11" s="41"/>
      <c r="OYV11" s="41"/>
      <c r="OYW11" s="41"/>
      <c r="OYX11" s="41"/>
      <c r="OYY11" s="41"/>
      <c r="OYZ11" s="41"/>
      <c r="OZA11" s="41"/>
      <c r="OZB11" s="41"/>
      <c r="OZC11" s="41"/>
      <c r="OZD11" s="41"/>
      <c r="OZE11" s="41"/>
      <c r="OZF11" s="41"/>
      <c r="OZG11" s="41"/>
      <c r="OZH11" s="41"/>
      <c r="OZI11" s="41"/>
      <c r="OZJ11" s="41"/>
      <c r="OZK11" s="41"/>
      <c r="OZL11" s="41"/>
      <c r="OZM11" s="41"/>
      <c r="OZN11" s="41"/>
      <c r="OZO11" s="41"/>
      <c r="OZP11" s="41"/>
      <c r="OZQ11" s="41"/>
      <c r="OZR11" s="41"/>
      <c r="OZS11" s="41"/>
      <c r="OZT11" s="41"/>
      <c r="OZU11" s="41"/>
      <c r="OZV11" s="41"/>
      <c r="OZW11" s="41"/>
      <c r="OZX11" s="41"/>
      <c r="OZY11" s="41"/>
      <c r="OZZ11" s="41"/>
      <c r="PAA11" s="41"/>
      <c r="PAB11" s="41"/>
      <c r="PAC11" s="41"/>
      <c r="PAD11" s="41"/>
      <c r="PAE11" s="41"/>
      <c r="PAF11" s="41"/>
      <c r="PAG11" s="41"/>
      <c r="PAH11" s="41"/>
      <c r="PAI11" s="41"/>
      <c r="PAJ11" s="41"/>
      <c r="PAK11" s="41"/>
      <c r="PAL11" s="41"/>
      <c r="PAM11" s="41"/>
      <c r="PAN11" s="41"/>
      <c r="PAO11" s="41"/>
      <c r="PAP11" s="41"/>
      <c r="PAQ11" s="41"/>
      <c r="PAR11" s="41"/>
      <c r="PAS11" s="41"/>
      <c r="PAT11" s="41"/>
      <c r="PAU11" s="41"/>
      <c r="PAV11" s="41"/>
      <c r="PAW11" s="41"/>
      <c r="PAX11" s="41"/>
      <c r="PAY11" s="41"/>
      <c r="PAZ11" s="41"/>
      <c r="PBA11" s="41"/>
      <c r="PBB11" s="41"/>
      <c r="PBC11" s="41"/>
      <c r="PBD11" s="41"/>
      <c r="PBE11" s="41"/>
      <c r="PBF11" s="41"/>
      <c r="PBG11" s="41"/>
      <c r="PBH11" s="41"/>
      <c r="PBI11" s="41"/>
      <c r="PBJ11" s="41"/>
      <c r="PBK11" s="41"/>
      <c r="PBL11" s="41"/>
      <c r="PBM11" s="41"/>
      <c r="PBN11" s="41"/>
      <c r="PBO11" s="41"/>
      <c r="PBP11" s="41"/>
      <c r="PBQ11" s="41"/>
      <c r="PBR11" s="41"/>
      <c r="PBS11" s="41"/>
      <c r="PBT11" s="41"/>
      <c r="PBU11" s="41"/>
      <c r="PBV11" s="41"/>
      <c r="PBW11" s="41"/>
      <c r="PBX11" s="41"/>
      <c r="PBY11" s="41"/>
      <c r="PBZ11" s="41"/>
      <c r="PCA11" s="41"/>
      <c r="PCB11" s="41"/>
      <c r="PCC11" s="41"/>
      <c r="PCD11" s="41"/>
      <c r="PCE11" s="41"/>
      <c r="PCF11" s="41"/>
      <c r="PCG11" s="41"/>
      <c r="PCH11" s="41"/>
      <c r="PCI11" s="41"/>
      <c r="PCJ11" s="41"/>
      <c r="PCK11" s="41"/>
      <c r="PCL11" s="41"/>
      <c r="PCM11" s="41"/>
      <c r="PCN11" s="41"/>
      <c r="PCO11" s="41"/>
      <c r="PCP11" s="41"/>
      <c r="PCQ11" s="41"/>
      <c r="PCR11" s="41"/>
      <c r="PCS11" s="41"/>
      <c r="PCT11" s="41"/>
      <c r="PCU11" s="41"/>
      <c r="PCV11" s="41"/>
      <c r="PCW11" s="41"/>
      <c r="PCX11" s="41"/>
      <c r="PCY11" s="41"/>
      <c r="PCZ11" s="41"/>
      <c r="PDA11" s="41"/>
      <c r="PDB11" s="41"/>
      <c r="PDC11" s="41"/>
      <c r="PDD11" s="41"/>
      <c r="PDE11" s="41"/>
      <c r="PDF11" s="41"/>
      <c r="PDG11" s="41"/>
      <c r="PDH11" s="41"/>
      <c r="PDI11" s="41"/>
      <c r="PDJ11" s="41"/>
      <c r="PDK11" s="41"/>
      <c r="PDL11" s="41"/>
      <c r="PDM11" s="41"/>
      <c r="PDN11" s="41"/>
      <c r="PDO11" s="41"/>
      <c r="PDP11" s="41"/>
      <c r="PDQ11" s="41"/>
      <c r="PDR11" s="41"/>
      <c r="PDS11" s="41"/>
      <c r="PDT11" s="41"/>
      <c r="PDU11" s="41"/>
      <c r="PDV11" s="41"/>
      <c r="PDW11" s="41"/>
      <c r="PDX11" s="41"/>
      <c r="PDY11" s="41"/>
      <c r="PDZ11" s="41"/>
      <c r="PEA11" s="41"/>
      <c r="PEB11" s="41"/>
      <c r="PEC11" s="41"/>
      <c r="PED11" s="41"/>
      <c r="PEE11" s="41"/>
      <c r="PEF11" s="41"/>
      <c r="PEG11" s="41"/>
      <c r="PEH11" s="41"/>
      <c r="PEI11" s="41"/>
      <c r="PEJ11" s="41"/>
      <c r="PEK11" s="41"/>
      <c r="PEL11" s="41"/>
      <c r="PEM11" s="41"/>
      <c r="PEN11" s="41"/>
      <c r="PEO11" s="41"/>
      <c r="PEP11" s="41"/>
      <c r="PEQ11" s="41"/>
      <c r="PER11" s="41"/>
      <c r="PES11" s="41"/>
      <c r="PET11" s="41"/>
      <c r="PEU11" s="41"/>
      <c r="PEV11" s="41"/>
      <c r="PEW11" s="41"/>
      <c r="PEX11" s="41"/>
      <c r="PEY11" s="41"/>
      <c r="PEZ11" s="41"/>
      <c r="PFA11" s="41"/>
      <c r="PFB11" s="41"/>
      <c r="PFC11" s="41"/>
      <c r="PFD11" s="41"/>
      <c r="PFE11" s="41"/>
      <c r="PFF11" s="41"/>
      <c r="PFG11" s="41"/>
      <c r="PFH11" s="41"/>
      <c r="PFI11" s="41"/>
      <c r="PFJ11" s="41"/>
      <c r="PFK11" s="41"/>
      <c r="PFL11" s="41"/>
      <c r="PFM11" s="41"/>
      <c r="PFN11" s="41"/>
      <c r="PFO11" s="41"/>
      <c r="PFP11" s="41"/>
      <c r="PFQ11" s="41"/>
      <c r="PFR11" s="41"/>
      <c r="PFS11" s="41"/>
      <c r="PFT11" s="41"/>
      <c r="PFU11" s="41"/>
      <c r="PFV11" s="41"/>
      <c r="PFW11" s="41"/>
      <c r="PFX11" s="41"/>
      <c r="PFY11" s="41"/>
      <c r="PFZ11" s="41"/>
      <c r="PGA11" s="41"/>
      <c r="PGB11" s="41"/>
      <c r="PGC11" s="41"/>
      <c r="PGD11" s="41"/>
      <c r="PGE11" s="41"/>
      <c r="PGF11" s="41"/>
      <c r="PGG11" s="41"/>
      <c r="PGH11" s="41"/>
      <c r="PGI11" s="41"/>
      <c r="PGJ11" s="41"/>
      <c r="PGK11" s="41"/>
      <c r="PGL11" s="41"/>
      <c r="PGM11" s="41"/>
      <c r="PGN11" s="41"/>
      <c r="PGO11" s="41"/>
      <c r="PGP11" s="41"/>
      <c r="PGQ11" s="41"/>
      <c r="PGR11" s="41"/>
      <c r="PGS11" s="41"/>
      <c r="PGT11" s="41"/>
      <c r="PGU11" s="41"/>
      <c r="PGV11" s="41"/>
      <c r="PGW11" s="41"/>
      <c r="PGX11" s="41"/>
      <c r="PGY11" s="41"/>
      <c r="PGZ11" s="41"/>
      <c r="PHA11" s="41"/>
      <c r="PHB11" s="41"/>
      <c r="PHC11" s="41"/>
      <c r="PHD11" s="41"/>
      <c r="PHE11" s="41"/>
      <c r="PHF11" s="41"/>
      <c r="PHG11" s="41"/>
      <c r="PHH11" s="41"/>
      <c r="PHI11" s="41"/>
      <c r="PHJ11" s="41"/>
      <c r="PHK11" s="41"/>
      <c r="PHL11" s="41"/>
      <c r="PHM11" s="41"/>
      <c r="PHN11" s="41"/>
      <c r="PHO11" s="41"/>
      <c r="PHP11" s="41"/>
      <c r="PHQ11" s="41"/>
      <c r="PHR11" s="41"/>
      <c r="PHS11" s="41"/>
      <c r="PHT11" s="41"/>
      <c r="PHU11" s="41"/>
      <c r="PHV11" s="41"/>
      <c r="PHW11" s="41"/>
      <c r="PHX11" s="41"/>
      <c r="PHY11" s="41"/>
      <c r="PHZ11" s="41"/>
      <c r="PIA11" s="41"/>
      <c r="PIB11" s="41"/>
      <c r="PIC11" s="41"/>
      <c r="PID11" s="41"/>
      <c r="PIE11" s="41"/>
      <c r="PIF11" s="41"/>
      <c r="PIG11" s="41"/>
      <c r="PIH11" s="41"/>
      <c r="PII11" s="41"/>
      <c r="PIJ11" s="41"/>
      <c r="PIK11" s="41"/>
      <c r="PIL11" s="41"/>
      <c r="PIM11" s="41"/>
      <c r="PIN11" s="41"/>
      <c r="PIO11" s="41"/>
      <c r="PIP11" s="41"/>
      <c r="PIQ11" s="41"/>
      <c r="PIR11" s="41"/>
      <c r="PIS11" s="41"/>
      <c r="PIT11" s="41"/>
      <c r="PIU11" s="41"/>
      <c r="PIV11" s="41"/>
      <c r="PIW11" s="41"/>
      <c r="PIX11" s="41"/>
      <c r="PIY11" s="41"/>
      <c r="PIZ11" s="41"/>
      <c r="PJA11" s="41"/>
      <c r="PJB11" s="41"/>
      <c r="PJC11" s="41"/>
      <c r="PJD11" s="41"/>
      <c r="PJE11" s="41"/>
      <c r="PJF11" s="41"/>
      <c r="PJG11" s="41"/>
      <c r="PJH11" s="41"/>
      <c r="PJI11" s="41"/>
      <c r="PJJ11" s="41"/>
      <c r="PJK11" s="41"/>
      <c r="PJL11" s="41"/>
      <c r="PJM11" s="41"/>
      <c r="PJN11" s="41"/>
      <c r="PJO11" s="41"/>
      <c r="PJP11" s="41"/>
      <c r="PJQ11" s="41"/>
      <c r="PJR11" s="41"/>
      <c r="PJS11" s="41"/>
      <c r="PJT11" s="41"/>
      <c r="PJU11" s="41"/>
      <c r="PJV11" s="41"/>
      <c r="PJW11" s="41"/>
      <c r="PJX11" s="41"/>
      <c r="PJY11" s="41"/>
      <c r="PJZ11" s="41"/>
      <c r="PKA11" s="41"/>
      <c r="PKB11" s="41"/>
      <c r="PKC11" s="41"/>
      <c r="PKD11" s="41"/>
      <c r="PKE11" s="41"/>
      <c r="PKF11" s="41"/>
      <c r="PKG11" s="41"/>
      <c r="PKH11" s="41"/>
      <c r="PKI11" s="41"/>
      <c r="PKJ11" s="41"/>
      <c r="PKK11" s="41"/>
      <c r="PKL11" s="41"/>
      <c r="PKM11" s="41"/>
      <c r="PKN11" s="41"/>
      <c r="PKO11" s="41"/>
      <c r="PKP11" s="41"/>
      <c r="PKQ11" s="41"/>
      <c r="PKR11" s="41"/>
      <c r="PKS11" s="41"/>
      <c r="PKT11" s="41"/>
      <c r="PKU11" s="41"/>
      <c r="PKV11" s="41"/>
      <c r="PKW11" s="41"/>
      <c r="PKX11" s="41"/>
      <c r="PKY11" s="41"/>
      <c r="PKZ11" s="41"/>
      <c r="PLA11" s="41"/>
      <c r="PLB11" s="41"/>
      <c r="PLC11" s="41"/>
      <c r="PLD11" s="41"/>
      <c r="PLE11" s="41"/>
      <c r="PLF11" s="41"/>
      <c r="PLG11" s="41"/>
      <c r="PLH11" s="41"/>
      <c r="PLI11" s="41"/>
      <c r="PLJ11" s="41"/>
      <c r="PLK11" s="41"/>
      <c r="PLL11" s="41"/>
      <c r="PLM11" s="41"/>
      <c r="PLN11" s="41"/>
      <c r="PLO11" s="41"/>
      <c r="PLP11" s="41"/>
      <c r="PLQ11" s="41"/>
      <c r="PLR11" s="41"/>
      <c r="PLS11" s="41"/>
      <c r="PLT11" s="41"/>
      <c r="PLU11" s="41"/>
      <c r="PLV11" s="41"/>
      <c r="PLW11" s="41"/>
      <c r="PLX11" s="41"/>
      <c r="PLY11" s="41"/>
      <c r="PLZ11" s="41"/>
      <c r="PMA11" s="41"/>
      <c r="PMB11" s="41"/>
      <c r="PMC11" s="41"/>
      <c r="PMD11" s="41"/>
      <c r="PME11" s="41"/>
      <c r="PMF11" s="41"/>
      <c r="PMG11" s="41"/>
      <c r="PMH11" s="41"/>
      <c r="PMI11" s="41"/>
      <c r="PMJ11" s="41"/>
      <c r="PMK11" s="41"/>
      <c r="PML11" s="41"/>
      <c r="PMM11" s="41"/>
      <c r="PMN11" s="41"/>
      <c r="PMO11" s="41"/>
      <c r="PMP11" s="41"/>
      <c r="PMQ11" s="41"/>
      <c r="PMR11" s="41"/>
      <c r="PMS11" s="41"/>
      <c r="PMT11" s="41"/>
      <c r="PMU11" s="41"/>
      <c r="PMV11" s="41"/>
      <c r="PMW11" s="41"/>
      <c r="PMX11" s="41"/>
      <c r="PMY11" s="41"/>
      <c r="PMZ11" s="41"/>
      <c r="PNA11" s="41"/>
      <c r="PNB11" s="41"/>
      <c r="PNC11" s="41"/>
      <c r="PND11" s="41"/>
      <c r="PNE11" s="41"/>
      <c r="PNF11" s="41"/>
      <c r="PNG11" s="41"/>
      <c r="PNH11" s="41"/>
      <c r="PNI11" s="41"/>
      <c r="PNJ11" s="41"/>
      <c r="PNK11" s="41"/>
      <c r="PNL11" s="41"/>
      <c r="PNM11" s="41"/>
      <c r="PNN11" s="41"/>
      <c r="PNO11" s="41"/>
      <c r="PNP11" s="41"/>
      <c r="PNQ11" s="41"/>
      <c r="PNR11" s="41"/>
      <c r="PNS11" s="41"/>
      <c r="PNT11" s="41"/>
      <c r="PNU11" s="41"/>
      <c r="PNV11" s="41"/>
      <c r="PNW11" s="41"/>
      <c r="PNX11" s="41"/>
      <c r="PNY11" s="41"/>
      <c r="PNZ11" s="41"/>
      <c r="POA11" s="41"/>
      <c r="POB11" s="41"/>
      <c r="POC11" s="41"/>
      <c r="POD11" s="41"/>
      <c r="POE11" s="41"/>
      <c r="POF11" s="41"/>
      <c r="POG11" s="41"/>
      <c r="POH11" s="41"/>
      <c r="POI11" s="41"/>
      <c r="POJ11" s="41"/>
      <c r="POK11" s="41"/>
      <c r="POL11" s="41"/>
      <c r="POM11" s="41"/>
      <c r="PON11" s="41"/>
      <c r="POO11" s="41"/>
      <c r="POP11" s="41"/>
      <c r="POQ11" s="41"/>
      <c r="POR11" s="41"/>
      <c r="POS11" s="41"/>
      <c r="POT11" s="41"/>
      <c r="POU11" s="41"/>
      <c r="POV11" s="41"/>
      <c r="POW11" s="41"/>
      <c r="POX11" s="41"/>
      <c r="POY11" s="41"/>
      <c r="POZ11" s="41"/>
      <c r="PPA11" s="41"/>
      <c r="PPB11" s="41"/>
      <c r="PPC11" s="41"/>
      <c r="PPD11" s="41"/>
      <c r="PPE11" s="41"/>
      <c r="PPF11" s="41"/>
      <c r="PPG11" s="41"/>
      <c r="PPH11" s="41"/>
      <c r="PPI11" s="41"/>
      <c r="PPJ11" s="41"/>
      <c r="PPK11" s="41"/>
      <c r="PPL11" s="41"/>
      <c r="PPM11" s="41"/>
      <c r="PPN11" s="41"/>
      <c r="PPO11" s="41"/>
      <c r="PPP11" s="41"/>
      <c r="PPQ11" s="41"/>
      <c r="PPR11" s="41"/>
      <c r="PPS11" s="41"/>
      <c r="PPT11" s="41"/>
      <c r="PPU11" s="41"/>
      <c r="PPV11" s="41"/>
      <c r="PPW11" s="41"/>
      <c r="PPX11" s="41"/>
      <c r="PPY11" s="41"/>
      <c r="PPZ11" s="41"/>
      <c r="PQA11" s="41"/>
      <c r="PQB11" s="41"/>
      <c r="PQC11" s="41"/>
      <c r="PQD11" s="41"/>
      <c r="PQE11" s="41"/>
      <c r="PQF11" s="41"/>
      <c r="PQG11" s="41"/>
      <c r="PQH11" s="41"/>
      <c r="PQI11" s="41"/>
      <c r="PQJ11" s="41"/>
      <c r="PQK11" s="41"/>
      <c r="PQL11" s="41"/>
      <c r="PQM11" s="41"/>
      <c r="PQN11" s="41"/>
      <c r="PQO11" s="41"/>
      <c r="PQP11" s="41"/>
      <c r="PQQ11" s="41"/>
      <c r="PQR11" s="41"/>
      <c r="PQS11" s="41"/>
      <c r="PQT11" s="41"/>
      <c r="PQU11" s="41"/>
      <c r="PQV11" s="41"/>
      <c r="PQW11" s="41"/>
      <c r="PQX11" s="41"/>
      <c r="PQY11" s="41"/>
      <c r="PQZ11" s="41"/>
      <c r="PRA11" s="41"/>
      <c r="PRB11" s="41"/>
      <c r="PRC11" s="41"/>
      <c r="PRD11" s="41"/>
      <c r="PRE11" s="41"/>
      <c r="PRF11" s="41"/>
      <c r="PRG11" s="41"/>
      <c r="PRH11" s="41"/>
      <c r="PRI11" s="41"/>
      <c r="PRJ11" s="41"/>
      <c r="PRK11" s="41"/>
      <c r="PRL11" s="41"/>
      <c r="PRM11" s="41"/>
      <c r="PRN11" s="41"/>
      <c r="PRO11" s="41"/>
      <c r="PRP11" s="41"/>
      <c r="PRQ11" s="41"/>
      <c r="PRR11" s="41"/>
      <c r="PRS11" s="41"/>
      <c r="PRT11" s="41"/>
      <c r="PRU11" s="41"/>
      <c r="PRV11" s="41"/>
      <c r="PRW11" s="41"/>
      <c r="PRX11" s="41"/>
      <c r="PRY11" s="41"/>
      <c r="PRZ11" s="41"/>
      <c r="PSA11" s="41"/>
      <c r="PSB11" s="41"/>
      <c r="PSC11" s="41"/>
      <c r="PSD11" s="41"/>
      <c r="PSE11" s="41"/>
      <c r="PSF11" s="41"/>
      <c r="PSG11" s="41"/>
      <c r="PSH11" s="41"/>
      <c r="PSI11" s="41"/>
      <c r="PSJ11" s="41"/>
      <c r="PSK11" s="41"/>
      <c r="PSL11" s="41"/>
      <c r="PSM11" s="41"/>
      <c r="PSN11" s="41"/>
      <c r="PSO11" s="41"/>
      <c r="PSP11" s="41"/>
      <c r="PSQ11" s="41"/>
      <c r="PSR11" s="41"/>
      <c r="PSS11" s="41"/>
      <c r="PST11" s="41"/>
      <c r="PSU11" s="41"/>
      <c r="PSV11" s="41"/>
      <c r="PSW11" s="41"/>
      <c r="PSX11" s="41"/>
      <c r="PSY11" s="41"/>
      <c r="PSZ11" s="41"/>
      <c r="PTA11" s="41"/>
      <c r="PTB11" s="41"/>
      <c r="PTC11" s="41"/>
      <c r="PTD11" s="41"/>
      <c r="PTE11" s="41"/>
      <c r="PTF11" s="41"/>
      <c r="PTG11" s="41"/>
      <c r="PTH11" s="41"/>
      <c r="PTI11" s="41"/>
      <c r="PTJ11" s="41"/>
      <c r="PTK11" s="41"/>
      <c r="PTL11" s="41"/>
      <c r="PTM11" s="41"/>
      <c r="PTN11" s="41"/>
      <c r="PTO11" s="41"/>
      <c r="PTP11" s="41"/>
      <c r="PTQ11" s="41"/>
      <c r="PTR11" s="41"/>
      <c r="PTS11" s="41"/>
      <c r="PTT11" s="41"/>
      <c r="PTU11" s="41"/>
      <c r="PTV11" s="41"/>
      <c r="PTW11" s="41"/>
      <c r="PTX11" s="41"/>
      <c r="PTY11" s="41"/>
      <c r="PTZ11" s="41"/>
      <c r="PUA11" s="41"/>
      <c r="PUB11" s="41"/>
      <c r="PUC11" s="41"/>
      <c r="PUD11" s="41"/>
      <c r="PUE11" s="41"/>
      <c r="PUF11" s="41"/>
      <c r="PUG11" s="41"/>
      <c r="PUH11" s="41"/>
      <c r="PUI11" s="41"/>
      <c r="PUJ11" s="41"/>
      <c r="PUK11" s="41"/>
      <c r="PUL11" s="41"/>
      <c r="PUM11" s="41"/>
      <c r="PUN11" s="41"/>
      <c r="PUO11" s="41"/>
      <c r="PUP11" s="41"/>
      <c r="PUQ11" s="41"/>
      <c r="PUR11" s="41"/>
      <c r="PUS11" s="41"/>
      <c r="PUT11" s="41"/>
      <c r="PUU11" s="41"/>
      <c r="PUV11" s="41"/>
      <c r="PUW11" s="41"/>
      <c r="PUX11" s="41"/>
      <c r="PUY11" s="41"/>
      <c r="PUZ11" s="41"/>
      <c r="PVA11" s="41"/>
      <c r="PVB11" s="41"/>
      <c r="PVC11" s="41"/>
      <c r="PVD11" s="41"/>
      <c r="PVE11" s="41"/>
      <c r="PVF11" s="41"/>
      <c r="PVG11" s="41"/>
      <c r="PVH11" s="41"/>
      <c r="PVI11" s="41"/>
      <c r="PVJ11" s="41"/>
      <c r="PVK11" s="41"/>
      <c r="PVL11" s="41"/>
      <c r="PVM11" s="41"/>
      <c r="PVN11" s="41"/>
      <c r="PVO11" s="41"/>
      <c r="PVP11" s="41"/>
      <c r="PVQ11" s="41"/>
      <c r="PVR11" s="41"/>
      <c r="PVS11" s="41"/>
      <c r="PVT11" s="41"/>
      <c r="PVU11" s="41"/>
      <c r="PVV11" s="41"/>
      <c r="PVW11" s="41"/>
      <c r="PVX11" s="41"/>
      <c r="PVY11" s="41"/>
      <c r="PVZ11" s="41"/>
      <c r="PWA11" s="41"/>
      <c r="PWB11" s="41"/>
      <c r="PWC11" s="41"/>
      <c r="PWD11" s="41"/>
      <c r="PWE11" s="41"/>
      <c r="PWF11" s="41"/>
      <c r="PWG11" s="41"/>
      <c r="PWH11" s="41"/>
      <c r="PWI11" s="41"/>
      <c r="PWJ11" s="41"/>
      <c r="PWK11" s="41"/>
      <c r="PWL11" s="41"/>
      <c r="PWM11" s="41"/>
      <c r="PWN11" s="41"/>
      <c r="PWO11" s="41"/>
      <c r="PWP11" s="41"/>
      <c r="PWQ11" s="41"/>
      <c r="PWR11" s="41"/>
      <c r="PWS11" s="41"/>
      <c r="PWT11" s="41"/>
      <c r="PWU11" s="41"/>
      <c r="PWV11" s="41"/>
      <c r="PWW11" s="41"/>
      <c r="PWX11" s="41"/>
      <c r="PWY11" s="41"/>
      <c r="PWZ11" s="41"/>
      <c r="PXA11" s="41"/>
      <c r="PXB11" s="41"/>
      <c r="PXC11" s="41"/>
      <c r="PXD11" s="41"/>
      <c r="PXE11" s="41"/>
      <c r="PXF11" s="41"/>
      <c r="PXG11" s="41"/>
      <c r="PXH11" s="41"/>
      <c r="PXI11" s="41"/>
      <c r="PXJ11" s="41"/>
      <c r="PXK11" s="41"/>
      <c r="PXL11" s="41"/>
      <c r="PXM11" s="41"/>
      <c r="PXN11" s="41"/>
      <c r="PXO11" s="41"/>
      <c r="PXP11" s="41"/>
      <c r="PXQ11" s="41"/>
      <c r="PXR11" s="41"/>
      <c r="PXS11" s="41"/>
      <c r="PXT11" s="41"/>
      <c r="PXU11" s="41"/>
      <c r="PXV11" s="41"/>
      <c r="PXW11" s="41"/>
      <c r="PXX11" s="41"/>
      <c r="PXY11" s="41"/>
      <c r="PXZ11" s="41"/>
      <c r="PYA11" s="41"/>
      <c r="PYB11" s="41"/>
      <c r="PYC11" s="41"/>
      <c r="PYD11" s="41"/>
      <c r="PYE11" s="41"/>
      <c r="PYF11" s="41"/>
      <c r="PYG11" s="41"/>
      <c r="PYH11" s="41"/>
      <c r="PYI11" s="41"/>
      <c r="PYJ11" s="41"/>
      <c r="PYK11" s="41"/>
      <c r="PYL11" s="41"/>
      <c r="PYM11" s="41"/>
      <c r="PYN11" s="41"/>
      <c r="PYO11" s="41"/>
      <c r="PYP11" s="41"/>
      <c r="PYQ11" s="41"/>
      <c r="PYR11" s="41"/>
      <c r="PYS11" s="41"/>
      <c r="PYT11" s="41"/>
      <c r="PYU11" s="41"/>
      <c r="PYV11" s="41"/>
      <c r="PYW11" s="41"/>
      <c r="PYX11" s="41"/>
      <c r="PYY11" s="41"/>
      <c r="PYZ11" s="41"/>
      <c r="PZA11" s="41"/>
      <c r="PZB11" s="41"/>
      <c r="PZC11" s="41"/>
      <c r="PZD11" s="41"/>
      <c r="PZE11" s="41"/>
      <c r="PZF11" s="41"/>
      <c r="PZG11" s="41"/>
      <c r="PZH11" s="41"/>
      <c r="PZI11" s="41"/>
      <c r="PZJ11" s="41"/>
      <c r="PZK11" s="41"/>
      <c r="PZL11" s="41"/>
      <c r="PZM11" s="41"/>
      <c r="PZN11" s="41"/>
      <c r="PZO11" s="41"/>
      <c r="PZP11" s="41"/>
      <c r="PZQ11" s="41"/>
      <c r="PZR11" s="41"/>
      <c r="PZS11" s="41"/>
      <c r="PZT11" s="41"/>
      <c r="PZU11" s="41"/>
      <c r="PZV11" s="41"/>
      <c r="PZW11" s="41"/>
      <c r="PZX11" s="41"/>
      <c r="PZY11" s="41"/>
      <c r="PZZ11" s="41"/>
      <c r="QAA11" s="41"/>
      <c r="QAB11" s="41"/>
      <c r="QAC11" s="41"/>
      <c r="QAD11" s="41"/>
      <c r="QAE11" s="41"/>
      <c r="QAF11" s="41"/>
      <c r="QAG11" s="41"/>
      <c r="QAH11" s="41"/>
      <c r="QAI11" s="41"/>
      <c r="QAJ11" s="41"/>
      <c r="QAK11" s="41"/>
      <c r="QAL11" s="41"/>
      <c r="QAM11" s="41"/>
      <c r="QAN11" s="41"/>
      <c r="QAO11" s="41"/>
      <c r="QAP11" s="41"/>
      <c r="QAQ11" s="41"/>
      <c r="QAR11" s="41"/>
      <c r="QAS11" s="41"/>
      <c r="QAT11" s="41"/>
      <c r="QAU11" s="41"/>
      <c r="QAV11" s="41"/>
      <c r="QAW11" s="41"/>
      <c r="QAX11" s="41"/>
      <c r="QAY11" s="41"/>
      <c r="QAZ11" s="41"/>
      <c r="QBA11" s="41"/>
      <c r="QBB11" s="41"/>
      <c r="QBC11" s="41"/>
      <c r="QBD11" s="41"/>
      <c r="QBE11" s="41"/>
      <c r="QBF11" s="41"/>
      <c r="QBG11" s="41"/>
      <c r="QBH11" s="41"/>
      <c r="QBI11" s="41"/>
      <c r="QBJ11" s="41"/>
      <c r="QBK11" s="41"/>
      <c r="QBL11" s="41"/>
      <c r="QBM11" s="41"/>
      <c r="QBN11" s="41"/>
      <c r="QBO11" s="41"/>
      <c r="QBP11" s="41"/>
      <c r="QBQ11" s="41"/>
      <c r="QBR11" s="41"/>
      <c r="QBS11" s="41"/>
      <c r="QBT11" s="41"/>
      <c r="QBU11" s="41"/>
      <c r="QBV11" s="41"/>
      <c r="QBW11" s="41"/>
      <c r="QBX11" s="41"/>
      <c r="QBY11" s="41"/>
      <c r="QBZ11" s="41"/>
      <c r="QCA11" s="41"/>
      <c r="QCB11" s="41"/>
      <c r="QCC11" s="41"/>
      <c r="QCD11" s="41"/>
      <c r="QCE11" s="41"/>
      <c r="QCF11" s="41"/>
      <c r="QCG11" s="41"/>
      <c r="QCH11" s="41"/>
      <c r="QCI11" s="41"/>
      <c r="QCJ11" s="41"/>
      <c r="QCK11" s="41"/>
      <c r="QCL11" s="41"/>
      <c r="QCM11" s="41"/>
      <c r="QCN11" s="41"/>
      <c r="QCO11" s="41"/>
      <c r="QCP11" s="41"/>
      <c r="QCQ11" s="41"/>
      <c r="QCR11" s="41"/>
      <c r="QCS11" s="41"/>
      <c r="QCT11" s="41"/>
      <c r="QCU11" s="41"/>
      <c r="QCV11" s="41"/>
      <c r="QCW11" s="41"/>
      <c r="QCX11" s="41"/>
      <c r="QCY11" s="41"/>
      <c r="QCZ11" s="41"/>
      <c r="QDA11" s="41"/>
      <c r="QDB11" s="41"/>
      <c r="QDC11" s="41"/>
      <c r="QDD11" s="41"/>
      <c r="QDE11" s="41"/>
      <c r="QDF11" s="41"/>
      <c r="QDG11" s="41"/>
      <c r="QDH11" s="41"/>
      <c r="QDI11" s="41"/>
      <c r="QDJ11" s="41"/>
      <c r="QDK11" s="41"/>
      <c r="QDL11" s="41"/>
      <c r="QDM11" s="41"/>
      <c r="QDN11" s="41"/>
      <c r="QDO11" s="41"/>
      <c r="QDP11" s="41"/>
      <c r="QDQ11" s="41"/>
      <c r="QDR11" s="41"/>
      <c r="QDS11" s="41"/>
      <c r="QDT11" s="41"/>
      <c r="QDU11" s="41"/>
      <c r="QDV11" s="41"/>
      <c r="QDW11" s="41"/>
      <c r="QDX11" s="41"/>
      <c r="QDY11" s="41"/>
      <c r="QDZ11" s="41"/>
      <c r="QEA11" s="41"/>
      <c r="QEB11" s="41"/>
      <c r="QEC11" s="41"/>
      <c r="QED11" s="41"/>
      <c r="QEE11" s="41"/>
      <c r="QEF11" s="41"/>
      <c r="QEG11" s="41"/>
      <c r="QEH11" s="41"/>
      <c r="QEI11" s="41"/>
      <c r="QEJ11" s="41"/>
      <c r="QEK11" s="41"/>
      <c r="QEL11" s="41"/>
      <c r="QEM11" s="41"/>
      <c r="QEN11" s="41"/>
      <c r="QEO11" s="41"/>
      <c r="QEP11" s="41"/>
      <c r="QEQ11" s="41"/>
      <c r="QER11" s="41"/>
      <c r="QES11" s="41"/>
      <c r="QET11" s="41"/>
      <c r="QEU11" s="41"/>
      <c r="QEV11" s="41"/>
      <c r="QEW11" s="41"/>
      <c r="QEX11" s="41"/>
      <c r="QEY11" s="41"/>
      <c r="QEZ11" s="41"/>
      <c r="QFA11" s="41"/>
      <c r="QFB11" s="41"/>
      <c r="QFC11" s="41"/>
      <c r="QFD11" s="41"/>
      <c r="QFE11" s="41"/>
      <c r="QFF11" s="41"/>
      <c r="QFG11" s="41"/>
      <c r="QFH11" s="41"/>
      <c r="QFI11" s="41"/>
      <c r="QFJ11" s="41"/>
      <c r="QFK11" s="41"/>
      <c r="QFL11" s="41"/>
      <c r="QFM11" s="41"/>
      <c r="QFN11" s="41"/>
      <c r="QFO11" s="41"/>
      <c r="QFP11" s="41"/>
      <c r="QFQ11" s="41"/>
      <c r="QFR11" s="41"/>
      <c r="QFS11" s="41"/>
      <c r="QFT11" s="41"/>
      <c r="QFU11" s="41"/>
      <c r="QFV11" s="41"/>
      <c r="QFW11" s="41"/>
      <c r="QFX11" s="41"/>
      <c r="QFY11" s="41"/>
      <c r="QFZ11" s="41"/>
      <c r="QGA11" s="41"/>
      <c r="QGB11" s="41"/>
      <c r="QGC11" s="41"/>
      <c r="QGD11" s="41"/>
      <c r="QGE11" s="41"/>
      <c r="QGF11" s="41"/>
      <c r="QGG11" s="41"/>
      <c r="QGH11" s="41"/>
      <c r="QGI11" s="41"/>
      <c r="QGJ11" s="41"/>
      <c r="QGK11" s="41"/>
      <c r="QGL11" s="41"/>
      <c r="QGM11" s="41"/>
      <c r="QGN11" s="41"/>
      <c r="QGO11" s="41"/>
      <c r="QGP11" s="41"/>
      <c r="QGQ11" s="41"/>
      <c r="QGR11" s="41"/>
      <c r="QGS11" s="41"/>
      <c r="QGT11" s="41"/>
      <c r="QGU11" s="41"/>
      <c r="QGV11" s="41"/>
      <c r="QGW11" s="41"/>
      <c r="QGX11" s="41"/>
      <c r="QGY11" s="41"/>
      <c r="QGZ11" s="41"/>
      <c r="QHA11" s="41"/>
      <c r="QHB11" s="41"/>
      <c r="QHC11" s="41"/>
      <c r="QHD11" s="41"/>
      <c r="QHE11" s="41"/>
      <c r="QHF11" s="41"/>
      <c r="QHG11" s="41"/>
      <c r="QHH11" s="41"/>
      <c r="QHI11" s="41"/>
      <c r="QHJ11" s="41"/>
      <c r="QHK11" s="41"/>
      <c r="QHL11" s="41"/>
      <c r="QHM11" s="41"/>
      <c r="QHN11" s="41"/>
      <c r="QHO11" s="41"/>
      <c r="QHP11" s="41"/>
      <c r="QHQ11" s="41"/>
      <c r="QHR11" s="41"/>
      <c r="QHS11" s="41"/>
      <c r="QHT11" s="41"/>
      <c r="QHU11" s="41"/>
      <c r="QHV11" s="41"/>
      <c r="QHW11" s="41"/>
      <c r="QHX11" s="41"/>
      <c r="QHY11" s="41"/>
      <c r="QHZ11" s="41"/>
      <c r="QIA11" s="41"/>
      <c r="QIB11" s="41"/>
      <c r="QIC11" s="41"/>
      <c r="QID11" s="41"/>
      <c r="QIE11" s="41"/>
      <c r="QIF11" s="41"/>
      <c r="QIG11" s="41"/>
      <c r="QIH11" s="41"/>
      <c r="QII11" s="41"/>
      <c r="QIJ11" s="41"/>
      <c r="QIK11" s="41"/>
      <c r="QIL11" s="41"/>
      <c r="QIM11" s="41"/>
      <c r="QIN11" s="41"/>
      <c r="QIO11" s="41"/>
      <c r="QIP11" s="41"/>
      <c r="QIQ11" s="41"/>
      <c r="QIR11" s="41"/>
      <c r="QIS11" s="41"/>
      <c r="QIT11" s="41"/>
      <c r="QIU11" s="41"/>
      <c r="QIV11" s="41"/>
      <c r="QIW11" s="41"/>
      <c r="QIX11" s="41"/>
      <c r="QIY11" s="41"/>
      <c r="QIZ11" s="41"/>
      <c r="QJA11" s="41"/>
      <c r="QJB11" s="41"/>
      <c r="QJC11" s="41"/>
      <c r="QJD11" s="41"/>
      <c r="QJE11" s="41"/>
      <c r="QJF11" s="41"/>
      <c r="QJG11" s="41"/>
      <c r="QJH11" s="41"/>
      <c r="QJI11" s="41"/>
      <c r="QJJ11" s="41"/>
      <c r="QJK11" s="41"/>
      <c r="QJL11" s="41"/>
      <c r="QJM11" s="41"/>
      <c r="QJN11" s="41"/>
      <c r="QJO11" s="41"/>
      <c r="QJP11" s="41"/>
      <c r="QJQ11" s="41"/>
      <c r="QJR11" s="41"/>
      <c r="QJS11" s="41"/>
      <c r="QJT11" s="41"/>
      <c r="QJU11" s="41"/>
      <c r="QJV11" s="41"/>
      <c r="QJW11" s="41"/>
      <c r="QJX11" s="41"/>
      <c r="QJY11" s="41"/>
      <c r="QJZ11" s="41"/>
      <c r="QKA11" s="41"/>
      <c r="QKB11" s="41"/>
      <c r="QKC11" s="41"/>
      <c r="QKD11" s="41"/>
      <c r="QKE11" s="41"/>
      <c r="QKF11" s="41"/>
      <c r="QKG11" s="41"/>
      <c r="QKH11" s="41"/>
      <c r="QKI11" s="41"/>
      <c r="QKJ11" s="41"/>
      <c r="QKK11" s="41"/>
      <c r="QKL11" s="41"/>
      <c r="QKM11" s="41"/>
      <c r="QKN11" s="41"/>
      <c r="QKO11" s="41"/>
      <c r="QKP11" s="41"/>
      <c r="QKQ11" s="41"/>
      <c r="QKR11" s="41"/>
      <c r="QKS11" s="41"/>
      <c r="QKT11" s="41"/>
      <c r="QKU11" s="41"/>
      <c r="QKV11" s="41"/>
      <c r="QKW11" s="41"/>
      <c r="QKX11" s="41"/>
      <c r="QKY11" s="41"/>
      <c r="QKZ11" s="41"/>
      <c r="QLA11" s="41"/>
      <c r="QLB11" s="41"/>
      <c r="QLC11" s="41"/>
      <c r="QLD11" s="41"/>
      <c r="QLE11" s="41"/>
      <c r="QLF11" s="41"/>
      <c r="QLG11" s="41"/>
      <c r="QLH11" s="41"/>
      <c r="QLI11" s="41"/>
      <c r="QLJ11" s="41"/>
      <c r="QLK11" s="41"/>
      <c r="QLL11" s="41"/>
      <c r="QLM11" s="41"/>
      <c r="QLN11" s="41"/>
      <c r="QLO11" s="41"/>
      <c r="QLP11" s="41"/>
      <c r="QLQ11" s="41"/>
      <c r="QLR11" s="41"/>
      <c r="QLS11" s="41"/>
      <c r="QLT11" s="41"/>
      <c r="QLU11" s="41"/>
      <c r="QLV11" s="41"/>
      <c r="QLW11" s="41"/>
      <c r="QLX11" s="41"/>
      <c r="QLY11" s="41"/>
      <c r="QLZ11" s="41"/>
      <c r="QMA11" s="41"/>
      <c r="QMB11" s="41"/>
      <c r="QMC11" s="41"/>
      <c r="QMD11" s="41"/>
      <c r="QME11" s="41"/>
      <c r="QMF11" s="41"/>
      <c r="QMG11" s="41"/>
      <c r="QMH11" s="41"/>
      <c r="QMI11" s="41"/>
      <c r="QMJ11" s="41"/>
      <c r="QMK11" s="41"/>
      <c r="QML11" s="41"/>
      <c r="QMM11" s="41"/>
      <c r="QMN11" s="41"/>
      <c r="QMO11" s="41"/>
      <c r="QMP11" s="41"/>
      <c r="QMQ11" s="41"/>
      <c r="QMR11" s="41"/>
      <c r="QMS11" s="41"/>
      <c r="QMT11" s="41"/>
      <c r="QMU11" s="41"/>
      <c r="QMV11" s="41"/>
      <c r="QMW11" s="41"/>
      <c r="QMX11" s="41"/>
      <c r="QMY11" s="41"/>
      <c r="QMZ11" s="41"/>
      <c r="QNA11" s="41"/>
      <c r="QNB11" s="41"/>
      <c r="QNC11" s="41"/>
      <c r="QND11" s="41"/>
      <c r="QNE11" s="41"/>
      <c r="QNF11" s="41"/>
      <c r="QNG11" s="41"/>
      <c r="QNH11" s="41"/>
      <c r="QNI11" s="41"/>
      <c r="QNJ11" s="41"/>
      <c r="QNK11" s="41"/>
      <c r="QNL11" s="41"/>
      <c r="QNM11" s="41"/>
      <c r="QNN11" s="41"/>
      <c r="QNO11" s="41"/>
      <c r="QNP11" s="41"/>
      <c r="QNQ11" s="41"/>
      <c r="QNR11" s="41"/>
      <c r="QNS11" s="41"/>
      <c r="QNT11" s="41"/>
      <c r="QNU11" s="41"/>
      <c r="QNV11" s="41"/>
      <c r="QNW11" s="41"/>
      <c r="QNX11" s="41"/>
      <c r="QNY11" s="41"/>
      <c r="QNZ11" s="41"/>
      <c r="QOA11" s="41"/>
      <c r="QOB11" s="41"/>
      <c r="QOC11" s="41"/>
      <c r="QOD11" s="41"/>
      <c r="QOE11" s="41"/>
      <c r="QOF11" s="41"/>
      <c r="QOG11" s="41"/>
      <c r="QOH11" s="41"/>
      <c r="QOI11" s="41"/>
      <c r="QOJ11" s="41"/>
      <c r="QOK11" s="41"/>
      <c r="QOL11" s="41"/>
      <c r="QOM11" s="41"/>
      <c r="QON11" s="41"/>
      <c r="QOO11" s="41"/>
      <c r="QOP11" s="41"/>
      <c r="QOQ11" s="41"/>
      <c r="QOR11" s="41"/>
      <c r="QOS11" s="41"/>
      <c r="QOT11" s="41"/>
      <c r="QOU11" s="41"/>
      <c r="QOV11" s="41"/>
      <c r="QOW11" s="41"/>
      <c r="QOX11" s="41"/>
      <c r="QOY11" s="41"/>
      <c r="QOZ11" s="41"/>
      <c r="QPA11" s="41"/>
      <c r="QPB11" s="41"/>
      <c r="QPC11" s="41"/>
      <c r="QPD11" s="41"/>
      <c r="QPE11" s="41"/>
      <c r="QPF11" s="41"/>
      <c r="QPG11" s="41"/>
      <c r="QPH11" s="41"/>
      <c r="QPI11" s="41"/>
      <c r="QPJ11" s="41"/>
      <c r="QPK11" s="41"/>
      <c r="QPL11" s="41"/>
      <c r="QPM11" s="41"/>
      <c r="QPN11" s="41"/>
      <c r="QPO11" s="41"/>
      <c r="QPP11" s="41"/>
      <c r="QPQ11" s="41"/>
      <c r="QPR11" s="41"/>
      <c r="QPS11" s="41"/>
      <c r="QPT11" s="41"/>
      <c r="QPU11" s="41"/>
      <c r="QPV11" s="41"/>
      <c r="QPW11" s="41"/>
      <c r="QPX11" s="41"/>
      <c r="QPY11" s="41"/>
      <c r="QPZ11" s="41"/>
      <c r="QQA11" s="41"/>
      <c r="QQB11" s="41"/>
      <c r="QQC11" s="41"/>
      <c r="QQD11" s="41"/>
      <c r="QQE11" s="41"/>
      <c r="QQF11" s="41"/>
      <c r="QQG11" s="41"/>
      <c r="QQH11" s="41"/>
      <c r="QQI11" s="41"/>
      <c r="QQJ11" s="41"/>
      <c r="QQK11" s="41"/>
      <c r="QQL11" s="41"/>
      <c r="QQM11" s="41"/>
      <c r="QQN11" s="41"/>
      <c r="QQO11" s="41"/>
      <c r="QQP11" s="41"/>
      <c r="QQQ11" s="41"/>
      <c r="QQR11" s="41"/>
      <c r="QQS11" s="41"/>
      <c r="QQT11" s="41"/>
      <c r="QQU11" s="41"/>
      <c r="QQV11" s="41"/>
      <c r="QQW11" s="41"/>
      <c r="QQX11" s="41"/>
      <c r="QQY11" s="41"/>
      <c r="QQZ11" s="41"/>
      <c r="QRA11" s="41"/>
      <c r="QRB11" s="41"/>
      <c r="QRC11" s="41"/>
      <c r="QRD11" s="41"/>
      <c r="QRE11" s="41"/>
      <c r="QRF11" s="41"/>
      <c r="QRG11" s="41"/>
      <c r="QRH11" s="41"/>
      <c r="QRI11" s="41"/>
      <c r="QRJ11" s="41"/>
      <c r="QRK11" s="41"/>
      <c r="QRL11" s="41"/>
      <c r="QRM11" s="41"/>
      <c r="QRN11" s="41"/>
      <c r="QRO11" s="41"/>
      <c r="QRP11" s="41"/>
      <c r="QRQ11" s="41"/>
      <c r="QRR11" s="41"/>
      <c r="QRS11" s="41"/>
      <c r="QRT11" s="41"/>
      <c r="QRU11" s="41"/>
      <c r="QRV11" s="41"/>
      <c r="QRW11" s="41"/>
      <c r="QRX11" s="41"/>
      <c r="QRY11" s="41"/>
      <c r="QRZ11" s="41"/>
      <c r="QSA11" s="41"/>
      <c r="QSB11" s="41"/>
      <c r="QSC11" s="41"/>
      <c r="QSD11" s="41"/>
      <c r="QSE11" s="41"/>
      <c r="QSF11" s="41"/>
      <c r="QSG11" s="41"/>
      <c r="QSH11" s="41"/>
      <c r="QSI11" s="41"/>
      <c r="QSJ11" s="41"/>
      <c r="QSK11" s="41"/>
      <c r="QSL11" s="41"/>
      <c r="QSM11" s="41"/>
      <c r="QSN11" s="41"/>
      <c r="QSO11" s="41"/>
      <c r="QSP11" s="41"/>
      <c r="QSQ11" s="41"/>
      <c r="QSR11" s="41"/>
      <c r="QSS11" s="41"/>
      <c r="QST11" s="41"/>
      <c r="QSU11" s="41"/>
      <c r="QSV11" s="41"/>
      <c r="QSW11" s="41"/>
      <c r="QSX11" s="41"/>
      <c r="QSY11" s="41"/>
      <c r="QSZ11" s="41"/>
      <c r="QTA11" s="41"/>
      <c r="QTB11" s="41"/>
      <c r="QTC11" s="41"/>
      <c r="QTD11" s="41"/>
      <c r="QTE11" s="41"/>
      <c r="QTF11" s="41"/>
      <c r="QTG11" s="41"/>
      <c r="QTH11" s="41"/>
      <c r="QTI11" s="41"/>
      <c r="QTJ11" s="41"/>
      <c r="QTK11" s="41"/>
      <c r="QTL11" s="41"/>
      <c r="QTM11" s="41"/>
      <c r="QTN11" s="41"/>
      <c r="QTO11" s="41"/>
      <c r="QTP11" s="41"/>
      <c r="QTQ11" s="41"/>
      <c r="QTR11" s="41"/>
      <c r="QTS11" s="41"/>
      <c r="QTT11" s="41"/>
      <c r="QTU11" s="41"/>
      <c r="QTV11" s="41"/>
      <c r="QTW11" s="41"/>
      <c r="QTX11" s="41"/>
      <c r="QTY11" s="41"/>
      <c r="QTZ11" s="41"/>
      <c r="QUA11" s="41"/>
      <c r="QUB11" s="41"/>
      <c r="QUC11" s="41"/>
      <c r="QUD11" s="41"/>
      <c r="QUE11" s="41"/>
      <c r="QUF11" s="41"/>
      <c r="QUG11" s="41"/>
      <c r="QUH11" s="41"/>
      <c r="QUI11" s="41"/>
      <c r="QUJ11" s="41"/>
      <c r="QUK11" s="41"/>
      <c r="QUL11" s="41"/>
      <c r="QUM11" s="41"/>
      <c r="QUN11" s="41"/>
      <c r="QUO11" s="41"/>
      <c r="QUP11" s="41"/>
      <c r="QUQ11" s="41"/>
      <c r="QUR11" s="41"/>
      <c r="QUS11" s="41"/>
      <c r="QUT11" s="41"/>
      <c r="QUU11" s="41"/>
      <c r="QUV11" s="41"/>
      <c r="QUW11" s="41"/>
      <c r="QUX11" s="41"/>
      <c r="QUY11" s="41"/>
      <c r="QUZ11" s="41"/>
      <c r="QVA11" s="41"/>
      <c r="QVB11" s="41"/>
      <c r="QVC11" s="41"/>
      <c r="QVD11" s="41"/>
      <c r="QVE11" s="41"/>
      <c r="QVF11" s="41"/>
      <c r="QVG11" s="41"/>
      <c r="QVH11" s="41"/>
      <c r="QVI11" s="41"/>
      <c r="QVJ11" s="41"/>
      <c r="QVK11" s="41"/>
      <c r="QVL11" s="41"/>
      <c r="QVM11" s="41"/>
      <c r="QVN11" s="41"/>
      <c r="QVO11" s="41"/>
      <c r="QVP11" s="41"/>
      <c r="QVQ11" s="41"/>
      <c r="QVR11" s="41"/>
      <c r="QVS11" s="41"/>
      <c r="QVT11" s="41"/>
      <c r="QVU11" s="41"/>
      <c r="QVV11" s="41"/>
      <c r="QVW11" s="41"/>
      <c r="QVX11" s="41"/>
      <c r="QVY11" s="41"/>
      <c r="QVZ11" s="41"/>
      <c r="QWA11" s="41"/>
      <c r="QWB11" s="41"/>
      <c r="QWC11" s="41"/>
      <c r="QWD11" s="41"/>
      <c r="QWE11" s="41"/>
      <c r="QWF11" s="41"/>
      <c r="QWG11" s="41"/>
      <c r="QWH11" s="41"/>
      <c r="QWI11" s="41"/>
      <c r="QWJ11" s="41"/>
      <c r="QWK11" s="41"/>
      <c r="QWL11" s="41"/>
      <c r="QWM11" s="41"/>
      <c r="QWN11" s="41"/>
      <c r="QWO11" s="41"/>
      <c r="QWP11" s="41"/>
      <c r="QWQ11" s="41"/>
      <c r="QWR11" s="41"/>
      <c r="QWS11" s="41"/>
      <c r="QWT11" s="41"/>
      <c r="QWU11" s="41"/>
      <c r="QWV11" s="41"/>
      <c r="QWW11" s="41"/>
      <c r="QWX11" s="41"/>
      <c r="QWY11" s="41"/>
      <c r="QWZ11" s="41"/>
      <c r="QXA11" s="41"/>
      <c r="QXB11" s="41"/>
      <c r="QXC11" s="41"/>
      <c r="QXD11" s="41"/>
      <c r="QXE11" s="41"/>
      <c r="QXF11" s="41"/>
      <c r="QXG11" s="41"/>
      <c r="QXH11" s="41"/>
      <c r="QXI11" s="41"/>
      <c r="QXJ11" s="41"/>
      <c r="QXK11" s="41"/>
      <c r="QXL11" s="41"/>
      <c r="QXM11" s="41"/>
      <c r="QXN11" s="41"/>
      <c r="QXO11" s="41"/>
      <c r="QXP11" s="41"/>
      <c r="QXQ11" s="41"/>
      <c r="QXR11" s="41"/>
      <c r="QXS11" s="41"/>
      <c r="QXT11" s="41"/>
      <c r="QXU11" s="41"/>
      <c r="QXV11" s="41"/>
      <c r="QXW11" s="41"/>
      <c r="QXX11" s="41"/>
      <c r="QXY11" s="41"/>
      <c r="QXZ11" s="41"/>
      <c r="QYA11" s="41"/>
      <c r="QYB11" s="41"/>
      <c r="QYC11" s="41"/>
      <c r="QYD11" s="41"/>
      <c r="QYE11" s="41"/>
      <c r="QYF11" s="41"/>
      <c r="QYG11" s="41"/>
      <c r="QYH11" s="41"/>
      <c r="QYI11" s="41"/>
      <c r="QYJ11" s="41"/>
      <c r="QYK11" s="41"/>
      <c r="QYL11" s="41"/>
      <c r="QYM11" s="41"/>
      <c r="QYN11" s="41"/>
      <c r="QYO11" s="41"/>
      <c r="QYP11" s="41"/>
      <c r="QYQ11" s="41"/>
      <c r="QYR11" s="41"/>
      <c r="QYS11" s="41"/>
      <c r="QYT11" s="41"/>
      <c r="QYU11" s="41"/>
      <c r="QYV11" s="41"/>
      <c r="QYW11" s="41"/>
      <c r="QYX11" s="41"/>
      <c r="QYY11" s="41"/>
      <c r="QYZ11" s="41"/>
      <c r="QZA11" s="41"/>
      <c r="QZB11" s="41"/>
      <c r="QZC11" s="41"/>
      <c r="QZD11" s="41"/>
      <c r="QZE11" s="41"/>
      <c r="QZF11" s="41"/>
      <c r="QZG11" s="41"/>
      <c r="QZH11" s="41"/>
      <c r="QZI11" s="41"/>
      <c r="QZJ11" s="41"/>
      <c r="QZK11" s="41"/>
      <c r="QZL11" s="41"/>
      <c r="QZM11" s="41"/>
      <c r="QZN11" s="41"/>
      <c r="QZO11" s="41"/>
      <c r="QZP11" s="41"/>
      <c r="QZQ11" s="41"/>
      <c r="QZR11" s="41"/>
      <c r="QZS11" s="41"/>
      <c r="QZT11" s="41"/>
      <c r="QZU11" s="41"/>
      <c r="QZV11" s="41"/>
      <c r="QZW11" s="41"/>
      <c r="QZX11" s="41"/>
      <c r="QZY11" s="41"/>
      <c r="QZZ11" s="41"/>
      <c r="RAA11" s="41"/>
      <c r="RAB11" s="41"/>
      <c r="RAC11" s="41"/>
      <c r="RAD11" s="41"/>
      <c r="RAE11" s="41"/>
      <c r="RAF11" s="41"/>
      <c r="RAG11" s="41"/>
      <c r="RAH11" s="41"/>
      <c r="RAI11" s="41"/>
      <c r="RAJ11" s="41"/>
      <c r="RAK11" s="41"/>
      <c r="RAL11" s="41"/>
      <c r="RAM11" s="41"/>
      <c r="RAN11" s="41"/>
      <c r="RAO11" s="41"/>
      <c r="RAP11" s="41"/>
      <c r="RAQ11" s="41"/>
      <c r="RAR11" s="41"/>
      <c r="RAS11" s="41"/>
      <c r="RAT11" s="41"/>
      <c r="RAU11" s="41"/>
      <c r="RAV11" s="41"/>
      <c r="RAW11" s="41"/>
      <c r="RAX11" s="41"/>
      <c r="RAY11" s="41"/>
      <c r="RAZ11" s="41"/>
      <c r="RBA11" s="41"/>
      <c r="RBB11" s="41"/>
      <c r="RBC11" s="41"/>
      <c r="RBD11" s="41"/>
      <c r="RBE11" s="41"/>
      <c r="RBF11" s="41"/>
      <c r="RBG11" s="41"/>
      <c r="RBH11" s="41"/>
      <c r="RBI11" s="41"/>
      <c r="RBJ11" s="41"/>
      <c r="RBK11" s="41"/>
      <c r="RBL11" s="41"/>
      <c r="RBM11" s="41"/>
      <c r="RBN11" s="41"/>
      <c r="RBO11" s="41"/>
      <c r="RBP11" s="41"/>
      <c r="RBQ11" s="41"/>
      <c r="RBR11" s="41"/>
      <c r="RBS11" s="41"/>
      <c r="RBT11" s="41"/>
      <c r="RBU11" s="41"/>
      <c r="RBV11" s="41"/>
      <c r="RBW11" s="41"/>
      <c r="RBX11" s="41"/>
      <c r="RBY11" s="41"/>
      <c r="RBZ11" s="41"/>
      <c r="RCA11" s="41"/>
      <c r="RCB11" s="41"/>
      <c r="RCC11" s="41"/>
      <c r="RCD11" s="41"/>
      <c r="RCE11" s="41"/>
      <c r="RCF11" s="41"/>
      <c r="RCG11" s="41"/>
      <c r="RCH11" s="41"/>
      <c r="RCI11" s="41"/>
      <c r="RCJ11" s="41"/>
      <c r="RCK11" s="41"/>
      <c r="RCL11" s="41"/>
      <c r="RCM11" s="41"/>
      <c r="RCN11" s="41"/>
      <c r="RCO11" s="41"/>
      <c r="RCP11" s="41"/>
      <c r="RCQ11" s="41"/>
      <c r="RCR11" s="41"/>
      <c r="RCS11" s="41"/>
      <c r="RCT11" s="41"/>
      <c r="RCU11" s="41"/>
      <c r="RCV11" s="41"/>
      <c r="RCW11" s="41"/>
      <c r="RCX11" s="41"/>
      <c r="RCY11" s="41"/>
      <c r="RCZ11" s="41"/>
      <c r="RDA11" s="41"/>
      <c r="RDB11" s="41"/>
      <c r="RDC11" s="41"/>
      <c r="RDD11" s="41"/>
      <c r="RDE11" s="41"/>
      <c r="RDF11" s="41"/>
      <c r="RDG11" s="41"/>
      <c r="RDH11" s="41"/>
      <c r="RDI11" s="41"/>
      <c r="RDJ11" s="41"/>
      <c r="RDK11" s="41"/>
      <c r="RDL11" s="41"/>
      <c r="RDM11" s="41"/>
      <c r="RDN11" s="41"/>
      <c r="RDO11" s="41"/>
      <c r="RDP11" s="41"/>
      <c r="RDQ11" s="41"/>
      <c r="RDR11" s="41"/>
      <c r="RDS11" s="41"/>
      <c r="RDT11" s="41"/>
      <c r="RDU11" s="41"/>
      <c r="RDV11" s="41"/>
      <c r="RDW11" s="41"/>
      <c r="RDX11" s="41"/>
      <c r="RDY11" s="41"/>
      <c r="RDZ11" s="41"/>
      <c r="REA11" s="41"/>
      <c r="REB11" s="41"/>
      <c r="REC11" s="41"/>
      <c r="RED11" s="41"/>
      <c r="REE11" s="41"/>
      <c r="REF11" s="41"/>
      <c r="REG11" s="41"/>
      <c r="REH11" s="41"/>
      <c r="REI11" s="41"/>
      <c r="REJ11" s="41"/>
      <c r="REK11" s="41"/>
      <c r="REL11" s="41"/>
      <c r="REM11" s="41"/>
      <c r="REN11" s="41"/>
      <c r="REO11" s="41"/>
      <c r="REP11" s="41"/>
      <c r="REQ11" s="41"/>
      <c r="RER11" s="41"/>
      <c r="RES11" s="41"/>
      <c r="RET11" s="41"/>
      <c r="REU11" s="41"/>
      <c r="REV11" s="41"/>
      <c r="REW11" s="41"/>
      <c r="REX11" s="41"/>
      <c r="REY11" s="41"/>
      <c r="REZ11" s="41"/>
      <c r="RFA11" s="41"/>
      <c r="RFB11" s="41"/>
      <c r="RFC11" s="41"/>
      <c r="RFD11" s="41"/>
      <c r="RFE11" s="41"/>
      <c r="RFF11" s="41"/>
      <c r="RFG11" s="41"/>
      <c r="RFH11" s="41"/>
      <c r="RFI11" s="41"/>
      <c r="RFJ11" s="41"/>
      <c r="RFK11" s="41"/>
      <c r="RFL11" s="41"/>
      <c r="RFM11" s="41"/>
      <c r="RFN11" s="41"/>
      <c r="RFO11" s="41"/>
      <c r="RFP11" s="41"/>
      <c r="RFQ11" s="41"/>
      <c r="RFR11" s="41"/>
      <c r="RFS11" s="41"/>
      <c r="RFT11" s="41"/>
      <c r="RFU11" s="41"/>
      <c r="RFV11" s="41"/>
      <c r="RFW11" s="41"/>
      <c r="RFX11" s="41"/>
      <c r="RFY11" s="41"/>
      <c r="RFZ11" s="41"/>
      <c r="RGA11" s="41"/>
      <c r="RGB11" s="41"/>
      <c r="RGC11" s="41"/>
      <c r="RGD11" s="41"/>
      <c r="RGE11" s="41"/>
      <c r="RGF11" s="41"/>
      <c r="RGG11" s="41"/>
      <c r="RGH11" s="41"/>
      <c r="RGI11" s="41"/>
      <c r="RGJ11" s="41"/>
      <c r="RGK11" s="41"/>
      <c r="RGL11" s="41"/>
      <c r="RGM11" s="41"/>
      <c r="RGN11" s="41"/>
      <c r="RGO11" s="41"/>
      <c r="RGP11" s="41"/>
      <c r="RGQ11" s="41"/>
      <c r="RGR11" s="41"/>
      <c r="RGS11" s="41"/>
      <c r="RGT11" s="41"/>
      <c r="RGU11" s="41"/>
      <c r="RGV11" s="41"/>
      <c r="RGW11" s="41"/>
      <c r="RGX11" s="41"/>
      <c r="RGY11" s="41"/>
      <c r="RGZ11" s="41"/>
      <c r="RHA11" s="41"/>
      <c r="RHB11" s="41"/>
      <c r="RHC11" s="41"/>
      <c r="RHD11" s="41"/>
      <c r="RHE11" s="41"/>
      <c r="RHF11" s="41"/>
      <c r="RHG11" s="41"/>
      <c r="RHH11" s="41"/>
      <c r="RHI11" s="41"/>
      <c r="RHJ11" s="41"/>
      <c r="RHK11" s="41"/>
      <c r="RHL11" s="41"/>
      <c r="RHM11" s="41"/>
      <c r="RHN11" s="41"/>
      <c r="RHO11" s="41"/>
      <c r="RHP11" s="41"/>
      <c r="RHQ11" s="41"/>
      <c r="RHR11" s="41"/>
      <c r="RHS11" s="41"/>
      <c r="RHT11" s="41"/>
      <c r="RHU11" s="41"/>
      <c r="RHV11" s="41"/>
      <c r="RHW11" s="41"/>
      <c r="RHX11" s="41"/>
      <c r="RHY11" s="41"/>
      <c r="RHZ11" s="41"/>
      <c r="RIA11" s="41"/>
      <c r="RIB11" s="41"/>
      <c r="RIC11" s="41"/>
      <c r="RID11" s="41"/>
      <c r="RIE11" s="41"/>
      <c r="RIF11" s="41"/>
      <c r="RIG11" s="41"/>
      <c r="RIH11" s="41"/>
      <c r="RII11" s="41"/>
      <c r="RIJ11" s="41"/>
      <c r="RIK11" s="41"/>
      <c r="RIL11" s="41"/>
      <c r="RIM11" s="41"/>
      <c r="RIN11" s="41"/>
      <c r="RIO11" s="41"/>
      <c r="RIP11" s="41"/>
      <c r="RIQ11" s="41"/>
      <c r="RIR11" s="41"/>
      <c r="RIS11" s="41"/>
      <c r="RIT11" s="41"/>
      <c r="RIU11" s="41"/>
      <c r="RIV11" s="41"/>
      <c r="RIW11" s="41"/>
      <c r="RIX11" s="41"/>
      <c r="RIY11" s="41"/>
      <c r="RIZ11" s="41"/>
      <c r="RJA11" s="41"/>
      <c r="RJB11" s="41"/>
      <c r="RJC11" s="41"/>
      <c r="RJD11" s="41"/>
      <c r="RJE11" s="41"/>
      <c r="RJF11" s="41"/>
      <c r="RJG11" s="41"/>
      <c r="RJH11" s="41"/>
      <c r="RJI11" s="41"/>
      <c r="RJJ11" s="41"/>
      <c r="RJK11" s="41"/>
      <c r="RJL11" s="41"/>
      <c r="RJM11" s="41"/>
      <c r="RJN11" s="41"/>
      <c r="RJO11" s="41"/>
      <c r="RJP11" s="41"/>
      <c r="RJQ11" s="41"/>
      <c r="RJR11" s="41"/>
      <c r="RJS11" s="41"/>
      <c r="RJT11" s="41"/>
      <c r="RJU11" s="41"/>
      <c r="RJV11" s="41"/>
      <c r="RJW11" s="41"/>
      <c r="RJX11" s="41"/>
      <c r="RJY11" s="41"/>
      <c r="RJZ11" s="41"/>
      <c r="RKA11" s="41"/>
      <c r="RKB11" s="41"/>
      <c r="RKC11" s="41"/>
      <c r="RKD11" s="41"/>
      <c r="RKE11" s="41"/>
      <c r="RKF11" s="41"/>
      <c r="RKG11" s="41"/>
      <c r="RKH11" s="41"/>
      <c r="RKI11" s="41"/>
      <c r="RKJ11" s="41"/>
      <c r="RKK11" s="41"/>
      <c r="RKL11" s="41"/>
      <c r="RKM11" s="41"/>
      <c r="RKN11" s="41"/>
      <c r="RKO11" s="41"/>
      <c r="RKP11" s="41"/>
      <c r="RKQ11" s="41"/>
      <c r="RKR11" s="41"/>
      <c r="RKS11" s="41"/>
      <c r="RKT11" s="41"/>
      <c r="RKU11" s="41"/>
      <c r="RKV11" s="41"/>
      <c r="RKW11" s="41"/>
      <c r="RKX11" s="41"/>
      <c r="RKY11" s="41"/>
      <c r="RKZ11" s="41"/>
      <c r="RLA11" s="41"/>
      <c r="RLB11" s="41"/>
      <c r="RLC11" s="41"/>
      <c r="RLD11" s="41"/>
      <c r="RLE11" s="41"/>
      <c r="RLF11" s="41"/>
      <c r="RLG11" s="41"/>
      <c r="RLH11" s="41"/>
      <c r="RLI11" s="41"/>
      <c r="RLJ11" s="41"/>
      <c r="RLK11" s="41"/>
      <c r="RLL11" s="41"/>
      <c r="RLM11" s="41"/>
      <c r="RLN11" s="41"/>
      <c r="RLO11" s="41"/>
      <c r="RLP11" s="41"/>
      <c r="RLQ11" s="41"/>
      <c r="RLR11" s="41"/>
      <c r="RLS11" s="41"/>
      <c r="RLT11" s="41"/>
      <c r="RLU11" s="41"/>
      <c r="RLV11" s="41"/>
      <c r="RLW11" s="41"/>
      <c r="RLX11" s="41"/>
      <c r="RLY11" s="41"/>
      <c r="RLZ11" s="41"/>
      <c r="RMA11" s="41"/>
      <c r="RMB11" s="41"/>
      <c r="RMC11" s="41"/>
      <c r="RMD11" s="41"/>
      <c r="RME11" s="41"/>
      <c r="RMF11" s="41"/>
      <c r="RMG11" s="41"/>
      <c r="RMH11" s="41"/>
      <c r="RMI11" s="41"/>
      <c r="RMJ11" s="41"/>
      <c r="RMK11" s="41"/>
      <c r="RML11" s="41"/>
      <c r="RMM11" s="41"/>
      <c r="RMN11" s="41"/>
      <c r="RMO11" s="41"/>
      <c r="RMP11" s="41"/>
      <c r="RMQ11" s="41"/>
      <c r="RMR11" s="41"/>
      <c r="RMS11" s="41"/>
      <c r="RMT11" s="41"/>
      <c r="RMU11" s="41"/>
      <c r="RMV11" s="41"/>
      <c r="RMW11" s="41"/>
      <c r="RMX11" s="41"/>
      <c r="RMY11" s="41"/>
      <c r="RMZ11" s="41"/>
      <c r="RNA11" s="41"/>
      <c r="RNB11" s="41"/>
      <c r="RNC11" s="41"/>
      <c r="RND11" s="41"/>
      <c r="RNE11" s="41"/>
      <c r="RNF11" s="41"/>
      <c r="RNG11" s="41"/>
      <c r="RNH11" s="41"/>
      <c r="RNI11" s="41"/>
      <c r="RNJ11" s="41"/>
      <c r="RNK11" s="41"/>
      <c r="RNL11" s="41"/>
      <c r="RNM11" s="41"/>
      <c r="RNN11" s="41"/>
      <c r="RNO11" s="41"/>
      <c r="RNP11" s="41"/>
      <c r="RNQ11" s="41"/>
      <c r="RNR11" s="41"/>
      <c r="RNS11" s="41"/>
      <c r="RNT11" s="41"/>
      <c r="RNU11" s="41"/>
      <c r="RNV11" s="41"/>
      <c r="RNW11" s="41"/>
      <c r="RNX11" s="41"/>
      <c r="RNY11" s="41"/>
      <c r="RNZ11" s="41"/>
      <c r="ROA11" s="41"/>
      <c r="ROB11" s="41"/>
      <c r="ROC11" s="41"/>
      <c r="ROD11" s="41"/>
      <c r="ROE11" s="41"/>
      <c r="ROF11" s="41"/>
      <c r="ROG11" s="41"/>
      <c r="ROH11" s="41"/>
      <c r="ROI11" s="41"/>
      <c r="ROJ11" s="41"/>
      <c r="ROK11" s="41"/>
      <c r="ROL11" s="41"/>
      <c r="ROM11" s="41"/>
      <c r="RON11" s="41"/>
      <c r="ROO11" s="41"/>
      <c r="ROP11" s="41"/>
      <c r="ROQ11" s="41"/>
      <c r="ROR11" s="41"/>
      <c r="ROS11" s="41"/>
      <c r="ROT11" s="41"/>
      <c r="ROU11" s="41"/>
      <c r="ROV11" s="41"/>
      <c r="ROW11" s="41"/>
      <c r="ROX11" s="41"/>
      <c r="ROY11" s="41"/>
      <c r="ROZ11" s="41"/>
      <c r="RPA11" s="41"/>
      <c r="RPB11" s="41"/>
      <c r="RPC11" s="41"/>
      <c r="RPD11" s="41"/>
      <c r="RPE11" s="41"/>
      <c r="RPF11" s="41"/>
      <c r="RPG11" s="41"/>
      <c r="RPH11" s="41"/>
      <c r="RPI11" s="41"/>
      <c r="RPJ11" s="41"/>
      <c r="RPK11" s="41"/>
      <c r="RPL11" s="41"/>
      <c r="RPM11" s="41"/>
      <c r="RPN11" s="41"/>
      <c r="RPO11" s="41"/>
      <c r="RPP11" s="41"/>
      <c r="RPQ11" s="41"/>
      <c r="RPR11" s="41"/>
      <c r="RPS11" s="41"/>
      <c r="RPT11" s="41"/>
      <c r="RPU11" s="41"/>
      <c r="RPV11" s="41"/>
      <c r="RPW11" s="41"/>
      <c r="RPX11" s="41"/>
      <c r="RPY11" s="41"/>
      <c r="RPZ11" s="41"/>
      <c r="RQA11" s="41"/>
      <c r="RQB11" s="41"/>
      <c r="RQC11" s="41"/>
      <c r="RQD11" s="41"/>
      <c r="RQE11" s="41"/>
      <c r="RQF11" s="41"/>
      <c r="RQG11" s="41"/>
      <c r="RQH11" s="41"/>
      <c r="RQI11" s="41"/>
      <c r="RQJ11" s="41"/>
      <c r="RQK11" s="41"/>
      <c r="RQL11" s="41"/>
      <c r="RQM11" s="41"/>
      <c r="RQN11" s="41"/>
      <c r="RQO11" s="41"/>
      <c r="RQP11" s="41"/>
      <c r="RQQ11" s="41"/>
      <c r="RQR11" s="41"/>
      <c r="RQS11" s="41"/>
      <c r="RQT11" s="41"/>
      <c r="RQU11" s="41"/>
      <c r="RQV11" s="41"/>
      <c r="RQW11" s="41"/>
      <c r="RQX11" s="41"/>
      <c r="RQY11" s="41"/>
      <c r="RQZ11" s="41"/>
      <c r="RRA11" s="41"/>
      <c r="RRB11" s="41"/>
      <c r="RRC11" s="41"/>
      <c r="RRD11" s="41"/>
      <c r="RRE11" s="41"/>
      <c r="RRF11" s="41"/>
      <c r="RRG11" s="41"/>
      <c r="RRH11" s="41"/>
      <c r="RRI11" s="41"/>
      <c r="RRJ11" s="41"/>
      <c r="RRK11" s="41"/>
      <c r="RRL11" s="41"/>
      <c r="RRM11" s="41"/>
      <c r="RRN11" s="41"/>
      <c r="RRO11" s="41"/>
      <c r="RRP11" s="41"/>
      <c r="RRQ11" s="41"/>
      <c r="RRR11" s="41"/>
      <c r="RRS11" s="41"/>
      <c r="RRT11" s="41"/>
      <c r="RRU11" s="41"/>
      <c r="RRV11" s="41"/>
      <c r="RRW11" s="41"/>
      <c r="RRX11" s="41"/>
      <c r="RRY11" s="41"/>
      <c r="RRZ11" s="41"/>
      <c r="RSA11" s="41"/>
      <c r="RSB11" s="41"/>
      <c r="RSC11" s="41"/>
      <c r="RSD11" s="41"/>
      <c r="RSE11" s="41"/>
      <c r="RSF11" s="41"/>
      <c r="RSG11" s="41"/>
      <c r="RSH11" s="41"/>
      <c r="RSI11" s="41"/>
      <c r="RSJ11" s="41"/>
      <c r="RSK11" s="41"/>
      <c r="RSL11" s="41"/>
      <c r="RSM11" s="41"/>
      <c r="RSN11" s="41"/>
      <c r="RSO11" s="41"/>
      <c r="RSP11" s="41"/>
      <c r="RSQ11" s="41"/>
      <c r="RSR11" s="41"/>
      <c r="RSS11" s="41"/>
      <c r="RST11" s="41"/>
      <c r="RSU11" s="41"/>
      <c r="RSV11" s="41"/>
      <c r="RSW11" s="41"/>
      <c r="RSX11" s="41"/>
      <c r="RSY11" s="41"/>
      <c r="RSZ11" s="41"/>
      <c r="RTA11" s="41"/>
      <c r="RTB11" s="41"/>
      <c r="RTC11" s="41"/>
      <c r="RTD11" s="41"/>
      <c r="RTE11" s="41"/>
      <c r="RTF11" s="41"/>
      <c r="RTG11" s="41"/>
      <c r="RTH11" s="41"/>
      <c r="RTI11" s="41"/>
      <c r="RTJ11" s="41"/>
      <c r="RTK11" s="41"/>
      <c r="RTL11" s="41"/>
      <c r="RTM11" s="41"/>
      <c r="RTN11" s="41"/>
      <c r="RTO11" s="41"/>
      <c r="RTP11" s="41"/>
      <c r="RTQ11" s="41"/>
      <c r="RTR11" s="41"/>
      <c r="RTS11" s="41"/>
      <c r="RTT11" s="41"/>
      <c r="RTU11" s="41"/>
      <c r="RTV11" s="41"/>
      <c r="RTW11" s="41"/>
      <c r="RTX11" s="41"/>
      <c r="RTY11" s="41"/>
      <c r="RTZ11" s="41"/>
      <c r="RUA11" s="41"/>
      <c r="RUB11" s="41"/>
      <c r="RUC11" s="41"/>
      <c r="RUD11" s="41"/>
      <c r="RUE11" s="41"/>
      <c r="RUF11" s="41"/>
      <c r="RUG11" s="41"/>
      <c r="RUH11" s="41"/>
      <c r="RUI11" s="41"/>
      <c r="RUJ11" s="41"/>
      <c r="RUK11" s="41"/>
      <c r="RUL11" s="41"/>
      <c r="RUM11" s="41"/>
      <c r="RUN11" s="41"/>
      <c r="RUO11" s="41"/>
      <c r="RUP11" s="41"/>
      <c r="RUQ11" s="41"/>
      <c r="RUR11" s="41"/>
      <c r="RUS11" s="41"/>
      <c r="RUT11" s="41"/>
      <c r="RUU11" s="41"/>
      <c r="RUV11" s="41"/>
      <c r="RUW11" s="41"/>
      <c r="RUX11" s="41"/>
      <c r="RUY11" s="41"/>
      <c r="RUZ11" s="41"/>
      <c r="RVA11" s="41"/>
      <c r="RVB11" s="41"/>
      <c r="RVC11" s="41"/>
      <c r="RVD11" s="41"/>
      <c r="RVE11" s="41"/>
      <c r="RVF11" s="41"/>
      <c r="RVG11" s="41"/>
      <c r="RVH11" s="41"/>
      <c r="RVI11" s="41"/>
      <c r="RVJ11" s="41"/>
      <c r="RVK11" s="41"/>
      <c r="RVL11" s="41"/>
      <c r="RVM11" s="41"/>
      <c r="RVN11" s="41"/>
      <c r="RVO11" s="41"/>
      <c r="RVP11" s="41"/>
      <c r="RVQ11" s="41"/>
      <c r="RVR11" s="41"/>
      <c r="RVS11" s="41"/>
      <c r="RVT11" s="41"/>
      <c r="RVU11" s="41"/>
      <c r="RVV11" s="41"/>
      <c r="RVW11" s="41"/>
      <c r="RVX11" s="41"/>
      <c r="RVY11" s="41"/>
      <c r="RVZ11" s="41"/>
      <c r="RWA11" s="41"/>
      <c r="RWB11" s="41"/>
      <c r="RWC11" s="41"/>
      <c r="RWD11" s="41"/>
      <c r="RWE11" s="41"/>
      <c r="RWF11" s="41"/>
      <c r="RWG11" s="41"/>
      <c r="RWH11" s="41"/>
      <c r="RWI11" s="41"/>
      <c r="RWJ11" s="41"/>
      <c r="RWK11" s="41"/>
      <c r="RWL11" s="41"/>
      <c r="RWM11" s="41"/>
      <c r="RWN11" s="41"/>
      <c r="RWO11" s="41"/>
      <c r="RWP11" s="41"/>
      <c r="RWQ11" s="41"/>
      <c r="RWR11" s="41"/>
      <c r="RWS11" s="41"/>
      <c r="RWT11" s="41"/>
      <c r="RWU11" s="41"/>
      <c r="RWV11" s="41"/>
      <c r="RWW11" s="41"/>
      <c r="RWX11" s="41"/>
      <c r="RWY11" s="41"/>
      <c r="RWZ11" s="41"/>
      <c r="RXA11" s="41"/>
      <c r="RXB11" s="41"/>
      <c r="RXC11" s="41"/>
      <c r="RXD11" s="41"/>
      <c r="RXE11" s="41"/>
      <c r="RXF11" s="41"/>
      <c r="RXG11" s="41"/>
      <c r="RXH11" s="41"/>
      <c r="RXI11" s="41"/>
      <c r="RXJ11" s="41"/>
      <c r="RXK11" s="41"/>
      <c r="RXL11" s="41"/>
      <c r="RXM11" s="41"/>
      <c r="RXN11" s="41"/>
      <c r="RXO11" s="41"/>
      <c r="RXP11" s="41"/>
      <c r="RXQ11" s="41"/>
      <c r="RXR11" s="41"/>
      <c r="RXS11" s="41"/>
      <c r="RXT11" s="41"/>
      <c r="RXU11" s="41"/>
      <c r="RXV11" s="41"/>
      <c r="RXW11" s="41"/>
      <c r="RXX11" s="41"/>
      <c r="RXY11" s="41"/>
      <c r="RXZ11" s="41"/>
      <c r="RYA11" s="41"/>
      <c r="RYB11" s="41"/>
      <c r="RYC11" s="41"/>
      <c r="RYD11" s="41"/>
      <c r="RYE11" s="41"/>
      <c r="RYF11" s="41"/>
      <c r="RYG11" s="41"/>
      <c r="RYH11" s="41"/>
      <c r="RYI11" s="41"/>
      <c r="RYJ11" s="41"/>
      <c r="RYK11" s="41"/>
      <c r="RYL11" s="41"/>
      <c r="RYM11" s="41"/>
      <c r="RYN11" s="41"/>
      <c r="RYO11" s="41"/>
      <c r="RYP11" s="41"/>
      <c r="RYQ11" s="41"/>
      <c r="RYR11" s="41"/>
      <c r="RYS11" s="41"/>
      <c r="RYT11" s="41"/>
      <c r="RYU11" s="41"/>
      <c r="RYV11" s="41"/>
      <c r="RYW11" s="41"/>
      <c r="RYX11" s="41"/>
      <c r="RYY11" s="41"/>
      <c r="RYZ11" s="41"/>
      <c r="RZA11" s="41"/>
      <c r="RZB11" s="41"/>
      <c r="RZC11" s="41"/>
      <c r="RZD11" s="41"/>
      <c r="RZE11" s="41"/>
      <c r="RZF11" s="41"/>
      <c r="RZG11" s="41"/>
      <c r="RZH11" s="41"/>
      <c r="RZI11" s="41"/>
      <c r="RZJ11" s="41"/>
      <c r="RZK11" s="41"/>
      <c r="RZL11" s="41"/>
      <c r="RZM11" s="41"/>
      <c r="RZN11" s="41"/>
      <c r="RZO11" s="41"/>
      <c r="RZP11" s="41"/>
      <c r="RZQ11" s="41"/>
      <c r="RZR11" s="41"/>
      <c r="RZS11" s="41"/>
      <c r="RZT11" s="41"/>
      <c r="RZU11" s="41"/>
      <c r="RZV11" s="41"/>
      <c r="RZW11" s="41"/>
      <c r="RZX11" s="41"/>
      <c r="RZY11" s="41"/>
      <c r="RZZ11" s="41"/>
      <c r="SAA11" s="41"/>
      <c r="SAB11" s="41"/>
      <c r="SAC11" s="41"/>
      <c r="SAD11" s="41"/>
      <c r="SAE11" s="41"/>
      <c r="SAF11" s="41"/>
      <c r="SAG11" s="41"/>
      <c r="SAH11" s="41"/>
      <c r="SAI11" s="41"/>
      <c r="SAJ11" s="41"/>
      <c r="SAK11" s="41"/>
      <c r="SAL11" s="41"/>
      <c r="SAM11" s="41"/>
      <c r="SAN11" s="41"/>
      <c r="SAO11" s="41"/>
      <c r="SAP11" s="41"/>
      <c r="SAQ11" s="41"/>
      <c r="SAR11" s="41"/>
      <c r="SAS11" s="41"/>
      <c r="SAT11" s="41"/>
      <c r="SAU11" s="41"/>
      <c r="SAV11" s="41"/>
      <c r="SAW11" s="41"/>
      <c r="SAX11" s="41"/>
      <c r="SAY11" s="41"/>
      <c r="SAZ11" s="41"/>
      <c r="SBA11" s="41"/>
      <c r="SBB11" s="41"/>
      <c r="SBC11" s="41"/>
      <c r="SBD11" s="41"/>
      <c r="SBE11" s="41"/>
      <c r="SBF11" s="41"/>
      <c r="SBG11" s="41"/>
      <c r="SBH11" s="41"/>
      <c r="SBI11" s="41"/>
      <c r="SBJ11" s="41"/>
      <c r="SBK11" s="41"/>
      <c r="SBL11" s="41"/>
      <c r="SBM11" s="41"/>
      <c r="SBN11" s="41"/>
      <c r="SBO11" s="41"/>
      <c r="SBP11" s="41"/>
      <c r="SBQ11" s="41"/>
      <c r="SBR11" s="41"/>
      <c r="SBS11" s="41"/>
      <c r="SBT11" s="41"/>
      <c r="SBU11" s="41"/>
      <c r="SBV11" s="41"/>
      <c r="SBW11" s="41"/>
      <c r="SBX11" s="41"/>
      <c r="SBY11" s="41"/>
      <c r="SBZ11" s="41"/>
      <c r="SCA11" s="41"/>
      <c r="SCB11" s="41"/>
      <c r="SCC11" s="41"/>
      <c r="SCD11" s="41"/>
      <c r="SCE11" s="41"/>
      <c r="SCF11" s="41"/>
      <c r="SCG11" s="41"/>
      <c r="SCH11" s="41"/>
      <c r="SCI11" s="41"/>
      <c r="SCJ11" s="41"/>
      <c r="SCK11" s="41"/>
      <c r="SCL11" s="41"/>
      <c r="SCM11" s="41"/>
      <c r="SCN11" s="41"/>
      <c r="SCO11" s="41"/>
      <c r="SCP11" s="41"/>
      <c r="SCQ11" s="41"/>
      <c r="SCR11" s="41"/>
      <c r="SCS11" s="41"/>
      <c r="SCT11" s="41"/>
      <c r="SCU11" s="41"/>
      <c r="SCV11" s="41"/>
      <c r="SCW11" s="41"/>
      <c r="SCX11" s="41"/>
      <c r="SCY11" s="41"/>
      <c r="SCZ11" s="41"/>
      <c r="SDA11" s="41"/>
      <c r="SDB11" s="41"/>
      <c r="SDC11" s="41"/>
      <c r="SDD11" s="41"/>
      <c r="SDE11" s="41"/>
      <c r="SDF11" s="41"/>
      <c r="SDG11" s="41"/>
      <c r="SDH11" s="41"/>
      <c r="SDI11" s="41"/>
      <c r="SDJ11" s="41"/>
      <c r="SDK11" s="41"/>
      <c r="SDL11" s="41"/>
      <c r="SDM11" s="41"/>
      <c r="SDN11" s="41"/>
      <c r="SDO11" s="41"/>
      <c r="SDP11" s="41"/>
      <c r="SDQ11" s="41"/>
      <c r="SDR11" s="41"/>
      <c r="SDS11" s="41"/>
      <c r="SDT11" s="41"/>
      <c r="SDU11" s="41"/>
      <c r="SDV11" s="41"/>
      <c r="SDW11" s="41"/>
      <c r="SDX11" s="41"/>
      <c r="SDY11" s="41"/>
      <c r="SDZ11" s="41"/>
      <c r="SEA11" s="41"/>
      <c r="SEB11" s="41"/>
      <c r="SEC11" s="41"/>
      <c r="SED11" s="41"/>
      <c r="SEE11" s="41"/>
      <c r="SEF11" s="41"/>
      <c r="SEG11" s="41"/>
      <c r="SEH11" s="41"/>
      <c r="SEI11" s="41"/>
      <c r="SEJ11" s="41"/>
      <c r="SEK11" s="41"/>
      <c r="SEL11" s="41"/>
      <c r="SEM11" s="41"/>
      <c r="SEN11" s="41"/>
      <c r="SEO11" s="41"/>
      <c r="SEP11" s="41"/>
      <c r="SEQ11" s="41"/>
      <c r="SER11" s="41"/>
      <c r="SES11" s="41"/>
      <c r="SET11" s="41"/>
      <c r="SEU11" s="41"/>
      <c r="SEV11" s="41"/>
      <c r="SEW11" s="41"/>
      <c r="SEX11" s="41"/>
      <c r="SEY11" s="41"/>
      <c r="SEZ11" s="41"/>
      <c r="SFA11" s="41"/>
      <c r="SFB11" s="41"/>
      <c r="SFC11" s="41"/>
      <c r="SFD11" s="41"/>
      <c r="SFE11" s="41"/>
      <c r="SFF11" s="41"/>
      <c r="SFG11" s="41"/>
      <c r="SFH11" s="41"/>
      <c r="SFI11" s="41"/>
      <c r="SFJ11" s="41"/>
      <c r="SFK11" s="41"/>
      <c r="SFL11" s="41"/>
      <c r="SFM11" s="41"/>
      <c r="SFN11" s="41"/>
      <c r="SFO11" s="41"/>
      <c r="SFP11" s="41"/>
      <c r="SFQ11" s="41"/>
      <c r="SFR11" s="41"/>
      <c r="SFS11" s="41"/>
      <c r="SFT11" s="41"/>
      <c r="SFU11" s="41"/>
      <c r="SFV11" s="41"/>
      <c r="SFW11" s="41"/>
      <c r="SFX11" s="41"/>
      <c r="SFY11" s="41"/>
      <c r="SFZ11" s="41"/>
      <c r="SGA11" s="41"/>
      <c r="SGB11" s="41"/>
      <c r="SGC11" s="41"/>
      <c r="SGD11" s="41"/>
      <c r="SGE11" s="41"/>
      <c r="SGF11" s="41"/>
      <c r="SGG11" s="41"/>
      <c r="SGH11" s="41"/>
      <c r="SGI11" s="41"/>
      <c r="SGJ11" s="41"/>
      <c r="SGK11" s="41"/>
      <c r="SGL11" s="41"/>
      <c r="SGM11" s="41"/>
      <c r="SGN11" s="41"/>
      <c r="SGO11" s="41"/>
      <c r="SGP11" s="41"/>
      <c r="SGQ11" s="41"/>
      <c r="SGR11" s="41"/>
      <c r="SGS11" s="41"/>
      <c r="SGT11" s="41"/>
      <c r="SGU11" s="41"/>
      <c r="SGV11" s="41"/>
      <c r="SGW11" s="41"/>
      <c r="SGX11" s="41"/>
      <c r="SGY11" s="41"/>
      <c r="SGZ11" s="41"/>
      <c r="SHA11" s="41"/>
      <c r="SHB11" s="41"/>
      <c r="SHC11" s="41"/>
      <c r="SHD11" s="41"/>
      <c r="SHE11" s="41"/>
      <c r="SHF11" s="41"/>
      <c r="SHG11" s="41"/>
      <c r="SHH11" s="41"/>
      <c r="SHI11" s="41"/>
      <c r="SHJ11" s="41"/>
      <c r="SHK11" s="41"/>
      <c r="SHL11" s="41"/>
      <c r="SHM11" s="41"/>
      <c r="SHN11" s="41"/>
      <c r="SHO11" s="41"/>
      <c r="SHP11" s="41"/>
      <c r="SHQ11" s="41"/>
      <c r="SHR11" s="41"/>
      <c r="SHS11" s="41"/>
      <c r="SHT11" s="41"/>
      <c r="SHU11" s="41"/>
      <c r="SHV11" s="41"/>
      <c r="SHW11" s="41"/>
      <c r="SHX11" s="41"/>
      <c r="SHY11" s="41"/>
      <c r="SHZ11" s="41"/>
      <c r="SIA11" s="41"/>
      <c r="SIB11" s="41"/>
      <c r="SIC11" s="41"/>
      <c r="SID11" s="41"/>
      <c r="SIE11" s="41"/>
      <c r="SIF11" s="41"/>
      <c r="SIG11" s="41"/>
      <c r="SIH11" s="41"/>
      <c r="SII11" s="41"/>
      <c r="SIJ11" s="41"/>
      <c r="SIK11" s="41"/>
      <c r="SIL11" s="41"/>
      <c r="SIM11" s="41"/>
      <c r="SIN11" s="41"/>
      <c r="SIO11" s="41"/>
      <c r="SIP11" s="41"/>
      <c r="SIQ11" s="41"/>
      <c r="SIR11" s="41"/>
      <c r="SIS11" s="41"/>
      <c r="SIT11" s="41"/>
      <c r="SIU11" s="41"/>
      <c r="SIV11" s="41"/>
      <c r="SIW11" s="41"/>
      <c r="SIX11" s="41"/>
      <c r="SIY11" s="41"/>
      <c r="SIZ11" s="41"/>
      <c r="SJA11" s="41"/>
      <c r="SJB11" s="41"/>
      <c r="SJC11" s="41"/>
      <c r="SJD11" s="41"/>
      <c r="SJE11" s="41"/>
      <c r="SJF11" s="41"/>
      <c r="SJG11" s="41"/>
      <c r="SJH11" s="41"/>
      <c r="SJI11" s="41"/>
      <c r="SJJ11" s="41"/>
      <c r="SJK11" s="41"/>
      <c r="SJL11" s="41"/>
      <c r="SJM11" s="41"/>
      <c r="SJN11" s="41"/>
      <c r="SJO11" s="41"/>
      <c r="SJP11" s="41"/>
      <c r="SJQ11" s="41"/>
      <c r="SJR11" s="41"/>
      <c r="SJS11" s="41"/>
      <c r="SJT11" s="41"/>
      <c r="SJU11" s="41"/>
      <c r="SJV11" s="41"/>
      <c r="SJW11" s="41"/>
      <c r="SJX11" s="41"/>
      <c r="SJY11" s="41"/>
      <c r="SJZ11" s="41"/>
      <c r="SKA11" s="41"/>
      <c r="SKB11" s="41"/>
      <c r="SKC11" s="41"/>
      <c r="SKD11" s="41"/>
      <c r="SKE11" s="41"/>
      <c r="SKF11" s="41"/>
      <c r="SKG11" s="41"/>
      <c r="SKH11" s="41"/>
      <c r="SKI11" s="41"/>
      <c r="SKJ11" s="41"/>
      <c r="SKK11" s="41"/>
      <c r="SKL11" s="41"/>
      <c r="SKM11" s="41"/>
      <c r="SKN11" s="41"/>
      <c r="SKO11" s="41"/>
      <c r="SKP11" s="41"/>
      <c r="SKQ11" s="41"/>
      <c r="SKR11" s="41"/>
      <c r="SKS11" s="41"/>
      <c r="SKT11" s="41"/>
      <c r="SKU11" s="41"/>
      <c r="SKV11" s="41"/>
      <c r="SKW11" s="41"/>
      <c r="SKX11" s="41"/>
      <c r="SKY11" s="41"/>
      <c r="SKZ11" s="41"/>
      <c r="SLA11" s="41"/>
      <c r="SLB11" s="41"/>
      <c r="SLC11" s="41"/>
      <c r="SLD11" s="41"/>
      <c r="SLE11" s="41"/>
      <c r="SLF11" s="41"/>
      <c r="SLG11" s="41"/>
      <c r="SLH11" s="41"/>
      <c r="SLI11" s="41"/>
      <c r="SLJ11" s="41"/>
      <c r="SLK11" s="41"/>
      <c r="SLL11" s="41"/>
      <c r="SLM11" s="41"/>
      <c r="SLN11" s="41"/>
      <c r="SLO11" s="41"/>
      <c r="SLP11" s="41"/>
      <c r="SLQ11" s="41"/>
      <c r="SLR11" s="41"/>
      <c r="SLS11" s="41"/>
      <c r="SLT11" s="41"/>
      <c r="SLU11" s="41"/>
      <c r="SLV11" s="41"/>
      <c r="SLW11" s="41"/>
      <c r="SLX11" s="41"/>
      <c r="SLY11" s="41"/>
      <c r="SLZ11" s="41"/>
      <c r="SMA11" s="41"/>
      <c r="SMB11" s="41"/>
      <c r="SMC11" s="41"/>
      <c r="SMD11" s="41"/>
      <c r="SME11" s="41"/>
      <c r="SMF11" s="41"/>
      <c r="SMG11" s="41"/>
      <c r="SMH11" s="41"/>
      <c r="SMI11" s="41"/>
      <c r="SMJ11" s="41"/>
      <c r="SMK11" s="41"/>
      <c r="SML11" s="41"/>
      <c r="SMM11" s="41"/>
      <c r="SMN11" s="41"/>
      <c r="SMO11" s="41"/>
      <c r="SMP11" s="41"/>
      <c r="SMQ11" s="41"/>
      <c r="SMR11" s="41"/>
      <c r="SMS11" s="41"/>
      <c r="SMT11" s="41"/>
      <c r="SMU11" s="41"/>
      <c r="SMV11" s="41"/>
      <c r="SMW11" s="41"/>
      <c r="SMX11" s="41"/>
      <c r="SMY11" s="41"/>
      <c r="SMZ11" s="41"/>
      <c r="SNA11" s="41"/>
      <c r="SNB11" s="41"/>
      <c r="SNC11" s="41"/>
      <c r="SND11" s="41"/>
      <c r="SNE11" s="41"/>
      <c r="SNF11" s="41"/>
      <c r="SNG11" s="41"/>
      <c r="SNH11" s="41"/>
      <c r="SNI11" s="41"/>
      <c r="SNJ11" s="41"/>
      <c r="SNK11" s="41"/>
      <c r="SNL11" s="41"/>
      <c r="SNM11" s="41"/>
      <c r="SNN11" s="41"/>
      <c r="SNO11" s="41"/>
      <c r="SNP11" s="41"/>
      <c r="SNQ11" s="41"/>
      <c r="SNR11" s="41"/>
      <c r="SNS11" s="41"/>
      <c r="SNT11" s="41"/>
      <c r="SNU11" s="41"/>
      <c r="SNV11" s="41"/>
      <c r="SNW11" s="41"/>
      <c r="SNX11" s="41"/>
      <c r="SNY11" s="41"/>
      <c r="SNZ11" s="41"/>
      <c r="SOA11" s="41"/>
      <c r="SOB11" s="41"/>
      <c r="SOC11" s="41"/>
      <c r="SOD11" s="41"/>
      <c r="SOE11" s="41"/>
      <c r="SOF11" s="41"/>
      <c r="SOG11" s="41"/>
      <c r="SOH11" s="41"/>
      <c r="SOI11" s="41"/>
      <c r="SOJ11" s="41"/>
      <c r="SOK11" s="41"/>
      <c r="SOL11" s="41"/>
      <c r="SOM11" s="41"/>
      <c r="SON11" s="41"/>
      <c r="SOO11" s="41"/>
      <c r="SOP11" s="41"/>
      <c r="SOQ11" s="41"/>
      <c r="SOR11" s="41"/>
      <c r="SOS11" s="41"/>
      <c r="SOT11" s="41"/>
      <c r="SOU11" s="41"/>
      <c r="SOV11" s="41"/>
      <c r="SOW11" s="41"/>
      <c r="SOX11" s="41"/>
      <c r="SOY11" s="41"/>
      <c r="SOZ11" s="41"/>
      <c r="SPA11" s="41"/>
      <c r="SPB11" s="41"/>
      <c r="SPC11" s="41"/>
      <c r="SPD11" s="41"/>
      <c r="SPE11" s="41"/>
      <c r="SPF11" s="41"/>
      <c r="SPG11" s="41"/>
      <c r="SPH11" s="41"/>
      <c r="SPI11" s="41"/>
      <c r="SPJ11" s="41"/>
      <c r="SPK11" s="41"/>
      <c r="SPL11" s="41"/>
      <c r="SPM11" s="41"/>
      <c r="SPN11" s="41"/>
      <c r="SPO11" s="41"/>
      <c r="SPP11" s="41"/>
      <c r="SPQ11" s="41"/>
      <c r="SPR11" s="41"/>
      <c r="SPS11" s="41"/>
      <c r="SPT11" s="41"/>
      <c r="SPU11" s="41"/>
      <c r="SPV11" s="41"/>
      <c r="SPW11" s="41"/>
      <c r="SPX11" s="41"/>
      <c r="SPY11" s="41"/>
      <c r="SPZ11" s="41"/>
      <c r="SQA11" s="41"/>
      <c r="SQB11" s="41"/>
      <c r="SQC11" s="41"/>
      <c r="SQD11" s="41"/>
      <c r="SQE11" s="41"/>
      <c r="SQF11" s="41"/>
      <c r="SQG11" s="41"/>
      <c r="SQH11" s="41"/>
      <c r="SQI11" s="41"/>
      <c r="SQJ11" s="41"/>
      <c r="SQK11" s="41"/>
      <c r="SQL11" s="41"/>
      <c r="SQM11" s="41"/>
      <c r="SQN11" s="41"/>
      <c r="SQO11" s="41"/>
      <c r="SQP11" s="41"/>
      <c r="SQQ11" s="41"/>
      <c r="SQR11" s="41"/>
      <c r="SQS11" s="41"/>
      <c r="SQT11" s="41"/>
      <c r="SQU11" s="41"/>
      <c r="SQV11" s="41"/>
      <c r="SQW11" s="41"/>
      <c r="SQX11" s="41"/>
      <c r="SQY11" s="41"/>
      <c r="SQZ11" s="41"/>
      <c r="SRA11" s="41"/>
      <c r="SRB11" s="41"/>
      <c r="SRC11" s="41"/>
      <c r="SRD11" s="41"/>
      <c r="SRE11" s="41"/>
      <c r="SRF11" s="41"/>
      <c r="SRG11" s="41"/>
      <c r="SRH11" s="41"/>
      <c r="SRI11" s="41"/>
      <c r="SRJ11" s="41"/>
      <c r="SRK11" s="41"/>
      <c r="SRL11" s="41"/>
      <c r="SRM11" s="41"/>
      <c r="SRN11" s="41"/>
      <c r="SRO11" s="41"/>
      <c r="SRP11" s="41"/>
      <c r="SRQ11" s="41"/>
      <c r="SRR11" s="41"/>
      <c r="SRS11" s="41"/>
      <c r="SRT11" s="41"/>
      <c r="SRU11" s="41"/>
      <c r="SRV11" s="41"/>
      <c r="SRW11" s="41"/>
      <c r="SRX11" s="41"/>
      <c r="SRY11" s="41"/>
      <c r="SRZ11" s="41"/>
      <c r="SSA11" s="41"/>
      <c r="SSB11" s="41"/>
      <c r="SSC11" s="41"/>
      <c r="SSD11" s="41"/>
      <c r="SSE11" s="41"/>
      <c r="SSF11" s="41"/>
      <c r="SSG11" s="41"/>
      <c r="SSH11" s="41"/>
      <c r="SSI11" s="41"/>
      <c r="SSJ11" s="41"/>
      <c r="SSK11" s="41"/>
      <c r="SSL11" s="41"/>
      <c r="SSM11" s="41"/>
      <c r="SSN11" s="41"/>
      <c r="SSO11" s="41"/>
      <c r="SSP11" s="41"/>
      <c r="SSQ11" s="41"/>
      <c r="SSR11" s="41"/>
      <c r="SSS11" s="41"/>
      <c r="SST11" s="41"/>
      <c r="SSU11" s="41"/>
      <c r="SSV11" s="41"/>
      <c r="SSW11" s="41"/>
      <c r="SSX11" s="41"/>
      <c r="SSY11" s="41"/>
      <c r="SSZ11" s="41"/>
      <c r="STA11" s="41"/>
      <c r="STB11" s="41"/>
      <c r="STC11" s="41"/>
      <c r="STD11" s="41"/>
      <c r="STE11" s="41"/>
      <c r="STF11" s="41"/>
      <c r="STG11" s="41"/>
      <c r="STH11" s="41"/>
      <c r="STI11" s="41"/>
      <c r="STJ11" s="41"/>
      <c r="STK11" s="41"/>
      <c r="STL11" s="41"/>
      <c r="STM11" s="41"/>
      <c r="STN11" s="41"/>
      <c r="STO11" s="41"/>
      <c r="STP11" s="41"/>
      <c r="STQ11" s="41"/>
      <c r="STR11" s="41"/>
      <c r="STS11" s="41"/>
      <c r="STT11" s="41"/>
      <c r="STU11" s="41"/>
      <c r="STV11" s="41"/>
      <c r="STW11" s="41"/>
      <c r="STX11" s="41"/>
      <c r="STY11" s="41"/>
      <c r="STZ11" s="41"/>
      <c r="SUA11" s="41"/>
      <c r="SUB11" s="41"/>
      <c r="SUC11" s="41"/>
      <c r="SUD11" s="41"/>
      <c r="SUE11" s="41"/>
      <c r="SUF11" s="41"/>
      <c r="SUG11" s="41"/>
      <c r="SUH11" s="41"/>
      <c r="SUI11" s="41"/>
      <c r="SUJ11" s="41"/>
      <c r="SUK11" s="41"/>
      <c r="SUL11" s="41"/>
      <c r="SUM11" s="41"/>
      <c r="SUN11" s="41"/>
      <c r="SUO11" s="41"/>
      <c r="SUP11" s="41"/>
      <c r="SUQ11" s="41"/>
      <c r="SUR11" s="41"/>
      <c r="SUS11" s="41"/>
      <c r="SUT11" s="41"/>
      <c r="SUU11" s="41"/>
      <c r="SUV11" s="41"/>
      <c r="SUW11" s="41"/>
      <c r="SUX11" s="41"/>
      <c r="SUY11" s="41"/>
      <c r="SUZ11" s="41"/>
      <c r="SVA11" s="41"/>
      <c r="SVB11" s="41"/>
      <c r="SVC11" s="41"/>
      <c r="SVD11" s="41"/>
      <c r="SVE11" s="41"/>
      <c r="SVF11" s="41"/>
      <c r="SVG11" s="41"/>
      <c r="SVH11" s="41"/>
      <c r="SVI11" s="41"/>
      <c r="SVJ11" s="41"/>
      <c r="SVK11" s="41"/>
      <c r="SVL11" s="41"/>
      <c r="SVM11" s="41"/>
      <c r="SVN11" s="41"/>
      <c r="SVO11" s="41"/>
      <c r="SVP11" s="41"/>
      <c r="SVQ11" s="41"/>
      <c r="SVR11" s="41"/>
      <c r="SVS11" s="41"/>
      <c r="SVT11" s="41"/>
      <c r="SVU11" s="41"/>
      <c r="SVV11" s="41"/>
      <c r="SVW11" s="41"/>
      <c r="SVX11" s="41"/>
      <c r="SVY11" s="41"/>
      <c r="SVZ11" s="41"/>
      <c r="SWA11" s="41"/>
      <c r="SWB11" s="41"/>
      <c r="SWC11" s="41"/>
      <c r="SWD11" s="41"/>
      <c r="SWE11" s="41"/>
      <c r="SWF11" s="41"/>
      <c r="SWG11" s="41"/>
      <c r="SWH11" s="41"/>
      <c r="SWI11" s="41"/>
      <c r="SWJ11" s="41"/>
      <c r="SWK11" s="41"/>
      <c r="SWL11" s="41"/>
      <c r="SWM11" s="41"/>
      <c r="SWN11" s="41"/>
      <c r="SWO11" s="41"/>
      <c r="SWP11" s="41"/>
      <c r="SWQ11" s="41"/>
      <c r="SWR11" s="41"/>
      <c r="SWS11" s="41"/>
      <c r="SWT11" s="41"/>
      <c r="SWU11" s="41"/>
      <c r="SWV11" s="41"/>
      <c r="SWW11" s="41"/>
      <c r="SWX11" s="41"/>
      <c r="SWY11" s="41"/>
      <c r="SWZ11" s="41"/>
      <c r="SXA11" s="41"/>
      <c r="SXB11" s="41"/>
      <c r="SXC11" s="41"/>
      <c r="SXD11" s="41"/>
      <c r="SXE11" s="41"/>
      <c r="SXF11" s="41"/>
      <c r="SXG11" s="41"/>
      <c r="SXH11" s="41"/>
      <c r="SXI11" s="41"/>
      <c r="SXJ11" s="41"/>
      <c r="SXK11" s="41"/>
      <c r="SXL11" s="41"/>
      <c r="SXM11" s="41"/>
      <c r="SXN11" s="41"/>
      <c r="SXO11" s="41"/>
      <c r="SXP11" s="41"/>
      <c r="SXQ11" s="41"/>
      <c r="SXR11" s="41"/>
      <c r="SXS11" s="41"/>
      <c r="SXT11" s="41"/>
      <c r="SXU11" s="41"/>
      <c r="SXV11" s="41"/>
      <c r="SXW11" s="41"/>
      <c r="SXX11" s="41"/>
      <c r="SXY11" s="41"/>
      <c r="SXZ11" s="41"/>
      <c r="SYA11" s="41"/>
      <c r="SYB11" s="41"/>
      <c r="SYC11" s="41"/>
      <c r="SYD11" s="41"/>
      <c r="SYE11" s="41"/>
      <c r="SYF11" s="41"/>
      <c r="SYG11" s="41"/>
      <c r="SYH11" s="41"/>
      <c r="SYI11" s="41"/>
      <c r="SYJ11" s="41"/>
      <c r="SYK11" s="41"/>
      <c r="SYL11" s="41"/>
      <c r="SYM11" s="41"/>
      <c r="SYN11" s="41"/>
      <c r="SYO11" s="41"/>
      <c r="SYP11" s="41"/>
      <c r="SYQ11" s="41"/>
      <c r="SYR11" s="41"/>
      <c r="SYS11" s="41"/>
      <c r="SYT11" s="41"/>
      <c r="SYU11" s="41"/>
      <c r="SYV11" s="41"/>
      <c r="SYW11" s="41"/>
      <c r="SYX11" s="41"/>
      <c r="SYY11" s="41"/>
      <c r="SYZ11" s="41"/>
      <c r="SZA11" s="41"/>
      <c r="SZB11" s="41"/>
      <c r="SZC11" s="41"/>
      <c r="SZD11" s="41"/>
      <c r="SZE11" s="41"/>
      <c r="SZF11" s="41"/>
      <c r="SZG11" s="41"/>
      <c r="SZH11" s="41"/>
      <c r="SZI11" s="41"/>
      <c r="SZJ11" s="41"/>
      <c r="SZK11" s="41"/>
      <c r="SZL11" s="41"/>
      <c r="SZM11" s="41"/>
      <c r="SZN11" s="41"/>
      <c r="SZO11" s="41"/>
      <c r="SZP11" s="41"/>
      <c r="SZQ11" s="41"/>
      <c r="SZR11" s="41"/>
      <c r="SZS11" s="41"/>
      <c r="SZT11" s="41"/>
      <c r="SZU11" s="41"/>
      <c r="SZV11" s="41"/>
      <c r="SZW11" s="41"/>
      <c r="SZX11" s="41"/>
      <c r="SZY11" s="41"/>
      <c r="SZZ11" s="41"/>
      <c r="TAA11" s="41"/>
      <c r="TAB11" s="41"/>
      <c r="TAC11" s="41"/>
      <c r="TAD11" s="41"/>
      <c r="TAE11" s="41"/>
      <c r="TAF11" s="41"/>
      <c r="TAG11" s="41"/>
      <c r="TAH11" s="41"/>
      <c r="TAI11" s="41"/>
      <c r="TAJ11" s="41"/>
      <c r="TAK11" s="41"/>
      <c r="TAL11" s="41"/>
      <c r="TAM11" s="41"/>
      <c r="TAN11" s="41"/>
      <c r="TAO11" s="41"/>
      <c r="TAP11" s="41"/>
      <c r="TAQ11" s="41"/>
      <c r="TAR11" s="41"/>
      <c r="TAS11" s="41"/>
      <c r="TAT11" s="41"/>
      <c r="TAU11" s="41"/>
      <c r="TAV11" s="41"/>
      <c r="TAW11" s="41"/>
      <c r="TAX11" s="41"/>
      <c r="TAY11" s="41"/>
      <c r="TAZ11" s="41"/>
      <c r="TBA11" s="41"/>
      <c r="TBB11" s="41"/>
      <c r="TBC11" s="41"/>
      <c r="TBD11" s="41"/>
      <c r="TBE11" s="41"/>
      <c r="TBF11" s="41"/>
      <c r="TBG11" s="41"/>
      <c r="TBH11" s="41"/>
      <c r="TBI11" s="41"/>
      <c r="TBJ11" s="41"/>
      <c r="TBK11" s="41"/>
      <c r="TBL11" s="41"/>
      <c r="TBM11" s="41"/>
      <c r="TBN11" s="41"/>
      <c r="TBO11" s="41"/>
      <c r="TBP11" s="41"/>
      <c r="TBQ11" s="41"/>
      <c r="TBR11" s="41"/>
      <c r="TBS11" s="41"/>
      <c r="TBT11" s="41"/>
      <c r="TBU11" s="41"/>
      <c r="TBV11" s="41"/>
      <c r="TBW11" s="41"/>
      <c r="TBX11" s="41"/>
      <c r="TBY11" s="41"/>
      <c r="TBZ11" s="41"/>
      <c r="TCA11" s="41"/>
      <c r="TCB11" s="41"/>
      <c r="TCC11" s="41"/>
      <c r="TCD11" s="41"/>
      <c r="TCE11" s="41"/>
      <c r="TCF11" s="41"/>
      <c r="TCG11" s="41"/>
      <c r="TCH11" s="41"/>
      <c r="TCI11" s="41"/>
      <c r="TCJ11" s="41"/>
      <c r="TCK11" s="41"/>
      <c r="TCL11" s="41"/>
      <c r="TCM11" s="41"/>
      <c r="TCN11" s="41"/>
      <c r="TCO11" s="41"/>
      <c r="TCP11" s="41"/>
      <c r="TCQ11" s="41"/>
      <c r="TCR11" s="41"/>
      <c r="TCS11" s="41"/>
      <c r="TCT11" s="41"/>
      <c r="TCU11" s="41"/>
      <c r="TCV11" s="41"/>
      <c r="TCW11" s="41"/>
      <c r="TCX11" s="41"/>
      <c r="TCY11" s="41"/>
      <c r="TCZ11" s="41"/>
      <c r="TDA11" s="41"/>
      <c r="TDB11" s="41"/>
      <c r="TDC11" s="41"/>
      <c r="TDD11" s="41"/>
      <c r="TDE11" s="41"/>
      <c r="TDF11" s="41"/>
      <c r="TDG11" s="41"/>
      <c r="TDH11" s="41"/>
      <c r="TDI11" s="41"/>
      <c r="TDJ11" s="41"/>
      <c r="TDK11" s="41"/>
      <c r="TDL11" s="41"/>
      <c r="TDM11" s="41"/>
      <c r="TDN11" s="41"/>
      <c r="TDO11" s="41"/>
      <c r="TDP11" s="41"/>
      <c r="TDQ11" s="41"/>
      <c r="TDR11" s="41"/>
      <c r="TDS11" s="41"/>
      <c r="TDT11" s="41"/>
      <c r="TDU11" s="41"/>
      <c r="TDV11" s="41"/>
      <c r="TDW11" s="41"/>
      <c r="TDX11" s="41"/>
      <c r="TDY11" s="41"/>
      <c r="TDZ11" s="41"/>
      <c r="TEA11" s="41"/>
      <c r="TEB11" s="41"/>
      <c r="TEC11" s="41"/>
      <c r="TED11" s="41"/>
      <c r="TEE11" s="41"/>
      <c r="TEF11" s="41"/>
      <c r="TEG11" s="41"/>
      <c r="TEH11" s="41"/>
      <c r="TEI11" s="41"/>
      <c r="TEJ11" s="41"/>
      <c r="TEK11" s="41"/>
      <c r="TEL11" s="41"/>
      <c r="TEM11" s="41"/>
      <c r="TEN11" s="41"/>
      <c r="TEO11" s="41"/>
      <c r="TEP11" s="41"/>
      <c r="TEQ11" s="41"/>
      <c r="TER11" s="41"/>
      <c r="TES11" s="41"/>
      <c r="TET11" s="41"/>
      <c r="TEU11" s="41"/>
      <c r="TEV11" s="41"/>
      <c r="TEW11" s="41"/>
      <c r="TEX11" s="41"/>
      <c r="TEY11" s="41"/>
      <c r="TEZ11" s="41"/>
      <c r="TFA11" s="41"/>
      <c r="TFB11" s="41"/>
      <c r="TFC11" s="41"/>
      <c r="TFD11" s="41"/>
      <c r="TFE11" s="41"/>
      <c r="TFF11" s="41"/>
      <c r="TFG11" s="41"/>
      <c r="TFH11" s="41"/>
      <c r="TFI11" s="41"/>
      <c r="TFJ11" s="41"/>
      <c r="TFK11" s="41"/>
      <c r="TFL11" s="41"/>
      <c r="TFM11" s="41"/>
      <c r="TFN11" s="41"/>
      <c r="TFO11" s="41"/>
      <c r="TFP11" s="41"/>
      <c r="TFQ11" s="41"/>
      <c r="TFR11" s="41"/>
      <c r="TFS11" s="41"/>
      <c r="TFT11" s="41"/>
      <c r="TFU11" s="41"/>
      <c r="TFV11" s="41"/>
      <c r="TFW11" s="41"/>
      <c r="TFX11" s="41"/>
      <c r="TFY11" s="41"/>
      <c r="TFZ11" s="41"/>
      <c r="TGA11" s="41"/>
      <c r="TGB11" s="41"/>
      <c r="TGC11" s="41"/>
      <c r="TGD11" s="41"/>
      <c r="TGE11" s="41"/>
      <c r="TGF11" s="41"/>
      <c r="TGG11" s="41"/>
      <c r="TGH11" s="41"/>
      <c r="TGI11" s="41"/>
      <c r="TGJ11" s="41"/>
      <c r="TGK11" s="41"/>
      <c r="TGL11" s="41"/>
      <c r="TGM11" s="41"/>
      <c r="TGN11" s="41"/>
      <c r="TGO11" s="41"/>
      <c r="TGP11" s="41"/>
      <c r="TGQ11" s="41"/>
      <c r="TGR11" s="41"/>
      <c r="TGS11" s="41"/>
      <c r="TGT11" s="41"/>
      <c r="TGU11" s="41"/>
      <c r="TGV11" s="41"/>
      <c r="TGW11" s="41"/>
      <c r="TGX11" s="41"/>
      <c r="TGY11" s="41"/>
      <c r="TGZ11" s="41"/>
      <c r="THA11" s="41"/>
      <c r="THB11" s="41"/>
      <c r="THC11" s="41"/>
      <c r="THD11" s="41"/>
      <c r="THE11" s="41"/>
      <c r="THF11" s="41"/>
      <c r="THG11" s="41"/>
      <c r="THH11" s="41"/>
      <c r="THI11" s="41"/>
      <c r="THJ11" s="41"/>
      <c r="THK11" s="41"/>
      <c r="THL11" s="41"/>
      <c r="THM11" s="41"/>
      <c r="THN11" s="41"/>
      <c r="THO11" s="41"/>
      <c r="THP11" s="41"/>
      <c r="THQ11" s="41"/>
      <c r="THR11" s="41"/>
      <c r="THS11" s="41"/>
      <c r="THT11" s="41"/>
      <c r="THU11" s="41"/>
      <c r="THV11" s="41"/>
      <c r="THW11" s="41"/>
      <c r="THX11" s="41"/>
      <c r="THY11" s="41"/>
      <c r="THZ11" s="41"/>
      <c r="TIA11" s="41"/>
      <c r="TIB11" s="41"/>
      <c r="TIC11" s="41"/>
      <c r="TID11" s="41"/>
      <c r="TIE11" s="41"/>
      <c r="TIF11" s="41"/>
      <c r="TIG11" s="41"/>
      <c r="TIH11" s="41"/>
      <c r="TII11" s="41"/>
      <c r="TIJ11" s="41"/>
      <c r="TIK11" s="41"/>
      <c r="TIL11" s="41"/>
      <c r="TIM11" s="41"/>
      <c r="TIN11" s="41"/>
      <c r="TIO11" s="41"/>
      <c r="TIP11" s="41"/>
      <c r="TIQ11" s="41"/>
      <c r="TIR11" s="41"/>
      <c r="TIS11" s="41"/>
      <c r="TIT11" s="41"/>
      <c r="TIU11" s="41"/>
      <c r="TIV11" s="41"/>
      <c r="TIW11" s="41"/>
      <c r="TIX11" s="41"/>
      <c r="TIY11" s="41"/>
      <c r="TIZ11" s="41"/>
      <c r="TJA11" s="41"/>
      <c r="TJB11" s="41"/>
      <c r="TJC11" s="41"/>
      <c r="TJD11" s="41"/>
      <c r="TJE11" s="41"/>
      <c r="TJF11" s="41"/>
      <c r="TJG11" s="41"/>
      <c r="TJH11" s="41"/>
      <c r="TJI11" s="41"/>
      <c r="TJJ11" s="41"/>
      <c r="TJK11" s="41"/>
      <c r="TJL11" s="41"/>
      <c r="TJM11" s="41"/>
      <c r="TJN11" s="41"/>
      <c r="TJO11" s="41"/>
      <c r="TJP11" s="41"/>
      <c r="TJQ11" s="41"/>
      <c r="TJR11" s="41"/>
      <c r="TJS11" s="41"/>
      <c r="TJT11" s="41"/>
      <c r="TJU11" s="41"/>
      <c r="TJV11" s="41"/>
      <c r="TJW11" s="41"/>
      <c r="TJX11" s="41"/>
      <c r="TJY11" s="41"/>
      <c r="TJZ11" s="41"/>
      <c r="TKA11" s="41"/>
      <c r="TKB11" s="41"/>
      <c r="TKC11" s="41"/>
      <c r="TKD11" s="41"/>
      <c r="TKE11" s="41"/>
      <c r="TKF11" s="41"/>
      <c r="TKG11" s="41"/>
      <c r="TKH11" s="41"/>
      <c r="TKI11" s="41"/>
      <c r="TKJ11" s="41"/>
      <c r="TKK11" s="41"/>
      <c r="TKL11" s="41"/>
      <c r="TKM11" s="41"/>
      <c r="TKN11" s="41"/>
      <c r="TKO11" s="41"/>
      <c r="TKP11" s="41"/>
      <c r="TKQ11" s="41"/>
      <c r="TKR11" s="41"/>
      <c r="TKS11" s="41"/>
      <c r="TKT11" s="41"/>
      <c r="TKU11" s="41"/>
      <c r="TKV11" s="41"/>
      <c r="TKW11" s="41"/>
      <c r="TKX11" s="41"/>
      <c r="TKY11" s="41"/>
      <c r="TKZ11" s="41"/>
      <c r="TLA11" s="41"/>
      <c r="TLB11" s="41"/>
      <c r="TLC11" s="41"/>
      <c r="TLD11" s="41"/>
      <c r="TLE11" s="41"/>
      <c r="TLF11" s="41"/>
      <c r="TLG11" s="41"/>
      <c r="TLH11" s="41"/>
      <c r="TLI11" s="41"/>
      <c r="TLJ11" s="41"/>
      <c r="TLK11" s="41"/>
      <c r="TLL11" s="41"/>
      <c r="TLM11" s="41"/>
      <c r="TLN11" s="41"/>
      <c r="TLO11" s="41"/>
      <c r="TLP11" s="41"/>
      <c r="TLQ11" s="41"/>
      <c r="TLR11" s="41"/>
      <c r="TLS11" s="41"/>
      <c r="TLT11" s="41"/>
      <c r="TLU11" s="41"/>
      <c r="TLV11" s="41"/>
      <c r="TLW11" s="41"/>
      <c r="TLX11" s="41"/>
      <c r="TLY11" s="41"/>
      <c r="TLZ11" s="41"/>
      <c r="TMA11" s="41"/>
      <c r="TMB11" s="41"/>
      <c r="TMC11" s="41"/>
      <c r="TMD11" s="41"/>
      <c r="TME11" s="41"/>
      <c r="TMF11" s="41"/>
      <c r="TMG11" s="41"/>
      <c r="TMH11" s="41"/>
      <c r="TMI11" s="41"/>
      <c r="TMJ11" s="41"/>
      <c r="TMK11" s="41"/>
      <c r="TML11" s="41"/>
      <c r="TMM11" s="41"/>
      <c r="TMN11" s="41"/>
      <c r="TMO11" s="41"/>
      <c r="TMP11" s="41"/>
      <c r="TMQ11" s="41"/>
      <c r="TMR11" s="41"/>
      <c r="TMS11" s="41"/>
      <c r="TMT11" s="41"/>
      <c r="TMU11" s="41"/>
      <c r="TMV11" s="41"/>
      <c r="TMW11" s="41"/>
      <c r="TMX11" s="41"/>
      <c r="TMY11" s="41"/>
      <c r="TMZ11" s="41"/>
      <c r="TNA11" s="41"/>
      <c r="TNB11" s="41"/>
      <c r="TNC11" s="41"/>
      <c r="TND11" s="41"/>
      <c r="TNE11" s="41"/>
      <c r="TNF11" s="41"/>
      <c r="TNG11" s="41"/>
      <c r="TNH11" s="41"/>
      <c r="TNI11" s="41"/>
      <c r="TNJ11" s="41"/>
      <c r="TNK11" s="41"/>
      <c r="TNL11" s="41"/>
      <c r="TNM11" s="41"/>
      <c r="TNN11" s="41"/>
      <c r="TNO11" s="41"/>
      <c r="TNP11" s="41"/>
      <c r="TNQ11" s="41"/>
      <c r="TNR11" s="41"/>
      <c r="TNS11" s="41"/>
      <c r="TNT11" s="41"/>
      <c r="TNU11" s="41"/>
      <c r="TNV11" s="41"/>
      <c r="TNW11" s="41"/>
      <c r="TNX11" s="41"/>
      <c r="TNY11" s="41"/>
      <c r="TNZ11" s="41"/>
      <c r="TOA11" s="41"/>
      <c r="TOB11" s="41"/>
      <c r="TOC11" s="41"/>
      <c r="TOD11" s="41"/>
      <c r="TOE11" s="41"/>
      <c r="TOF11" s="41"/>
      <c r="TOG11" s="41"/>
      <c r="TOH11" s="41"/>
      <c r="TOI11" s="41"/>
      <c r="TOJ11" s="41"/>
      <c r="TOK11" s="41"/>
      <c r="TOL11" s="41"/>
      <c r="TOM11" s="41"/>
      <c r="TON11" s="41"/>
      <c r="TOO11" s="41"/>
      <c r="TOP11" s="41"/>
      <c r="TOQ11" s="41"/>
      <c r="TOR11" s="41"/>
      <c r="TOS11" s="41"/>
      <c r="TOT11" s="41"/>
      <c r="TOU11" s="41"/>
      <c r="TOV11" s="41"/>
      <c r="TOW11" s="41"/>
      <c r="TOX11" s="41"/>
      <c r="TOY11" s="41"/>
      <c r="TOZ11" s="41"/>
      <c r="TPA11" s="41"/>
      <c r="TPB11" s="41"/>
      <c r="TPC11" s="41"/>
      <c r="TPD11" s="41"/>
      <c r="TPE11" s="41"/>
      <c r="TPF11" s="41"/>
      <c r="TPG11" s="41"/>
      <c r="TPH11" s="41"/>
      <c r="TPI11" s="41"/>
      <c r="TPJ11" s="41"/>
      <c r="TPK11" s="41"/>
      <c r="TPL11" s="41"/>
      <c r="TPM11" s="41"/>
      <c r="TPN11" s="41"/>
      <c r="TPO11" s="41"/>
      <c r="TPP11" s="41"/>
      <c r="TPQ11" s="41"/>
      <c r="TPR11" s="41"/>
      <c r="TPS11" s="41"/>
      <c r="TPT11" s="41"/>
      <c r="TPU11" s="41"/>
      <c r="TPV11" s="41"/>
      <c r="TPW11" s="41"/>
      <c r="TPX11" s="41"/>
      <c r="TPY11" s="41"/>
      <c r="TPZ11" s="41"/>
      <c r="TQA11" s="41"/>
      <c r="TQB11" s="41"/>
      <c r="TQC11" s="41"/>
      <c r="TQD11" s="41"/>
      <c r="TQE11" s="41"/>
      <c r="TQF11" s="41"/>
      <c r="TQG11" s="41"/>
      <c r="TQH11" s="41"/>
      <c r="TQI11" s="41"/>
      <c r="TQJ11" s="41"/>
      <c r="TQK11" s="41"/>
      <c r="TQL11" s="41"/>
      <c r="TQM11" s="41"/>
      <c r="TQN11" s="41"/>
      <c r="TQO11" s="41"/>
      <c r="TQP11" s="41"/>
      <c r="TQQ11" s="41"/>
      <c r="TQR11" s="41"/>
      <c r="TQS11" s="41"/>
      <c r="TQT11" s="41"/>
      <c r="TQU11" s="41"/>
      <c r="TQV11" s="41"/>
      <c r="TQW11" s="41"/>
      <c r="TQX11" s="41"/>
      <c r="TQY11" s="41"/>
      <c r="TQZ11" s="41"/>
      <c r="TRA11" s="41"/>
      <c r="TRB11" s="41"/>
      <c r="TRC11" s="41"/>
      <c r="TRD11" s="41"/>
      <c r="TRE11" s="41"/>
      <c r="TRF11" s="41"/>
      <c r="TRG11" s="41"/>
      <c r="TRH11" s="41"/>
      <c r="TRI11" s="41"/>
      <c r="TRJ11" s="41"/>
      <c r="TRK11" s="41"/>
      <c r="TRL11" s="41"/>
      <c r="TRM11" s="41"/>
      <c r="TRN11" s="41"/>
      <c r="TRO11" s="41"/>
      <c r="TRP11" s="41"/>
      <c r="TRQ11" s="41"/>
      <c r="TRR11" s="41"/>
      <c r="TRS11" s="41"/>
      <c r="TRT11" s="41"/>
      <c r="TRU11" s="41"/>
      <c r="TRV11" s="41"/>
      <c r="TRW11" s="41"/>
      <c r="TRX11" s="41"/>
      <c r="TRY11" s="41"/>
      <c r="TRZ11" s="41"/>
      <c r="TSA11" s="41"/>
      <c r="TSB11" s="41"/>
      <c r="TSC11" s="41"/>
      <c r="TSD11" s="41"/>
      <c r="TSE11" s="41"/>
      <c r="TSF11" s="41"/>
      <c r="TSG11" s="41"/>
      <c r="TSH11" s="41"/>
      <c r="TSI11" s="41"/>
      <c r="TSJ11" s="41"/>
      <c r="TSK11" s="41"/>
      <c r="TSL11" s="41"/>
      <c r="TSM11" s="41"/>
      <c r="TSN11" s="41"/>
      <c r="TSO11" s="41"/>
      <c r="TSP11" s="41"/>
      <c r="TSQ11" s="41"/>
      <c r="TSR11" s="41"/>
      <c r="TSS11" s="41"/>
      <c r="TST11" s="41"/>
      <c r="TSU11" s="41"/>
      <c r="TSV11" s="41"/>
      <c r="TSW11" s="41"/>
      <c r="TSX11" s="41"/>
      <c r="TSY11" s="41"/>
      <c r="TSZ11" s="41"/>
      <c r="TTA11" s="41"/>
      <c r="TTB11" s="41"/>
      <c r="TTC11" s="41"/>
      <c r="TTD11" s="41"/>
      <c r="TTE11" s="41"/>
      <c r="TTF11" s="41"/>
      <c r="TTG11" s="41"/>
      <c r="TTH11" s="41"/>
      <c r="TTI11" s="41"/>
      <c r="TTJ11" s="41"/>
      <c r="TTK11" s="41"/>
      <c r="TTL11" s="41"/>
      <c r="TTM11" s="41"/>
      <c r="TTN11" s="41"/>
      <c r="TTO11" s="41"/>
      <c r="TTP11" s="41"/>
      <c r="TTQ11" s="41"/>
      <c r="TTR11" s="41"/>
      <c r="TTS11" s="41"/>
      <c r="TTT11" s="41"/>
      <c r="TTU11" s="41"/>
      <c r="TTV11" s="41"/>
      <c r="TTW11" s="41"/>
      <c r="TTX11" s="41"/>
      <c r="TTY11" s="41"/>
      <c r="TTZ11" s="41"/>
      <c r="TUA11" s="41"/>
      <c r="TUB11" s="41"/>
      <c r="TUC11" s="41"/>
      <c r="TUD11" s="41"/>
      <c r="TUE11" s="41"/>
      <c r="TUF11" s="41"/>
      <c r="TUG11" s="41"/>
      <c r="TUH11" s="41"/>
      <c r="TUI11" s="41"/>
      <c r="TUJ11" s="41"/>
      <c r="TUK11" s="41"/>
      <c r="TUL11" s="41"/>
      <c r="TUM11" s="41"/>
      <c r="TUN11" s="41"/>
      <c r="TUO11" s="41"/>
      <c r="TUP11" s="41"/>
      <c r="TUQ11" s="41"/>
      <c r="TUR11" s="41"/>
      <c r="TUS11" s="41"/>
      <c r="TUT11" s="41"/>
      <c r="TUU11" s="41"/>
      <c r="TUV11" s="41"/>
      <c r="TUW11" s="41"/>
      <c r="TUX11" s="41"/>
      <c r="TUY11" s="41"/>
      <c r="TUZ11" s="41"/>
      <c r="TVA11" s="41"/>
      <c r="TVB11" s="41"/>
      <c r="TVC11" s="41"/>
      <c r="TVD11" s="41"/>
      <c r="TVE11" s="41"/>
      <c r="TVF11" s="41"/>
      <c r="TVG11" s="41"/>
      <c r="TVH11" s="41"/>
      <c r="TVI11" s="41"/>
      <c r="TVJ11" s="41"/>
      <c r="TVK11" s="41"/>
      <c r="TVL11" s="41"/>
      <c r="TVM11" s="41"/>
      <c r="TVN11" s="41"/>
      <c r="TVO11" s="41"/>
      <c r="TVP11" s="41"/>
      <c r="TVQ11" s="41"/>
      <c r="TVR11" s="41"/>
      <c r="TVS11" s="41"/>
      <c r="TVT11" s="41"/>
      <c r="TVU11" s="41"/>
      <c r="TVV11" s="41"/>
      <c r="TVW11" s="41"/>
      <c r="TVX11" s="41"/>
      <c r="TVY11" s="41"/>
      <c r="TVZ11" s="41"/>
      <c r="TWA11" s="41"/>
      <c r="TWB11" s="41"/>
      <c r="TWC11" s="41"/>
      <c r="TWD11" s="41"/>
      <c r="TWE11" s="41"/>
      <c r="TWF11" s="41"/>
      <c r="TWG11" s="41"/>
      <c r="TWH11" s="41"/>
      <c r="TWI11" s="41"/>
      <c r="TWJ11" s="41"/>
      <c r="TWK11" s="41"/>
      <c r="TWL11" s="41"/>
      <c r="TWM11" s="41"/>
      <c r="TWN11" s="41"/>
      <c r="TWO11" s="41"/>
      <c r="TWP11" s="41"/>
      <c r="TWQ11" s="41"/>
      <c r="TWR11" s="41"/>
      <c r="TWS11" s="41"/>
      <c r="TWT11" s="41"/>
      <c r="TWU11" s="41"/>
      <c r="TWV11" s="41"/>
      <c r="TWW11" s="41"/>
      <c r="TWX11" s="41"/>
      <c r="TWY11" s="41"/>
      <c r="TWZ11" s="41"/>
      <c r="TXA11" s="41"/>
      <c r="TXB11" s="41"/>
      <c r="TXC11" s="41"/>
      <c r="TXD11" s="41"/>
      <c r="TXE11" s="41"/>
      <c r="TXF11" s="41"/>
      <c r="TXG11" s="41"/>
      <c r="TXH11" s="41"/>
      <c r="TXI11" s="41"/>
      <c r="TXJ11" s="41"/>
      <c r="TXK11" s="41"/>
      <c r="TXL11" s="41"/>
      <c r="TXM11" s="41"/>
      <c r="TXN11" s="41"/>
      <c r="TXO11" s="41"/>
      <c r="TXP11" s="41"/>
      <c r="TXQ11" s="41"/>
      <c r="TXR11" s="41"/>
      <c r="TXS11" s="41"/>
      <c r="TXT11" s="41"/>
      <c r="TXU11" s="41"/>
      <c r="TXV11" s="41"/>
      <c r="TXW11" s="41"/>
      <c r="TXX11" s="41"/>
      <c r="TXY11" s="41"/>
      <c r="TXZ11" s="41"/>
      <c r="TYA11" s="41"/>
      <c r="TYB11" s="41"/>
      <c r="TYC11" s="41"/>
      <c r="TYD11" s="41"/>
      <c r="TYE11" s="41"/>
      <c r="TYF11" s="41"/>
      <c r="TYG11" s="41"/>
      <c r="TYH11" s="41"/>
      <c r="TYI11" s="41"/>
      <c r="TYJ11" s="41"/>
      <c r="TYK11" s="41"/>
      <c r="TYL11" s="41"/>
      <c r="TYM11" s="41"/>
      <c r="TYN11" s="41"/>
      <c r="TYO11" s="41"/>
      <c r="TYP11" s="41"/>
      <c r="TYQ11" s="41"/>
      <c r="TYR11" s="41"/>
      <c r="TYS11" s="41"/>
      <c r="TYT11" s="41"/>
      <c r="TYU11" s="41"/>
      <c r="TYV11" s="41"/>
      <c r="TYW11" s="41"/>
      <c r="TYX11" s="41"/>
      <c r="TYY11" s="41"/>
      <c r="TYZ11" s="41"/>
      <c r="TZA11" s="41"/>
      <c r="TZB11" s="41"/>
      <c r="TZC11" s="41"/>
      <c r="TZD11" s="41"/>
      <c r="TZE11" s="41"/>
      <c r="TZF11" s="41"/>
      <c r="TZG11" s="41"/>
      <c r="TZH11" s="41"/>
      <c r="TZI11" s="41"/>
      <c r="TZJ11" s="41"/>
      <c r="TZK11" s="41"/>
      <c r="TZL11" s="41"/>
      <c r="TZM11" s="41"/>
      <c r="TZN11" s="41"/>
      <c r="TZO11" s="41"/>
      <c r="TZP11" s="41"/>
      <c r="TZQ11" s="41"/>
      <c r="TZR11" s="41"/>
      <c r="TZS11" s="41"/>
      <c r="TZT11" s="41"/>
      <c r="TZU11" s="41"/>
      <c r="TZV11" s="41"/>
      <c r="TZW11" s="41"/>
      <c r="TZX11" s="41"/>
      <c r="TZY11" s="41"/>
      <c r="TZZ11" s="41"/>
      <c r="UAA11" s="41"/>
      <c r="UAB11" s="41"/>
      <c r="UAC11" s="41"/>
      <c r="UAD11" s="41"/>
      <c r="UAE11" s="41"/>
      <c r="UAF11" s="41"/>
      <c r="UAG11" s="41"/>
      <c r="UAH11" s="41"/>
      <c r="UAI11" s="41"/>
      <c r="UAJ11" s="41"/>
      <c r="UAK11" s="41"/>
      <c r="UAL11" s="41"/>
      <c r="UAM11" s="41"/>
      <c r="UAN11" s="41"/>
      <c r="UAO11" s="41"/>
      <c r="UAP11" s="41"/>
      <c r="UAQ11" s="41"/>
      <c r="UAR11" s="41"/>
      <c r="UAS11" s="41"/>
      <c r="UAT11" s="41"/>
      <c r="UAU11" s="41"/>
      <c r="UAV11" s="41"/>
      <c r="UAW11" s="41"/>
      <c r="UAX11" s="41"/>
      <c r="UAY11" s="41"/>
      <c r="UAZ11" s="41"/>
      <c r="UBA11" s="41"/>
      <c r="UBB11" s="41"/>
      <c r="UBC11" s="41"/>
      <c r="UBD11" s="41"/>
      <c r="UBE11" s="41"/>
      <c r="UBF11" s="41"/>
      <c r="UBG11" s="41"/>
      <c r="UBH11" s="41"/>
      <c r="UBI11" s="41"/>
      <c r="UBJ11" s="41"/>
      <c r="UBK11" s="41"/>
      <c r="UBL11" s="41"/>
      <c r="UBM11" s="41"/>
      <c r="UBN11" s="41"/>
      <c r="UBO11" s="41"/>
      <c r="UBP11" s="41"/>
      <c r="UBQ11" s="41"/>
      <c r="UBR11" s="41"/>
      <c r="UBS11" s="41"/>
      <c r="UBT11" s="41"/>
      <c r="UBU11" s="41"/>
      <c r="UBV11" s="41"/>
      <c r="UBW11" s="41"/>
      <c r="UBX11" s="41"/>
      <c r="UBY11" s="41"/>
      <c r="UBZ11" s="41"/>
      <c r="UCA11" s="41"/>
      <c r="UCB11" s="41"/>
      <c r="UCC11" s="41"/>
      <c r="UCD11" s="41"/>
      <c r="UCE11" s="41"/>
      <c r="UCF11" s="41"/>
      <c r="UCG11" s="41"/>
      <c r="UCH11" s="41"/>
      <c r="UCI11" s="41"/>
      <c r="UCJ11" s="41"/>
      <c r="UCK11" s="41"/>
      <c r="UCL11" s="41"/>
      <c r="UCM11" s="41"/>
      <c r="UCN11" s="41"/>
      <c r="UCO11" s="41"/>
      <c r="UCP11" s="41"/>
      <c r="UCQ11" s="41"/>
      <c r="UCR11" s="41"/>
      <c r="UCS11" s="41"/>
      <c r="UCT11" s="41"/>
      <c r="UCU11" s="41"/>
      <c r="UCV11" s="41"/>
      <c r="UCW11" s="41"/>
      <c r="UCX11" s="41"/>
      <c r="UCY11" s="41"/>
      <c r="UCZ11" s="41"/>
      <c r="UDA11" s="41"/>
      <c r="UDB11" s="41"/>
      <c r="UDC11" s="41"/>
      <c r="UDD11" s="41"/>
      <c r="UDE11" s="41"/>
      <c r="UDF11" s="41"/>
      <c r="UDG11" s="41"/>
      <c r="UDH11" s="41"/>
      <c r="UDI11" s="41"/>
      <c r="UDJ11" s="41"/>
      <c r="UDK11" s="41"/>
      <c r="UDL11" s="41"/>
      <c r="UDM11" s="41"/>
      <c r="UDN11" s="41"/>
      <c r="UDO11" s="41"/>
      <c r="UDP11" s="41"/>
      <c r="UDQ11" s="41"/>
      <c r="UDR11" s="41"/>
      <c r="UDS11" s="41"/>
      <c r="UDT11" s="41"/>
      <c r="UDU11" s="41"/>
      <c r="UDV11" s="41"/>
      <c r="UDW11" s="41"/>
      <c r="UDX11" s="41"/>
      <c r="UDY11" s="41"/>
      <c r="UDZ11" s="41"/>
      <c r="UEA11" s="41"/>
      <c r="UEB11" s="41"/>
      <c r="UEC11" s="41"/>
      <c r="UED11" s="41"/>
      <c r="UEE11" s="41"/>
      <c r="UEF11" s="41"/>
      <c r="UEG11" s="41"/>
      <c r="UEH11" s="41"/>
      <c r="UEI11" s="41"/>
      <c r="UEJ11" s="41"/>
      <c r="UEK11" s="41"/>
      <c r="UEL11" s="41"/>
      <c r="UEM11" s="41"/>
      <c r="UEN11" s="41"/>
      <c r="UEO11" s="41"/>
      <c r="UEP11" s="41"/>
      <c r="UEQ11" s="41"/>
      <c r="UER11" s="41"/>
      <c r="UES11" s="41"/>
      <c r="UET11" s="41"/>
      <c r="UEU11" s="41"/>
      <c r="UEV11" s="41"/>
      <c r="UEW11" s="41"/>
      <c r="UEX11" s="41"/>
      <c r="UEY11" s="41"/>
      <c r="UEZ11" s="41"/>
      <c r="UFA11" s="41"/>
      <c r="UFB11" s="41"/>
      <c r="UFC11" s="41"/>
      <c r="UFD11" s="41"/>
      <c r="UFE11" s="41"/>
      <c r="UFF11" s="41"/>
      <c r="UFG11" s="41"/>
      <c r="UFH11" s="41"/>
      <c r="UFI11" s="41"/>
      <c r="UFJ11" s="41"/>
      <c r="UFK11" s="41"/>
      <c r="UFL11" s="41"/>
      <c r="UFM11" s="41"/>
      <c r="UFN11" s="41"/>
      <c r="UFO11" s="41"/>
      <c r="UFP11" s="41"/>
      <c r="UFQ11" s="41"/>
      <c r="UFR11" s="41"/>
      <c r="UFS11" s="41"/>
      <c r="UFT11" s="41"/>
      <c r="UFU11" s="41"/>
      <c r="UFV11" s="41"/>
      <c r="UFW11" s="41"/>
      <c r="UFX11" s="41"/>
      <c r="UFY11" s="41"/>
      <c r="UFZ11" s="41"/>
      <c r="UGA11" s="41"/>
      <c r="UGB11" s="41"/>
      <c r="UGC11" s="41"/>
      <c r="UGD11" s="41"/>
      <c r="UGE11" s="41"/>
      <c r="UGF11" s="41"/>
      <c r="UGG11" s="41"/>
      <c r="UGH11" s="41"/>
      <c r="UGI11" s="41"/>
      <c r="UGJ11" s="41"/>
      <c r="UGK11" s="41"/>
      <c r="UGL11" s="41"/>
      <c r="UGM11" s="41"/>
      <c r="UGN11" s="41"/>
      <c r="UGO11" s="41"/>
      <c r="UGP11" s="41"/>
      <c r="UGQ11" s="41"/>
      <c r="UGR11" s="41"/>
      <c r="UGS11" s="41"/>
      <c r="UGT11" s="41"/>
      <c r="UGU11" s="41"/>
      <c r="UGV11" s="41"/>
      <c r="UGW11" s="41"/>
      <c r="UGX11" s="41"/>
      <c r="UGY11" s="41"/>
      <c r="UGZ11" s="41"/>
      <c r="UHA11" s="41"/>
      <c r="UHB11" s="41"/>
      <c r="UHC11" s="41"/>
      <c r="UHD11" s="41"/>
      <c r="UHE11" s="41"/>
      <c r="UHF11" s="41"/>
      <c r="UHG11" s="41"/>
      <c r="UHH11" s="41"/>
      <c r="UHI11" s="41"/>
      <c r="UHJ11" s="41"/>
      <c r="UHK11" s="41"/>
      <c r="UHL11" s="41"/>
      <c r="UHM11" s="41"/>
      <c r="UHN11" s="41"/>
      <c r="UHO11" s="41"/>
      <c r="UHP11" s="41"/>
      <c r="UHQ11" s="41"/>
      <c r="UHR11" s="41"/>
      <c r="UHS11" s="41"/>
      <c r="UHT11" s="41"/>
      <c r="UHU11" s="41"/>
      <c r="UHV11" s="41"/>
      <c r="UHW11" s="41"/>
      <c r="UHX11" s="41"/>
      <c r="UHY11" s="41"/>
      <c r="UHZ11" s="41"/>
      <c r="UIA11" s="41"/>
      <c r="UIB11" s="41"/>
      <c r="UIC11" s="41"/>
      <c r="UID11" s="41"/>
      <c r="UIE11" s="41"/>
      <c r="UIF11" s="41"/>
      <c r="UIG11" s="41"/>
      <c r="UIH11" s="41"/>
      <c r="UII11" s="41"/>
      <c r="UIJ11" s="41"/>
      <c r="UIK11" s="41"/>
      <c r="UIL11" s="41"/>
      <c r="UIM11" s="41"/>
      <c r="UIN11" s="41"/>
      <c r="UIO11" s="41"/>
      <c r="UIP11" s="41"/>
      <c r="UIQ11" s="41"/>
      <c r="UIR11" s="41"/>
      <c r="UIS11" s="41"/>
      <c r="UIT11" s="41"/>
      <c r="UIU11" s="41"/>
      <c r="UIV11" s="41"/>
      <c r="UIW11" s="41"/>
      <c r="UIX11" s="41"/>
      <c r="UIY11" s="41"/>
      <c r="UIZ11" s="41"/>
      <c r="UJA11" s="41"/>
      <c r="UJB11" s="41"/>
      <c r="UJC11" s="41"/>
      <c r="UJD11" s="41"/>
      <c r="UJE11" s="41"/>
      <c r="UJF11" s="41"/>
      <c r="UJG11" s="41"/>
      <c r="UJH11" s="41"/>
      <c r="UJI11" s="41"/>
      <c r="UJJ11" s="41"/>
      <c r="UJK11" s="41"/>
      <c r="UJL11" s="41"/>
      <c r="UJM11" s="41"/>
      <c r="UJN11" s="41"/>
      <c r="UJO11" s="41"/>
      <c r="UJP11" s="41"/>
      <c r="UJQ11" s="41"/>
      <c r="UJR11" s="41"/>
      <c r="UJS11" s="41"/>
      <c r="UJT11" s="41"/>
      <c r="UJU11" s="41"/>
      <c r="UJV11" s="41"/>
      <c r="UJW11" s="41"/>
      <c r="UJX11" s="41"/>
      <c r="UJY11" s="41"/>
      <c r="UJZ11" s="41"/>
      <c r="UKA11" s="41"/>
      <c r="UKB11" s="41"/>
      <c r="UKC11" s="41"/>
      <c r="UKD11" s="41"/>
      <c r="UKE11" s="41"/>
      <c r="UKF11" s="41"/>
      <c r="UKG11" s="41"/>
      <c r="UKH11" s="41"/>
      <c r="UKI11" s="41"/>
      <c r="UKJ11" s="41"/>
      <c r="UKK11" s="41"/>
      <c r="UKL11" s="41"/>
      <c r="UKM11" s="41"/>
      <c r="UKN11" s="41"/>
      <c r="UKO11" s="41"/>
      <c r="UKP11" s="41"/>
      <c r="UKQ11" s="41"/>
      <c r="UKR11" s="41"/>
      <c r="UKS11" s="41"/>
      <c r="UKT11" s="41"/>
      <c r="UKU11" s="41"/>
      <c r="UKV11" s="41"/>
      <c r="UKW11" s="41"/>
      <c r="UKX11" s="41"/>
      <c r="UKY11" s="41"/>
      <c r="UKZ11" s="41"/>
      <c r="ULA11" s="41"/>
      <c r="ULB11" s="41"/>
      <c r="ULC11" s="41"/>
      <c r="ULD11" s="41"/>
      <c r="ULE11" s="41"/>
      <c r="ULF11" s="41"/>
      <c r="ULG11" s="41"/>
      <c r="ULH11" s="41"/>
      <c r="ULI11" s="41"/>
      <c r="ULJ11" s="41"/>
      <c r="ULK11" s="41"/>
      <c r="ULL11" s="41"/>
      <c r="ULM11" s="41"/>
      <c r="ULN11" s="41"/>
      <c r="ULO11" s="41"/>
      <c r="ULP11" s="41"/>
      <c r="ULQ11" s="41"/>
      <c r="ULR11" s="41"/>
      <c r="ULS11" s="41"/>
      <c r="ULT11" s="41"/>
      <c r="ULU11" s="41"/>
      <c r="ULV11" s="41"/>
      <c r="ULW11" s="41"/>
      <c r="ULX11" s="41"/>
      <c r="ULY11" s="41"/>
      <c r="ULZ11" s="41"/>
      <c r="UMA11" s="41"/>
      <c r="UMB11" s="41"/>
      <c r="UMC11" s="41"/>
      <c r="UMD11" s="41"/>
      <c r="UME11" s="41"/>
      <c r="UMF11" s="41"/>
      <c r="UMG11" s="41"/>
      <c r="UMH11" s="41"/>
      <c r="UMI11" s="41"/>
      <c r="UMJ11" s="41"/>
      <c r="UMK11" s="41"/>
      <c r="UML11" s="41"/>
      <c r="UMM11" s="41"/>
      <c r="UMN11" s="41"/>
      <c r="UMO11" s="41"/>
      <c r="UMP11" s="41"/>
      <c r="UMQ11" s="41"/>
      <c r="UMR11" s="41"/>
      <c r="UMS11" s="41"/>
      <c r="UMT11" s="41"/>
      <c r="UMU11" s="41"/>
      <c r="UMV11" s="41"/>
      <c r="UMW11" s="41"/>
      <c r="UMX11" s="41"/>
      <c r="UMY11" s="41"/>
      <c r="UMZ11" s="41"/>
      <c r="UNA11" s="41"/>
      <c r="UNB11" s="41"/>
      <c r="UNC11" s="41"/>
      <c r="UND11" s="41"/>
      <c r="UNE11" s="41"/>
      <c r="UNF11" s="41"/>
      <c r="UNG11" s="41"/>
      <c r="UNH11" s="41"/>
      <c r="UNI11" s="41"/>
      <c r="UNJ11" s="41"/>
      <c r="UNK11" s="41"/>
      <c r="UNL11" s="41"/>
      <c r="UNM11" s="41"/>
      <c r="UNN11" s="41"/>
      <c r="UNO11" s="41"/>
      <c r="UNP11" s="41"/>
      <c r="UNQ11" s="41"/>
      <c r="UNR11" s="41"/>
      <c r="UNS11" s="41"/>
      <c r="UNT11" s="41"/>
      <c r="UNU11" s="41"/>
      <c r="UNV11" s="41"/>
      <c r="UNW11" s="41"/>
      <c r="UNX11" s="41"/>
      <c r="UNY11" s="41"/>
      <c r="UNZ11" s="41"/>
      <c r="UOA11" s="41"/>
      <c r="UOB11" s="41"/>
      <c r="UOC11" s="41"/>
      <c r="UOD11" s="41"/>
      <c r="UOE11" s="41"/>
      <c r="UOF11" s="41"/>
      <c r="UOG11" s="41"/>
      <c r="UOH11" s="41"/>
      <c r="UOI11" s="41"/>
      <c r="UOJ11" s="41"/>
      <c r="UOK11" s="41"/>
      <c r="UOL11" s="41"/>
      <c r="UOM11" s="41"/>
      <c r="UON11" s="41"/>
      <c r="UOO11" s="41"/>
      <c r="UOP11" s="41"/>
      <c r="UOQ11" s="41"/>
      <c r="UOR11" s="41"/>
      <c r="UOS11" s="41"/>
      <c r="UOT11" s="41"/>
      <c r="UOU11" s="41"/>
      <c r="UOV11" s="41"/>
      <c r="UOW11" s="41"/>
      <c r="UOX11" s="41"/>
      <c r="UOY11" s="41"/>
      <c r="UOZ11" s="41"/>
      <c r="UPA11" s="41"/>
      <c r="UPB11" s="41"/>
      <c r="UPC11" s="41"/>
      <c r="UPD11" s="41"/>
      <c r="UPE11" s="41"/>
      <c r="UPF11" s="41"/>
      <c r="UPG11" s="41"/>
      <c r="UPH11" s="41"/>
      <c r="UPI11" s="41"/>
      <c r="UPJ11" s="41"/>
      <c r="UPK11" s="41"/>
      <c r="UPL11" s="41"/>
      <c r="UPM11" s="41"/>
      <c r="UPN11" s="41"/>
      <c r="UPO11" s="41"/>
      <c r="UPP11" s="41"/>
      <c r="UPQ11" s="41"/>
      <c r="UPR11" s="41"/>
      <c r="UPS11" s="41"/>
      <c r="UPT11" s="41"/>
      <c r="UPU11" s="41"/>
      <c r="UPV11" s="41"/>
      <c r="UPW11" s="41"/>
      <c r="UPX11" s="41"/>
      <c r="UPY11" s="41"/>
      <c r="UPZ11" s="41"/>
      <c r="UQA11" s="41"/>
      <c r="UQB11" s="41"/>
      <c r="UQC11" s="41"/>
      <c r="UQD11" s="41"/>
      <c r="UQE11" s="41"/>
      <c r="UQF11" s="41"/>
      <c r="UQG11" s="41"/>
      <c r="UQH11" s="41"/>
      <c r="UQI11" s="41"/>
      <c r="UQJ11" s="41"/>
      <c r="UQK11" s="41"/>
      <c r="UQL11" s="41"/>
      <c r="UQM11" s="41"/>
      <c r="UQN11" s="41"/>
      <c r="UQO11" s="41"/>
      <c r="UQP11" s="41"/>
      <c r="UQQ11" s="41"/>
      <c r="UQR11" s="41"/>
      <c r="UQS11" s="41"/>
      <c r="UQT11" s="41"/>
      <c r="UQU11" s="41"/>
      <c r="UQV11" s="41"/>
      <c r="UQW11" s="41"/>
      <c r="UQX11" s="41"/>
      <c r="UQY11" s="41"/>
      <c r="UQZ11" s="41"/>
      <c r="URA11" s="41"/>
      <c r="URB11" s="41"/>
      <c r="URC11" s="41"/>
      <c r="URD11" s="41"/>
      <c r="URE11" s="41"/>
      <c r="URF11" s="41"/>
      <c r="URG11" s="41"/>
      <c r="URH11" s="41"/>
      <c r="URI11" s="41"/>
      <c r="URJ11" s="41"/>
      <c r="URK11" s="41"/>
      <c r="URL11" s="41"/>
      <c r="URM11" s="41"/>
      <c r="URN11" s="41"/>
      <c r="URO11" s="41"/>
      <c r="URP11" s="41"/>
      <c r="URQ11" s="41"/>
      <c r="URR11" s="41"/>
      <c r="URS11" s="41"/>
      <c r="URT11" s="41"/>
      <c r="URU11" s="41"/>
      <c r="URV11" s="41"/>
      <c r="URW11" s="41"/>
      <c r="URX11" s="41"/>
      <c r="URY11" s="41"/>
      <c r="URZ11" s="41"/>
      <c r="USA11" s="41"/>
      <c r="USB11" s="41"/>
      <c r="USC11" s="41"/>
      <c r="USD11" s="41"/>
      <c r="USE11" s="41"/>
      <c r="USF11" s="41"/>
      <c r="USG11" s="41"/>
      <c r="USH11" s="41"/>
      <c r="USI11" s="41"/>
      <c r="USJ11" s="41"/>
      <c r="USK11" s="41"/>
      <c r="USL11" s="41"/>
      <c r="USM11" s="41"/>
      <c r="USN11" s="41"/>
      <c r="USO11" s="41"/>
      <c r="USP11" s="41"/>
      <c r="USQ11" s="41"/>
      <c r="USR11" s="41"/>
      <c r="USS11" s="41"/>
      <c r="UST11" s="41"/>
      <c r="USU11" s="41"/>
      <c r="USV11" s="41"/>
      <c r="USW11" s="41"/>
      <c r="USX11" s="41"/>
      <c r="USY11" s="41"/>
      <c r="USZ11" s="41"/>
      <c r="UTA11" s="41"/>
      <c r="UTB11" s="41"/>
      <c r="UTC11" s="41"/>
      <c r="UTD11" s="41"/>
      <c r="UTE11" s="41"/>
      <c r="UTF11" s="41"/>
      <c r="UTG11" s="41"/>
      <c r="UTH11" s="41"/>
      <c r="UTI11" s="41"/>
      <c r="UTJ11" s="41"/>
      <c r="UTK11" s="41"/>
      <c r="UTL11" s="41"/>
      <c r="UTM11" s="41"/>
      <c r="UTN11" s="41"/>
      <c r="UTO11" s="41"/>
      <c r="UTP11" s="41"/>
      <c r="UTQ11" s="41"/>
      <c r="UTR11" s="41"/>
      <c r="UTS11" s="41"/>
      <c r="UTT11" s="41"/>
      <c r="UTU11" s="41"/>
      <c r="UTV11" s="41"/>
      <c r="UTW11" s="41"/>
      <c r="UTX11" s="41"/>
      <c r="UTY11" s="41"/>
      <c r="UTZ11" s="41"/>
      <c r="UUA11" s="41"/>
      <c r="UUB11" s="41"/>
      <c r="UUC11" s="41"/>
      <c r="UUD11" s="41"/>
      <c r="UUE11" s="41"/>
      <c r="UUF11" s="41"/>
      <c r="UUG11" s="41"/>
      <c r="UUH11" s="41"/>
      <c r="UUI11" s="41"/>
      <c r="UUJ11" s="41"/>
      <c r="UUK11" s="41"/>
      <c r="UUL11" s="41"/>
      <c r="UUM11" s="41"/>
      <c r="UUN11" s="41"/>
      <c r="UUO11" s="41"/>
      <c r="UUP11" s="41"/>
      <c r="UUQ11" s="41"/>
      <c r="UUR11" s="41"/>
      <c r="UUS11" s="41"/>
      <c r="UUT11" s="41"/>
      <c r="UUU11" s="41"/>
      <c r="UUV11" s="41"/>
      <c r="UUW11" s="41"/>
      <c r="UUX11" s="41"/>
      <c r="UUY11" s="41"/>
      <c r="UUZ11" s="41"/>
      <c r="UVA11" s="41"/>
      <c r="UVB11" s="41"/>
      <c r="UVC11" s="41"/>
      <c r="UVD11" s="41"/>
      <c r="UVE11" s="41"/>
      <c r="UVF11" s="41"/>
      <c r="UVG11" s="41"/>
      <c r="UVH11" s="41"/>
      <c r="UVI11" s="41"/>
      <c r="UVJ11" s="41"/>
      <c r="UVK11" s="41"/>
      <c r="UVL11" s="41"/>
      <c r="UVM11" s="41"/>
      <c r="UVN11" s="41"/>
      <c r="UVO11" s="41"/>
      <c r="UVP11" s="41"/>
      <c r="UVQ11" s="41"/>
      <c r="UVR11" s="41"/>
      <c r="UVS11" s="41"/>
      <c r="UVT11" s="41"/>
      <c r="UVU11" s="41"/>
      <c r="UVV11" s="41"/>
      <c r="UVW11" s="41"/>
      <c r="UVX11" s="41"/>
      <c r="UVY11" s="41"/>
      <c r="UVZ11" s="41"/>
      <c r="UWA11" s="41"/>
      <c r="UWB11" s="41"/>
      <c r="UWC11" s="41"/>
      <c r="UWD11" s="41"/>
      <c r="UWE11" s="41"/>
      <c r="UWF11" s="41"/>
      <c r="UWG11" s="41"/>
      <c r="UWH11" s="41"/>
      <c r="UWI11" s="41"/>
      <c r="UWJ11" s="41"/>
      <c r="UWK11" s="41"/>
      <c r="UWL11" s="41"/>
      <c r="UWM11" s="41"/>
      <c r="UWN11" s="41"/>
      <c r="UWO11" s="41"/>
      <c r="UWP11" s="41"/>
      <c r="UWQ11" s="41"/>
      <c r="UWR11" s="41"/>
      <c r="UWS11" s="41"/>
      <c r="UWT11" s="41"/>
      <c r="UWU11" s="41"/>
      <c r="UWV11" s="41"/>
      <c r="UWW11" s="41"/>
      <c r="UWX11" s="41"/>
      <c r="UWY11" s="41"/>
      <c r="UWZ11" s="41"/>
      <c r="UXA11" s="41"/>
      <c r="UXB11" s="41"/>
      <c r="UXC11" s="41"/>
      <c r="UXD11" s="41"/>
      <c r="UXE11" s="41"/>
      <c r="UXF11" s="41"/>
      <c r="UXG11" s="41"/>
      <c r="UXH11" s="41"/>
      <c r="UXI11" s="41"/>
      <c r="UXJ11" s="41"/>
      <c r="UXK11" s="41"/>
      <c r="UXL11" s="41"/>
      <c r="UXM11" s="41"/>
      <c r="UXN11" s="41"/>
      <c r="UXO11" s="41"/>
      <c r="UXP11" s="41"/>
      <c r="UXQ11" s="41"/>
      <c r="UXR11" s="41"/>
      <c r="UXS11" s="41"/>
      <c r="UXT11" s="41"/>
      <c r="UXU11" s="41"/>
      <c r="UXV11" s="41"/>
      <c r="UXW11" s="41"/>
      <c r="UXX11" s="41"/>
      <c r="UXY11" s="41"/>
      <c r="UXZ11" s="41"/>
      <c r="UYA11" s="41"/>
      <c r="UYB11" s="41"/>
      <c r="UYC11" s="41"/>
      <c r="UYD11" s="41"/>
      <c r="UYE11" s="41"/>
      <c r="UYF11" s="41"/>
      <c r="UYG11" s="41"/>
      <c r="UYH11" s="41"/>
      <c r="UYI11" s="41"/>
      <c r="UYJ11" s="41"/>
      <c r="UYK11" s="41"/>
      <c r="UYL11" s="41"/>
      <c r="UYM11" s="41"/>
      <c r="UYN11" s="41"/>
      <c r="UYO11" s="41"/>
      <c r="UYP11" s="41"/>
      <c r="UYQ11" s="41"/>
      <c r="UYR11" s="41"/>
      <c r="UYS11" s="41"/>
      <c r="UYT11" s="41"/>
      <c r="UYU11" s="41"/>
      <c r="UYV11" s="41"/>
      <c r="UYW11" s="41"/>
      <c r="UYX11" s="41"/>
      <c r="UYY11" s="41"/>
      <c r="UYZ11" s="41"/>
      <c r="UZA11" s="41"/>
      <c r="UZB11" s="41"/>
      <c r="UZC11" s="41"/>
      <c r="UZD11" s="41"/>
      <c r="UZE11" s="41"/>
      <c r="UZF11" s="41"/>
      <c r="UZG11" s="41"/>
      <c r="UZH11" s="41"/>
      <c r="UZI11" s="41"/>
      <c r="UZJ11" s="41"/>
      <c r="UZK11" s="41"/>
      <c r="UZL11" s="41"/>
      <c r="UZM11" s="41"/>
      <c r="UZN11" s="41"/>
      <c r="UZO11" s="41"/>
      <c r="UZP11" s="41"/>
      <c r="UZQ11" s="41"/>
      <c r="UZR11" s="41"/>
      <c r="UZS11" s="41"/>
      <c r="UZT11" s="41"/>
      <c r="UZU11" s="41"/>
      <c r="UZV11" s="41"/>
      <c r="UZW11" s="41"/>
      <c r="UZX11" s="41"/>
      <c r="UZY11" s="41"/>
      <c r="UZZ11" s="41"/>
      <c r="VAA11" s="41"/>
      <c r="VAB11" s="41"/>
      <c r="VAC11" s="41"/>
      <c r="VAD11" s="41"/>
      <c r="VAE11" s="41"/>
      <c r="VAF11" s="41"/>
      <c r="VAG11" s="41"/>
      <c r="VAH11" s="41"/>
      <c r="VAI11" s="41"/>
      <c r="VAJ11" s="41"/>
      <c r="VAK11" s="41"/>
      <c r="VAL11" s="41"/>
      <c r="VAM11" s="41"/>
      <c r="VAN11" s="41"/>
      <c r="VAO11" s="41"/>
      <c r="VAP11" s="41"/>
      <c r="VAQ11" s="41"/>
      <c r="VAR11" s="41"/>
      <c r="VAS11" s="41"/>
      <c r="VAT11" s="41"/>
      <c r="VAU11" s="41"/>
      <c r="VAV11" s="41"/>
      <c r="VAW11" s="41"/>
      <c r="VAX11" s="41"/>
      <c r="VAY11" s="41"/>
      <c r="VAZ11" s="41"/>
      <c r="VBA11" s="41"/>
      <c r="VBB11" s="41"/>
      <c r="VBC11" s="41"/>
      <c r="VBD11" s="41"/>
      <c r="VBE11" s="41"/>
      <c r="VBF11" s="41"/>
      <c r="VBG11" s="41"/>
      <c r="VBH11" s="41"/>
      <c r="VBI11" s="41"/>
      <c r="VBJ11" s="41"/>
      <c r="VBK11" s="41"/>
      <c r="VBL11" s="41"/>
      <c r="VBM11" s="41"/>
      <c r="VBN11" s="41"/>
      <c r="VBO11" s="41"/>
      <c r="VBP11" s="41"/>
      <c r="VBQ11" s="41"/>
      <c r="VBR11" s="41"/>
      <c r="VBS11" s="41"/>
      <c r="VBT11" s="41"/>
      <c r="VBU11" s="41"/>
      <c r="VBV11" s="41"/>
      <c r="VBW11" s="41"/>
      <c r="VBX11" s="41"/>
      <c r="VBY11" s="41"/>
      <c r="VBZ11" s="41"/>
      <c r="VCA11" s="41"/>
      <c r="VCB11" s="41"/>
      <c r="VCC11" s="41"/>
      <c r="VCD11" s="41"/>
      <c r="VCE11" s="41"/>
      <c r="VCF11" s="41"/>
      <c r="VCG11" s="41"/>
      <c r="VCH11" s="41"/>
      <c r="VCI11" s="41"/>
      <c r="VCJ11" s="41"/>
      <c r="VCK11" s="41"/>
      <c r="VCL11" s="41"/>
      <c r="VCM11" s="41"/>
      <c r="VCN11" s="41"/>
      <c r="VCO11" s="41"/>
      <c r="VCP11" s="41"/>
      <c r="VCQ11" s="41"/>
      <c r="VCR11" s="41"/>
      <c r="VCS11" s="41"/>
      <c r="VCT11" s="41"/>
      <c r="VCU11" s="41"/>
      <c r="VCV11" s="41"/>
      <c r="VCW11" s="41"/>
      <c r="VCX11" s="41"/>
      <c r="VCY11" s="41"/>
      <c r="VCZ11" s="41"/>
      <c r="VDA11" s="41"/>
      <c r="VDB11" s="41"/>
      <c r="VDC11" s="41"/>
      <c r="VDD11" s="41"/>
      <c r="VDE11" s="41"/>
      <c r="VDF11" s="41"/>
      <c r="VDG11" s="41"/>
      <c r="VDH11" s="41"/>
      <c r="VDI11" s="41"/>
      <c r="VDJ11" s="41"/>
      <c r="VDK11" s="41"/>
      <c r="VDL11" s="41"/>
      <c r="VDM11" s="41"/>
      <c r="VDN11" s="41"/>
      <c r="VDO11" s="41"/>
      <c r="VDP11" s="41"/>
      <c r="VDQ11" s="41"/>
      <c r="VDR11" s="41"/>
      <c r="VDS11" s="41"/>
      <c r="VDT11" s="41"/>
      <c r="VDU11" s="41"/>
      <c r="VDV11" s="41"/>
      <c r="VDW11" s="41"/>
      <c r="VDX11" s="41"/>
      <c r="VDY11" s="41"/>
      <c r="VDZ11" s="41"/>
      <c r="VEA11" s="41"/>
      <c r="VEB11" s="41"/>
      <c r="VEC11" s="41"/>
      <c r="VED11" s="41"/>
      <c r="VEE11" s="41"/>
      <c r="VEF11" s="41"/>
      <c r="VEG11" s="41"/>
      <c r="VEH11" s="41"/>
      <c r="VEI11" s="41"/>
      <c r="VEJ11" s="41"/>
      <c r="VEK11" s="41"/>
      <c r="VEL11" s="41"/>
      <c r="VEM11" s="41"/>
      <c r="VEN11" s="41"/>
      <c r="VEO11" s="41"/>
      <c r="VEP11" s="41"/>
      <c r="VEQ11" s="41"/>
      <c r="VER11" s="41"/>
      <c r="VES11" s="41"/>
      <c r="VET11" s="41"/>
      <c r="VEU11" s="41"/>
      <c r="VEV11" s="41"/>
      <c r="VEW11" s="41"/>
      <c r="VEX11" s="41"/>
      <c r="VEY11" s="41"/>
      <c r="VEZ11" s="41"/>
      <c r="VFA11" s="41"/>
      <c r="VFB11" s="41"/>
      <c r="VFC11" s="41"/>
      <c r="VFD11" s="41"/>
      <c r="VFE11" s="41"/>
      <c r="VFF11" s="41"/>
      <c r="VFG11" s="41"/>
      <c r="VFH11" s="41"/>
      <c r="VFI11" s="41"/>
      <c r="VFJ11" s="41"/>
      <c r="VFK11" s="41"/>
      <c r="VFL11" s="41"/>
      <c r="VFM11" s="41"/>
      <c r="VFN11" s="41"/>
      <c r="VFO11" s="41"/>
      <c r="VFP11" s="41"/>
      <c r="VFQ11" s="41"/>
      <c r="VFR11" s="41"/>
      <c r="VFS11" s="41"/>
      <c r="VFT11" s="41"/>
      <c r="VFU11" s="41"/>
      <c r="VFV11" s="41"/>
      <c r="VFW11" s="41"/>
      <c r="VFX11" s="41"/>
      <c r="VFY11" s="41"/>
      <c r="VFZ11" s="41"/>
      <c r="VGA11" s="41"/>
      <c r="VGB11" s="41"/>
      <c r="VGC11" s="41"/>
      <c r="VGD11" s="41"/>
      <c r="VGE11" s="41"/>
      <c r="VGF11" s="41"/>
      <c r="VGG11" s="41"/>
      <c r="VGH11" s="41"/>
      <c r="VGI11" s="41"/>
      <c r="VGJ11" s="41"/>
      <c r="VGK11" s="41"/>
      <c r="VGL11" s="41"/>
      <c r="VGM11" s="41"/>
      <c r="VGN11" s="41"/>
      <c r="VGO11" s="41"/>
      <c r="VGP11" s="41"/>
      <c r="VGQ11" s="41"/>
      <c r="VGR11" s="41"/>
      <c r="VGS11" s="41"/>
      <c r="VGT11" s="41"/>
      <c r="VGU11" s="41"/>
      <c r="VGV11" s="41"/>
      <c r="VGW11" s="41"/>
      <c r="VGX11" s="41"/>
      <c r="VGY11" s="41"/>
      <c r="VGZ11" s="41"/>
      <c r="VHA11" s="41"/>
      <c r="VHB11" s="41"/>
      <c r="VHC11" s="41"/>
      <c r="VHD11" s="41"/>
      <c r="VHE11" s="41"/>
      <c r="VHF11" s="41"/>
      <c r="VHG11" s="41"/>
      <c r="VHH11" s="41"/>
      <c r="VHI11" s="41"/>
      <c r="VHJ11" s="41"/>
      <c r="VHK11" s="41"/>
      <c r="VHL11" s="41"/>
      <c r="VHM11" s="41"/>
      <c r="VHN11" s="41"/>
      <c r="VHO11" s="41"/>
      <c r="VHP11" s="41"/>
      <c r="VHQ11" s="41"/>
      <c r="VHR11" s="41"/>
      <c r="VHS11" s="41"/>
      <c r="VHT11" s="41"/>
      <c r="VHU11" s="41"/>
      <c r="VHV11" s="41"/>
      <c r="VHW11" s="41"/>
      <c r="VHX11" s="41"/>
      <c r="VHY11" s="41"/>
      <c r="VHZ11" s="41"/>
      <c r="VIA11" s="41"/>
      <c r="VIB11" s="41"/>
      <c r="VIC11" s="41"/>
      <c r="VID11" s="41"/>
      <c r="VIE11" s="41"/>
      <c r="VIF11" s="41"/>
      <c r="VIG11" s="41"/>
      <c r="VIH11" s="41"/>
      <c r="VII11" s="41"/>
      <c r="VIJ11" s="41"/>
      <c r="VIK11" s="41"/>
      <c r="VIL11" s="41"/>
      <c r="VIM11" s="41"/>
      <c r="VIN11" s="41"/>
      <c r="VIO11" s="41"/>
      <c r="VIP11" s="41"/>
      <c r="VIQ11" s="41"/>
      <c r="VIR11" s="41"/>
      <c r="VIS11" s="41"/>
      <c r="VIT11" s="41"/>
      <c r="VIU11" s="41"/>
      <c r="VIV11" s="41"/>
      <c r="VIW11" s="41"/>
      <c r="VIX11" s="41"/>
      <c r="VIY11" s="41"/>
      <c r="VIZ11" s="41"/>
      <c r="VJA11" s="41"/>
      <c r="VJB11" s="41"/>
      <c r="VJC11" s="41"/>
      <c r="VJD11" s="41"/>
      <c r="VJE11" s="41"/>
      <c r="VJF11" s="41"/>
      <c r="VJG11" s="41"/>
      <c r="VJH11" s="41"/>
      <c r="VJI11" s="41"/>
      <c r="VJJ11" s="41"/>
      <c r="VJK11" s="41"/>
      <c r="VJL11" s="41"/>
      <c r="VJM11" s="41"/>
      <c r="VJN11" s="41"/>
      <c r="VJO11" s="41"/>
      <c r="VJP11" s="41"/>
      <c r="VJQ11" s="41"/>
      <c r="VJR11" s="41"/>
      <c r="VJS11" s="41"/>
      <c r="VJT11" s="41"/>
      <c r="VJU11" s="41"/>
      <c r="VJV11" s="41"/>
      <c r="VJW11" s="41"/>
      <c r="VJX11" s="41"/>
      <c r="VJY11" s="41"/>
      <c r="VJZ11" s="41"/>
      <c r="VKA11" s="41"/>
      <c r="VKB11" s="41"/>
      <c r="VKC11" s="41"/>
      <c r="VKD11" s="41"/>
      <c r="VKE11" s="41"/>
      <c r="VKF11" s="41"/>
      <c r="VKG11" s="41"/>
      <c r="VKH11" s="41"/>
      <c r="VKI11" s="41"/>
      <c r="VKJ11" s="41"/>
      <c r="VKK11" s="41"/>
      <c r="VKL11" s="41"/>
      <c r="VKM11" s="41"/>
      <c r="VKN11" s="41"/>
      <c r="VKO11" s="41"/>
      <c r="VKP11" s="41"/>
      <c r="VKQ11" s="41"/>
      <c r="VKR11" s="41"/>
      <c r="VKS11" s="41"/>
      <c r="VKT11" s="41"/>
      <c r="VKU11" s="41"/>
      <c r="VKV11" s="41"/>
      <c r="VKW11" s="41"/>
      <c r="VKX11" s="41"/>
      <c r="VKY11" s="41"/>
      <c r="VKZ11" s="41"/>
      <c r="VLA11" s="41"/>
      <c r="VLB11" s="41"/>
      <c r="VLC11" s="41"/>
      <c r="VLD11" s="41"/>
      <c r="VLE11" s="41"/>
      <c r="VLF11" s="41"/>
      <c r="VLG11" s="41"/>
      <c r="VLH11" s="41"/>
      <c r="VLI11" s="41"/>
      <c r="VLJ11" s="41"/>
      <c r="VLK11" s="41"/>
      <c r="VLL11" s="41"/>
      <c r="VLM11" s="41"/>
      <c r="VLN11" s="41"/>
      <c r="VLO11" s="41"/>
      <c r="VLP11" s="41"/>
      <c r="VLQ11" s="41"/>
      <c r="VLR11" s="41"/>
      <c r="VLS11" s="41"/>
      <c r="VLT11" s="41"/>
      <c r="VLU11" s="41"/>
      <c r="VLV11" s="41"/>
      <c r="VLW11" s="41"/>
      <c r="VLX11" s="41"/>
      <c r="VLY11" s="41"/>
      <c r="VLZ11" s="41"/>
      <c r="VMA11" s="41"/>
      <c r="VMB11" s="41"/>
      <c r="VMC11" s="41"/>
      <c r="VMD11" s="41"/>
      <c r="VME11" s="41"/>
      <c r="VMF11" s="41"/>
      <c r="VMG11" s="41"/>
      <c r="VMH11" s="41"/>
      <c r="VMI11" s="41"/>
      <c r="VMJ11" s="41"/>
      <c r="VMK11" s="41"/>
      <c r="VML11" s="41"/>
      <c r="VMM11" s="41"/>
      <c r="VMN11" s="41"/>
      <c r="VMO11" s="41"/>
      <c r="VMP11" s="41"/>
      <c r="VMQ11" s="41"/>
      <c r="VMR11" s="41"/>
      <c r="VMS11" s="41"/>
      <c r="VMT11" s="41"/>
      <c r="VMU11" s="41"/>
      <c r="VMV11" s="41"/>
      <c r="VMW11" s="41"/>
      <c r="VMX11" s="41"/>
      <c r="VMY11" s="41"/>
      <c r="VMZ11" s="41"/>
      <c r="VNA11" s="41"/>
      <c r="VNB11" s="41"/>
      <c r="VNC11" s="41"/>
      <c r="VND11" s="41"/>
      <c r="VNE11" s="41"/>
      <c r="VNF11" s="41"/>
      <c r="VNG11" s="41"/>
      <c r="VNH11" s="41"/>
      <c r="VNI11" s="41"/>
      <c r="VNJ11" s="41"/>
      <c r="VNK11" s="41"/>
      <c r="VNL11" s="41"/>
      <c r="VNM11" s="41"/>
      <c r="VNN11" s="41"/>
      <c r="VNO11" s="41"/>
      <c r="VNP11" s="41"/>
      <c r="VNQ11" s="41"/>
      <c r="VNR11" s="41"/>
      <c r="VNS11" s="41"/>
      <c r="VNT11" s="41"/>
      <c r="VNU11" s="41"/>
      <c r="VNV11" s="41"/>
      <c r="VNW11" s="41"/>
      <c r="VNX11" s="41"/>
      <c r="VNY11" s="41"/>
      <c r="VNZ11" s="41"/>
      <c r="VOA11" s="41"/>
      <c r="VOB11" s="41"/>
      <c r="VOC11" s="41"/>
      <c r="VOD11" s="41"/>
      <c r="VOE11" s="41"/>
      <c r="VOF11" s="41"/>
      <c r="VOG11" s="41"/>
      <c r="VOH11" s="41"/>
      <c r="VOI11" s="41"/>
      <c r="VOJ11" s="41"/>
      <c r="VOK11" s="41"/>
      <c r="VOL11" s="41"/>
      <c r="VOM11" s="41"/>
      <c r="VON11" s="41"/>
      <c r="VOO11" s="41"/>
      <c r="VOP11" s="41"/>
      <c r="VOQ11" s="41"/>
      <c r="VOR11" s="41"/>
      <c r="VOS11" s="41"/>
      <c r="VOT11" s="41"/>
      <c r="VOU11" s="41"/>
      <c r="VOV11" s="41"/>
      <c r="VOW11" s="41"/>
      <c r="VOX11" s="41"/>
      <c r="VOY11" s="41"/>
      <c r="VOZ11" s="41"/>
      <c r="VPA11" s="41"/>
      <c r="VPB11" s="41"/>
      <c r="VPC11" s="41"/>
      <c r="VPD11" s="41"/>
      <c r="VPE11" s="41"/>
      <c r="VPF11" s="41"/>
      <c r="VPG11" s="41"/>
      <c r="VPH11" s="41"/>
      <c r="VPI11" s="41"/>
      <c r="VPJ11" s="41"/>
      <c r="VPK11" s="41"/>
      <c r="VPL11" s="41"/>
      <c r="VPM11" s="41"/>
      <c r="VPN11" s="41"/>
      <c r="VPO11" s="41"/>
      <c r="VPP11" s="41"/>
      <c r="VPQ11" s="41"/>
      <c r="VPR11" s="41"/>
      <c r="VPS11" s="41"/>
      <c r="VPT11" s="41"/>
      <c r="VPU11" s="41"/>
      <c r="VPV11" s="41"/>
      <c r="VPW11" s="41"/>
      <c r="VPX11" s="41"/>
      <c r="VPY11" s="41"/>
      <c r="VPZ11" s="41"/>
      <c r="VQA11" s="41"/>
      <c r="VQB11" s="41"/>
      <c r="VQC11" s="41"/>
      <c r="VQD11" s="41"/>
      <c r="VQE11" s="41"/>
      <c r="VQF11" s="41"/>
      <c r="VQG11" s="41"/>
      <c r="VQH11" s="41"/>
      <c r="VQI11" s="41"/>
      <c r="VQJ11" s="41"/>
      <c r="VQK11" s="41"/>
      <c r="VQL11" s="41"/>
      <c r="VQM11" s="41"/>
      <c r="VQN11" s="41"/>
      <c r="VQO11" s="41"/>
      <c r="VQP11" s="41"/>
      <c r="VQQ11" s="41"/>
      <c r="VQR11" s="41"/>
      <c r="VQS11" s="41"/>
      <c r="VQT11" s="41"/>
      <c r="VQU11" s="41"/>
      <c r="VQV11" s="41"/>
      <c r="VQW11" s="41"/>
      <c r="VQX11" s="41"/>
      <c r="VQY11" s="41"/>
      <c r="VQZ11" s="41"/>
      <c r="VRA11" s="41"/>
      <c r="VRB11" s="41"/>
      <c r="VRC11" s="41"/>
      <c r="VRD11" s="41"/>
      <c r="VRE11" s="41"/>
      <c r="VRF11" s="41"/>
      <c r="VRG11" s="41"/>
      <c r="VRH11" s="41"/>
      <c r="VRI11" s="41"/>
      <c r="VRJ11" s="41"/>
      <c r="VRK11" s="41"/>
      <c r="VRL11" s="41"/>
      <c r="VRM11" s="41"/>
      <c r="VRN11" s="41"/>
      <c r="VRO11" s="41"/>
      <c r="VRP11" s="41"/>
      <c r="VRQ11" s="41"/>
      <c r="VRR11" s="41"/>
      <c r="VRS11" s="41"/>
      <c r="VRT11" s="41"/>
      <c r="VRU11" s="41"/>
      <c r="VRV11" s="41"/>
      <c r="VRW11" s="41"/>
      <c r="VRX11" s="41"/>
      <c r="VRY11" s="41"/>
      <c r="VRZ11" s="41"/>
      <c r="VSA11" s="41"/>
      <c r="VSB11" s="41"/>
      <c r="VSC11" s="41"/>
      <c r="VSD11" s="41"/>
      <c r="VSE11" s="41"/>
      <c r="VSF11" s="41"/>
      <c r="VSG11" s="41"/>
      <c r="VSH11" s="41"/>
      <c r="VSI11" s="41"/>
      <c r="VSJ11" s="41"/>
      <c r="VSK11" s="41"/>
      <c r="VSL11" s="41"/>
      <c r="VSM11" s="41"/>
      <c r="VSN11" s="41"/>
      <c r="VSO11" s="41"/>
      <c r="VSP11" s="41"/>
      <c r="VSQ11" s="41"/>
      <c r="VSR11" s="41"/>
      <c r="VSS11" s="41"/>
      <c r="VST11" s="41"/>
      <c r="VSU11" s="41"/>
      <c r="VSV11" s="41"/>
      <c r="VSW11" s="41"/>
      <c r="VSX11" s="41"/>
      <c r="VSY11" s="41"/>
      <c r="VSZ11" s="41"/>
      <c r="VTA11" s="41"/>
      <c r="VTB11" s="41"/>
      <c r="VTC11" s="41"/>
      <c r="VTD11" s="41"/>
      <c r="VTE11" s="41"/>
      <c r="VTF11" s="41"/>
      <c r="VTG11" s="41"/>
      <c r="VTH11" s="41"/>
      <c r="VTI11" s="41"/>
      <c r="VTJ11" s="41"/>
      <c r="VTK11" s="41"/>
      <c r="VTL11" s="41"/>
      <c r="VTM11" s="41"/>
      <c r="VTN11" s="41"/>
      <c r="VTO11" s="41"/>
      <c r="VTP11" s="41"/>
      <c r="VTQ11" s="41"/>
      <c r="VTR11" s="41"/>
      <c r="VTS11" s="41"/>
      <c r="VTT11" s="41"/>
      <c r="VTU11" s="41"/>
      <c r="VTV11" s="41"/>
      <c r="VTW11" s="41"/>
      <c r="VTX11" s="41"/>
      <c r="VTY11" s="41"/>
      <c r="VTZ11" s="41"/>
      <c r="VUA11" s="41"/>
      <c r="VUB11" s="41"/>
      <c r="VUC11" s="41"/>
      <c r="VUD11" s="41"/>
      <c r="VUE11" s="41"/>
      <c r="VUF11" s="41"/>
      <c r="VUG11" s="41"/>
      <c r="VUH11" s="41"/>
      <c r="VUI11" s="41"/>
      <c r="VUJ11" s="41"/>
      <c r="VUK11" s="41"/>
      <c r="VUL11" s="41"/>
      <c r="VUM11" s="41"/>
      <c r="VUN11" s="41"/>
      <c r="VUO11" s="41"/>
      <c r="VUP11" s="41"/>
      <c r="VUQ11" s="41"/>
      <c r="VUR11" s="41"/>
      <c r="VUS11" s="41"/>
      <c r="VUT11" s="41"/>
      <c r="VUU11" s="41"/>
      <c r="VUV11" s="41"/>
      <c r="VUW11" s="41"/>
      <c r="VUX11" s="41"/>
      <c r="VUY11" s="41"/>
      <c r="VUZ11" s="41"/>
      <c r="VVA11" s="41"/>
      <c r="VVB11" s="41"/>
      <c r="VVC11" s="41"/>
      <c r="VVD11" s="41"/>
      <c r="VVE11" s="41"/>
      <c r="VVF11" s="41"/>
      <c r="VVG11" s="41"/>
      <c r="VVH11" s="41"/>
      <c r="VVI11" s="41"/>
      <c r="VVJ11" s="41"/>
      <c r="VVK11" s="41"/>
      <c r="VVL11" s="41"/>
      <c r="VVM11" s="41"/>
      <c r="VVN11" s="41"/>
      <c r="VVO11" s="41"/>
      <c r="VVP11" s="41"/>
      <c r="VVQ11" s="41"/>
      <c r="VVR11" s="41"/>
      <c r="VVS11" s="41"/>
      <c r="VVT11" s="41"/>
      <c r="VVU11" s="41"/>
      <c r="VVV11" s="41"/>
      <c r="VVW11" s="41"/>
      <c r="VVX11" s="41"/>
      <c r="VVY11" s="41"/>
      <c r="VVZ11" s="41"/>
      <c r="VWA11" s="41"/>
      <c r="VWB11" s="41"/>
      <c r="VWC11" s="41"/>
      <c r="VWD11" s="41"/>
      <c r="VWE11" s="41"/>
      <c r="VWF11" s="41"/>
      <c r="VWG11" s="41"/>
      <c r="VWH11" s="41"/>
      <c r="VWI11" s="41"/>
      <c r="VWJ11" s="41"/>
      <c r="VWK11" s="41"/>
      <c r="VWL11" s="41"/>
      <c r="VWM11" s="41"/>
      <c r="VWN11" s="41"/>
      <c r="VWO11" s="41"/>
      <c r="VWP11" s="41"/>
      <c r="VWQ11" s="41"/>
      <c r="VWR11" s="41"/>
      <c r="VWS11" s="41"/>
      <c r="VWT11" s="41"/>
      <c r="VWU11" s="41"/>
      <c r="VWV11" s="41"/>
      <c r="VWW11" s="41"/>
      <c r="VWX11" s="41"/>
      <c r="VWY11" s="41"/>
      <c r="VWZ11" s="41"/>
      <c r="VXA11" s="41"/>
      <c r="VXB11" s="41"/>
      <c r="VXC11" s="41"/>
      <c r="VXD11" s="41"/>
      <c r="VXE11" s="41"/>
      <c r="VXF11" s="41"/>
      <c r="VXG11" s="41"/>
      <c r="VXH11" s="41"/>
      <c r="VXI11" s="41"/>
      <c r="VXJ11" s="41"/>
      <c r="VXK11" s="41"/>
      <c r="VXL11" s="41"/>
      <c r="VXM11" s="41"/>
      <c r="VXN11" s="41"/>
      <c r="VXO11" s="41"/>
      <c r="VXP11" s="41"/>
      <c r="VXQ11" s="41"/>
      <c r="VXR11" s="41"/>
      <c r="VXS11" s="41"/>
      <c r="VXT11" s="41"/>
      <c r="VXU11" s="41"/>
      <c r="VXV11" s="41"/>
      <c r="VXW11" s="41"/>
      <c r="VXX11" s="41"/>
      <c r="VXY11" s="41"/>
      <c r="VXZ11" s="41"/>
      <c r="VYA11" s="41"/>
      <c r="VYB11" s="41"/>
      <c r="VYC11" s="41"/>
      <c r="VYD11" s="41"/>
      <c r="VYE11" s="41"/>
      <c r="VYF11" s="41"/>
      <c r="VYG11" s="41"/>
      <c r="VYH11" s="41"/>
      <c r="VYI11" s="41"/>
      <c r="VYJ11" s="41"/>
      <c r="VYK11" s="41"/>
      <c r="VYL11" s="41"/>
      <c r="VYM11" s="41"/>
      <c r="VYN11" s="41"/>
      <c r="VYO11" s="41"/>
      <c r="VYP11" s="41"/>
      <c r="VYQ11" s="41"/>
      <c r="VYR11" s="41"/>
      <c r="VYS11" s="41"/>
      <c r="VYT11" s="41"/>
      <c r="VYU11" s="41"/>
      <c r="VYV11" s="41"/>
      <c r="VYW11" s="41"/>
      <c r="VYX11" s="41"/>
      <c r="VYY11" s="41"/>
      <c r="VYZ11" s="41"/>
      <c r="VZA11" s="41"/>
      <c r="VZB11" s="41"/>
      <c r="VZC11" s="41"/>
      <c r="VZD11" s="41"/>
      <c r="VZE11" s="41"/>
      <c r="VZF11" s="41"/>
      <c r="VZG11" s="41"/>
      <c r="VZH11" s="41"/>
      <c r="VZI11" s="41"/>
      <c r="VZJ11" s="41"/>
      <c r="VZK11" s="41"/>
      <c r="VZL11" s="41"/>
      <c r="VZM11" s="41"/>
      <c r="VZN11" s="41"/>
      <c r="VZO11" s="41"/>
      <c r="VZP11" s="41"/>
      <c r="VZQ11" s="41"/>
      <c r="VZR11" s="41"/>
      <c r="VZS11" s="41"/>
      <c r="VZT11" s="41"/>
      <c r="VZU11" s="41"/>
      <c r="VZV11" s="41"/>
      <c r="VZW11" s="41"/>
      <c r="VZX11" s="41"/>
      <c r="VZY11" s="41"/>
      <c r="VZZ11" s="41"/>
      <c r="WAA11" s="41"/>
      <c r="WAB11" s="41"/>
      <c r="WAC11" s="41"/>
      <c r="WAD11" s="41"/>
      <c r="WAE11" s="41"/>
      <c r="WAF11" s="41"/>
      <c r="WAG11" s="41"/>
      <c r="WAH11" s="41"/>
      <c r="WAI11" s="41"/>
      <c r="WAJ11" s="41"/>
      <c r="WAK11" s="41"/>
      <c r="WAL11" s="41"/>
      <c r="WAM11" s="41"/>
      <c r="WAN11" s="41"/>
      <c r="WAO11" s="41"/>
      <c r="WAP11" s="41"/>
      <c r="WAQ11" s="41"/>
      <c r="WAR11" s="41"/>
      <c r="WAS11" s="41"/>
      <c r="WAT11" s="41"/>
      <c r="WAU11" s="41"/>
      <c r="WAV11" s="41"/>
      <c r="WAW11" s="41"/>
      <c r="WAX11" s="41"/>
      <c r="WAY11" s="41"/>
      <c r="WAZ11" s="41"/>
      <c r="WBA11" s="41"/>
      <c r="WBB11" s="41"/>
      <c r="WBC11" s="41"/>
      <c r="WBD11" s="41"/>
      <c r="WBE11" s="41"/>
      <c r="WBF11" s="41"/>
      <c r="WBG11" s="41"/>
      <c r="WBH11" s="41"/>
      <c r="WBI11" s="41"/>
      <c r="WBJ11" s="41"/>
      <c r="WBK11" s="41"/>
      <c r="WBL11" s="41"/>
      <c r="WBM11" s="41"/>
      <c r="WBN11" s="41"/>
      <c r="WBO11" s="41"/>
      <c r="WBP11" s="41"/>
      <c r="WBQ11" s="41"/>
      <c r="WBR11" s="41"/>
      <c r="WBS11" s="41"/>
      <c r="WBT11" s="41"/>
      <c r="WBU11" s="41"/>
      <c r="WBV11" s="41"/>
      <c r="WBW11" s="41"/>
      <c r="WBX11" s="41"/>
      <c r="WBY11" s="41"/>
      <c r="WBZ11" s="41"/>
      <c r="WCA11" s="41"/>
      <c r="WCB11" s="41"/>
      <c r="WCC11" s="41"/>
      <c r="WCD11" s="41"/>
      <c r="WCE11" s="41"/>
      <c r="WCF11" s="41"/>
      <c r="WCG11" s="41"/>
      <c r="WCH11" s="41"/>
      <c r="WCI11" s="41"/>
      <c r="WCJ11" s="41"/>
      <c r="WCK11" s="41"/>
      <c r="WCL11" s="41"/>
      <c r="WCM11" s="41"/>
      <c r="WCN11" s="41"/>
      <c r="WCO11" s="41"/>
      <c r="WCP11" s="41"/>
      <c r="WCQ11" s="41"/>
      <c r="WCR11" s="41"/>
      <c r="WCS11" s="41"/>
      <c r="WCT11" s="41"/>
      <c r="WCU11" s="41"/>
      <c r="WCV11" s="41"/>
      <c r="WCW11" s="41"/>
      <c r="WCX11" s="41"/>
      <c r="WCY11" s="41"/>
      <c r="WCZ11" s="41"/>
      <c r="WDA11" s="41"/>
      <c r="WDB11" s="41"/>
      <c r="WDC11" s="41"/>
      <c r="WDD11" s="41"/>
      <c r="WDE11" s="41"/>
      <c r="WDF11" s="41"/>
      <c r="WDG11" s="41"/>
      <c r="WDH11" s="41"/>
      <c r="WDI11" s="41"/>
      <c r="WDJ11" s="41"/>
      <c r="WDK11" s="41"/>
      <c r="WDL11" s="41"/>
      <c r="WDM11" s="41"/>
      <c r="WDN11" s="41"/>
      <c r="WDO11" s="41"/>
      <c r="WDP11" s="41"/>
      <c r="WDQ11" s="41"/>
      <c r="WDR11" s="41"/>
      <c r="WDS11" s="41"/>
      <c r="WDT11" s="41"/>
      <c r="WDU11" s="41"/>
      <c r="WDV11" s="41"/>
      <c r="WDW11" s="41"/>
      <c r="WDX11" s="41"/>
      <c r="WDY11" s="41"/>
      <c r="WDZ11" s="41"/>
      <c r="WEA11" s="41"/>
      <c r="WEB11" s="41"/>
      <c r="WEC11" s="41"/>
      <c r="WED11" s="41"/>
      <c r="WEE11" s="41"/>
      <c r="WEF11" s="41"/>
      <c r="WEG11" s="41"/>
      <c r="WEH11" s="41"/>
      <c r="WEI11" s="41"/>
      <c r="WEJ11" s="41"/>
      <c r="WEK11" s="41"/>
      <c r="WEL11" s="41"/>
      <c r="WEM11" s="41"/>
      <c r="WEN11" s="41"/>
      <c r="WEO11" s="41"/>
      <c r="WEP11" s="41"/>
      <c r="WEQ11" s="41"/>
      <c r="WER11" s="41"/>
      <c r="WES11" s="41"/>
      <c r="WET11" s="41"/>
      <c r="WEU11" s="41"/>
      <c r="WEV11" s="41"/>
      <c r="WEW11" s="41"/>
      <c r="WEX11" s="41"/>
      <c r="WEY11" s="41"/>
      <c r="WEZ11" s="41"/>
      <c r="WFA11" s="41"/>
      <c r="WFB11" s="41"/>
      <c r="WFC11" s="41"/>
      <c r="WFD11" s="41"/>
      <c r="WFE11" s="41"/>
      <c r="WFF11" s="41"/>
      <c r="WFG11" s="41"/>
      <c r="WFH11" s="41"/>
      <c r="WFI11" s="41"/>
      <c r="WFJ11" s="41"/>
      <c r="WFK11" s="41"/>
      <c r="WFL11" s="41"/>
      <c r="WFM11" s="41"/>
      <c r="WFN11" s="41"/>
      <c r="WFO11" s="41"/>
      <c r="WFP11" s="41"/>
      <c r="WFQ11" s="41"/>
      <c r="WFR11" s="41"/>
      <c r="WFS11" s="41"/>
      <c r="WFT11" s="41"/>
      <c r="WFU11" s="41"/>
      <c r="WFV11" s="41"/>
      <c r="WFW11" s="41"/>
      <c r="WFX11" s="41"/>
      <c r="WFY11" s="41"/>
      <c r="WFZ11" s="41"/>
      <c r="WGA11" s="41"/>
      <c r="WGB11" s="41"/>
      <c r="WGC11" s="41"/>
      <c r="WGD11" s="41"/>
      <c r="WGE11" s="41"/>
      <c r="WGF11" s="41"/>
      <c r="WGG11" s="41"/>
      <c r="WGH11" s="41"/>
      <c r="WGI11" s="41"/>
      <c r="WGJ11" s="41"/>
      <c r="WGK11" s="41"/>
      <c r="WGL11" s="41"/>
      <c r="WGM11" s="41"/>
      <c r="WGN11" s="41"/>
      <c r="WGO11" s="41"/>
      <c r="WGP11" s="41"/>
      <c r="WGQ11" s="41"/>
      <c r="WGR11" s="41"/>
      <c r="WGS11" s="41"/>
      <c r="WGT11" s="41"/>
      <c r="WGU11" s="41"/>
      <c r="WGV11" s="41"/>
      <c r="WGW11" s="41"/>
      <c r="WGX11" s="41"/>
      <c r="WGY11" s="41"/>
      <c r="WGZ11" s="41"/>
      <c r="WHA11" s="41"/>
      <c r="WHB11" s="41"/>
      <c r="WHC11" s="41"/>
      <c r="WHD11" s="41"/>
      <c r="WHE11" s="41"/>
      <c r="WHF11" s="41"/>
      <c r="WHG11" s="41"/>
      <c r="WHH11" s="41"/>
      <c r="WHI11" s="41"/>
      <c r="WHJ11" s="41"/>
      <c r="WHK11" s="41"/>
      <c r="WHL11" s="41"/>
      <c r="WHM11" s="41"/>
      <c r="WHN11" s="41"/>
      <c r="WHO11" s="41"/>
      <c r="WHP11" s="41"/>
      <c r="WHQ11" s="41"/>
      <c r="WHR11" s="41"/>
      <c r="WHS11" s="41"/>
      <c r="WHT11" s="41"/>
      <c r="WHU11" s="41"/>
      <c r="WHV11" s="41"/>
      <c r="WHW11" s="41"/>
      <c r="WHX11" s="41"/>
      <c r="WHY11" s="41"/>
      <c r="WHZ11" s="41"/>
      <c r="WIA11" s="41"/>
      <c r="WIB11" s="41"/>
      <c r="WIC11" s="41"/>
      <c r="WID11" s="41"/>
      <c r="WIE11" s="41"/>
      <c r="WIF11" s="41"/>
      <c r="WIG11" s="41"/>
      <c r="WIH11" s="41"/>
      <c r="WII11" s="41"/>
      <c r="WIJ11" s="41"/>
      <c r="WIK11" s="41"/>
      <c r="WIL11" s="41"/>
      <c r="WIM11" s="41"/>
      <c r="WIN11" s="41"/>
      <c r="WIO11" s="41"/>
      <c r="WIP11" s="41"/>
      <c r="WIQ11" s="41"/>
      <c r="WIR11" s="41"/>
      <c r="WIS11" s="41"/>
      <c r="WIT11" s="41"/>
      <c r="WIU11" s="41"/>
      <c r="WIV11" s="41"/>
      <c r="WIW11" s="41"/>
      <c r="WIX11" s="41"/>
      <c r="WIY11" s="41"/>
      <c r="WIZ11" s="41"/>
      <c r="WJA11" s="41"/>
      <c r="WJB11" s="41"/>
      <c r="WJC11" s="41"/>
      <c r="WJD11" s="41"/>
      <c r="WJE11" s="41"/>
      <c r="WJF11" s="41"/>
      <c r="WJG11" s="41"/>
      <c r="WJH11" s="41"/>
      <c r="WJI11" s="41"/>
      <c r="WJJ11" s="41"/>
      <c r="WJK11" s="41"/>
      <c r="WJL11" s="41"/>
      <c r="WJM11" s="41"/>
      <c r="WJN11" s="41"/>
      <c r="WJO11" s="41"/>
      <c r="WJP11" s="41"/>
      <c r="WJQ11" s="41"/>
      <c r="WJR11" s="41"/>
      <c r="WJS11" s="41"/>
      <c r="WJT11" s="41"/>
      <c r="WJU11" s="41"/>
      <c r="WJV11" s="41"/>
      <c r="WJW11" s="41"/>
      <c r="WJX11" s="41"/>
      <c r="WJY11" s="41"/>
      <c r="WJZ11" s="41"/>
      <c r="WKA11" s="41"/>
      <c r="WKB11" s="41"/>
      <c r="WKC11" s="41"/>
      <c r="WKD11" s="41"/>
      <c r="WKE11" s="41"/>
      <c r="WKF11" s="41"/>
      <c r="WKG11" s="41"/>
      <c r="WKH11" s="41"/>
      <c r="WKI11" s="41"/>
      <c r="WKJ11" s="41"/>
      <c r="WKK11" s="41"/>
      <c r="WKL11" s="41"/>
      <c r="WKM11" s="41"/>
      <c r="WKN11" s="41"/>
      <c r="WKO11" s="41"/>
      <c r="WKP11" s="41"/>
      <c r="WKQ11" s="41"/>
      <c r="WKR11" s="41"/>
      <c r="WKS11" s="41"/>
      <c r="WKT11" s="41"/>
      <c r="WKU11" s="41"/>
      <c r="WKV11" s="41"/>
      <c r="WKW11" s="41"/>
      <c r="WKX11" s="41"/>
      <c r="WKY11" s="41"/>
      <c r="WKZ11" s="41"/>
      <c r="WLA11" s="41"/>
      <c r="WLB11" s="41"/>
      <c r="WLC11" s="41"/>
      <c r="WLD11" s="41"/>
      <c r="WLE11" s="41"/>
      <c r="WLF11" s="41"/>
      <c r="WLG11" s="41"/>
      <c r="WLH11" s="41"/>
      <c r="WLI11" s="41"/>
      <c r="WLJ11" s="41"/>
      <c r="WLK11" s="41"/>
      <c r="WLL11" s="41"/>
      <c r="WLM11" s="41"/>
      <c r="WLN11" s="41"/>
      <c r="WLO11" s="41"/>
      <c r="WLP11" s="41"/>
      <c r="WLQ11" s="41"/>
      <c r="WLR11" s="41"/>
      <c r="WLS11" s="41"/>
      <c r="WLT11" s="41"/>
      <c r="WLU11" s="41"/>
      <c r="WLV11" s="41"/>
      <c r="WLW11" s="41"/>
      <c r="WLX11" s="41"/>
      <c r="WLY11" s="41"/>
      <c r="WLZ11" s="41"/>
      <c r="WMA11" s="41"/>
      <c r="WMB11" s="41"/>
      <c r="WMC11" s="41"/>
      <c r="WMD11" s="41"/>
      <c r="WME11" s="41"/>
      <c r="WMF11" s="41"/>
      <c r="WMG11" s="41"/>
      <c r="WMH11" s="41"/>
      <c r="WMI11" s="41"/>
      <c r="WMJ11" s="41"/>
      <c r="WMK11" s="41"/>
      <c r="WML11" s="41"/>
      <c r="WMM11" s="41"/>
      <c r="WMN11" s="41"/>
      <c r="WMO11" s="41"/>
      <c r="WMP11" s="41"/>
      <c r="WMQ11" s="41"/>
      <c r="WMR11" s="41"/>
      <c r="WMS11" s="41"/>
      <c r="WMT11" s="41"/>
      <c r="WMU11" s="41"/>
      <c r="WMV11" s="41"/>
      <c r="WMW11" s="41"/>
      <c r="WMX11" s="41"/>
      <c r="WMY11" s="41"/>
      <c r="WMZ11" s="41"/>
      <c r="WNA11" s="41"/>
      <c r="WNB11" s="41"/>
      <c r="WNC11" s="41"/>
      <c r="WND11" s="41"/>
      <c r="WNE11" s="41"/>
      <c r="WNF11" s="41"/>
      <c r="WNG11" s="41"/>
      <c r="WNH11" s="41"/>
      <c r="WNI11" s="41"/>
      <c r="WNJ11" s="41"/>
      <c r="WNK11" s="41"/>
      <c r="WNL11" s="41"/>
      <c r="WNM11" s="41"/>
      <c r="WNN11" s="41"/>
      <c r="WNO11" s="41"/>
      <c r="WNP11" s="41"/>
      <c r="WNQ11" s="41"/>
      <c r="WNR11" s="41"/>
      <c r="WNS11" s="41"/>
      <c r="WNT11" s="41"/>
      <c r="WNU11" s="41"/>
      <c r="WNV11" s="41"/>
      <c r="WNW11" s="41"/>
      <c r="WNX11" s="41"/>
      <c r="WNY11" s="41"/>
      <c r="WNZ11" s="41"/>
      <c r="WOA11" s="41"/>
      <c r="WOB11" s="41"/>
      <c r="WOC11" s="41"/>
      <c r="WOD11" s="41"/>
      <c r="WOE11" s="41"/>
      <c r="WOF11" s="41"/>
      <c r="WOG11" s="41"/>
      <c r="WOH11" s="41"/>
      <c r="WOI11" s="41"/>
      <c r="WOJ11" s="41"/>
      <c r="WOK11" s="41"/>
      <c r="WOL11" s="41"/>
      <c r="WOM11" s="41"/>
      <c r="WON11" s="41"/>
      <c r="WOO11" s="41"/>
      <c r="WOP11" s="41"/>
      <c r="WOQ11" s="41"/>
      <c r="WOR11" s="41"/>
      <c r="WOS11" s="41"/>
      <c r="WOT11" s="41"/>
      <c r="WOU11" s="41"/>
      <c r="WOV11" s="41"/>
      <c r="WOW11" s="41"/>
      <c r="WOX11" s="41"/>
      <c r="WOY11" s="41"/>
      <c r="WOZ11" s="41"/>
      <c r="WPA11" s="41"/>
      <c r="WPB11" s="41"/>
      <c r="WPC11" s="41"/>
      <c r="WPD11" s="41"/>
      <c r="WPE11" s="41"/>
      <c r="WPF11" s="41"/>
      <c r="WPG11" s="41"/>
      <c r="WPH11" s="41"/>
      <c r="WPI11" s="41"/>
      <c r="WPJ11" s="41"/>
      <c r="WPK11" s="41"/>
      <c r="WPL11" s="41"/>
      <c r="WPM11" s="41"/>
      <c r="WPN11" s="41"/>
      <c r="WPO11" s="41"/>
      <c r="WPP11" s="41"/>
      <c r="WPQ11" s="41"/>
      <c r="WPR11" s="41"/>
      <c r="WPS11" s="41"/>
      <c r="WPT11" s="41"/>
      <c r="WPU11" s="41"/>
      <c r="WPV11" s="41"/>
      <c r="WPW11" s="41"/>
      <c r="WPX11" s="41"/>
      <c r="WPY11" s="41"/>
      <c r="WPZ11" s="41"/>
      <c r="WQA11" s="41"/>
      <c r="WQB11" s="41"/>
      <c r="WQC11" s="41"/>
      <c r="WQD11" s="41"/>
      <c r="WQE11" s="41"/>
      <c r="WQF11" s="41"/>
      <c r="WQG11" s="41"/>
      <c r="WQH11" s="41"/>
      <c r="WQI11" s="41"/>
      <c r="WQJ11" s="41"/>
      <c r="WQK11" s="41"/>
      <c r="WQL11" s="41"/>
      <c r="WQM11" s="41"/>
      <c r="WQN11" s="41"/>
      <c r="WQO11" s="41"/>
      <c r="WQP11" s="41"/>
      <c r="WQQ11" s="41"/>
      <c r="WQR11" s="41"/>
      <c r="WQS11" s="41"/>
      <c r="WQT11" s="41"/>
      <c r="WQU11" s="41"/>
      <c r="WQV11" s="41"/>
      <c r="WQW11" s="41"/>
      <c r="WQX11" s="41"/>
      <c r="WQY11" s="41"/>
      <c r="WQZ11" s="41"/>
      <c r="WRA11" s="41"/>
      <c r="WRB11" s="41"/>
      <c r="WRC11" s="41"/>
      <c r="WRD11" s="41"/>
      <c r="WRE11" s="41"/>
      <c r="WRF11" s="41"/>
      <c r="WRG11" s="41"/>
      <c r="WRH11" s="41"/>
      <c r="WRI11" s="41"/>
      <c r="WRJ11" s="41"/>
      <c r="WRK11" s="41"/>
      <c r="WRL11" s="41"/>
      <c r="WRM11" s="41"/>
      <c r="WRN11" s="41"/>
      <c r="WRO11" s="41"/>
      <c r="WRP11" s="41"/>
      <c r="WRQ11" s="41"/>
      <c r="WRR11" s="41"/>
      <c r="WRS11" s="41"/>
      <c r="WRT11" s="41"/>
      <c r="WRU11" s="41"/>
      <c r="WRV11" s="41"/>
      <c r="WRW11" s="41"/>
      <c r="WRX11" s="41"/>
      <c r="WRY11" s="41"/>
      <c r="WRZ11" s="41"/>
      <c r="WSA11" s="41"/>
      <c r="WSB11" s="41"/>
      <c r="WSC11" s="41"/>
      <c r="WSD11" s="41"/>
      <c r="WSE11" s="41"/>
      <c r="WSF11" s="41"/>
      <c r="WSG11" s="41"/>
      <c r="WSH11" s="41"/>
      <c r="WSI11" s="41"/>
      <c r="WSJ11" s="41"/>
      <c r="WSK11" s="41"/>
      <c r="WSL11" s="41"/>
      <c r="WSM11" s="41"/>
      <c r="WSN11" s="41"/>
      <c r="WSO11" s="41"/>
      <c r="WSP11" s="41"/>
      <c r="WSQ11" s="41"/>
      <c r="WSR11" s="41"/>
      <c r="WSS11" s="41"/>
      <c r="WST11" s="41"/>
      <c r="WSU11" s="41"/>
      <c r="WSV11" s="41"/>
      <c r="WSW11" s="41"/>
      <c r="WSX11" s="41"/>
      <c r="WSY11" s="41"/>
      <c r="WSZ11" s="41"/>
      <c r="WTA11" s="41"/>
      <c r="WTB11" s="41"/>
      <c r="WTC11" s="41"/>
      <c r="WTD11" s="41"/>
      <c r="WTE11" s="41"/>
      <c r="WTF11" s="41"/>
      <c r="WTG11" s="41"/>
      <c r="WTH11" s="41"/>
      <c r="WTI11" s="41"/>
      <c r="WTJ11" s="41"/>
      <c r="WTK11" s="41"/>
      <c r="WTL11" s="41"/>
      <c r="WTM11" s="41"/>
      <c r="WTN11" s="41"/>
      <c r="WTO11" s="41"/>
      <c r="WTP11" s="41"/>
      <c r="WTQ11" s="41"/>
      <c r="WTR11" s="41"/>
      <c r="WTS11" s="41"/>
      <c r="WTT11" s="41"/>
      <c r="WTU11" s="41"/>
      <c r="WTV11" s="41"/>
      <c r="WTW11" s="41"/>
      <c r="WTX11" s="41"/>
      <c r="WTY11" s="41"/>
      <c r="WTZ11" s="41"/>
      <c r="WUA11" s="41"/>
      <c r="WUB11" s="41"/>
      <c r="WUC11" s="41"/>
      <c r="WUD11" s="41"/>
      <c r="WUE11" s="41"/>
      <c r="WUF11" s="41"/>
      <c r="WUG11" s="41"/>
      <c r="WUH11" s="41"/>
      <c r="WUI11" s="41"/>
      <c r="WUJ11" s="41"/>
      <c r="WUK11" s="41"/>
      <c r="WUL11" s="41"/>
      <c r="WUM11" s="41"/>
      <c r="WUN11" s="41"/>
      <c r="WUO11" s="41"/>
      <c r="WUP11" s="41"/>
      <c r="WUQ11" s="41"/>
      <c r="WUR11" s="41"/>
      <c r="WUS11" s="41"/>
      <c r="WUT11" s="41"/>
      <c r="WUU11" s="41"/>
      <c r="WUV11" s="41"/>
      <c r="WUW11" s="41"/>
      <c r="WUX11" s="41"/>
      <c r="WUY11" s="41"/>
      <c r="WUZ11" s="41"/>
      <c r="WVA11" s="41"/>
      <c r="WVB11" s="41"/>
      <c r="WVC11" s="41"/>
      <c r="WVD11" s="41"/>
      <c r="WVE11" s="41"/>
      <c r="WVF11" s="41"/>
      <c r="WVG11" s="41"/>
      <c r="WVH11" s="41"/>
      <c r="WVI11" s="41"/>
      <c r="WVJ11" s="41"/>
      <c r="WVK11" s="41"/>
      <c r="WVL11" s="41"/>
      <c r="WVM11" s="41"/>
      <c r="WVN11" s="41"/>
      <c r="WVO11" s="41"/>
      <c r="WVP11" s="41"/>
      <c r="WVQ11" s="41"/>
      <c r="WVR11" s="41"/>
      <c r="WVS11" s="41"/>
      <c r="WVT11" s="41"/>
      <c r="WVU11" s="41"/>
      <c r="WVV11" s="41"/>
      <c r="WVW11" s="41"/>
      <c r="WVX11" s="41"/>
      <c r="WVY11" s="41"/>
      <c r="WVZ11" s="41"/>
      <c r="WWA11" s="41"/>
      <c r="WWB11" s="41"/>
      <c r="WWC11" s="41"/>
      <c r="WWD11" s="41"/>
      <c r="WWE11" s="41"/>
      <c r="WWF11" s="41"/>
      <c r="WWG11" s="41"/>
      <c r="WWH11" s="41"/>
      <c r="WWI11" s="41"/>
      <c r="WWJ11" s="41"/>
      <c r="WWK11" s="41"/>
      <c r="WWL11" s="41"/>
      <c r="WWM11" s="41"/>
      <c r="WWN11" s="41"/>
      <c r="WWO11" s="41"/>
      <c r="WWP11" s="41"/>
      <c r="WWQ11" s="41"/>
      <c r="WWR11" s="41"/>
      <c r="WWS11" s="41"/>
      <c r="WWT11" s="41"/>
      <c r="WWU11" s="41"/>
      <c r="WWV11" s="41"/>
      <c r="WWW11" s="41"/>
      <c r="WWX11" s="41"/>
      <c r="WWY11" s="41"/>
      <c r="WWZ11" s="41"/>
      <c r="WXA11" s="41"/>
      <c r="WXB11" s="41"/>
      <c r="WXC11" s="41"/>
      <c r="WXD11" s="41"/>
      <c r="WXE11" s="41"/>
      <c r="WXF11" s="41"/>
      <c r="WXG11" s="41"/>
      <c r="WXH11" s="41"/>
      <c r="WXI11" s="41"/>
      <c r="WXJ11" s="41"/>
      <c r="WXK11" s="41"/>
      <c r="WXL11" s="41"/>
      <c r="WXM11" s="41"/>
      <c r="WXN11" s="41"/>
      <c r="WXO11" s="41"/>
      <c r="WXP11" s="41"/>
      <c r="WXQ11" s="41"/>
      <c r="WXR11" s="41"/>
      <c r="WXS11" s="41"/>
      <c r="WXT11" s="41"/>
      <c r="WXU11" s="41"/>
      <c r="WXV11" s="41"/>
      <c r="WXW11" s="41"/>
      <c r="WXX11" s="41"/>
      <c r="WXY11" s="41"/>
      <c r="WXZ11" s="41"/>
      <c r="WYA11" s="41"/>
      <c r="WYB11" s="41"/>
      <c r="WYC11" s="41"/>
      <c r="WYD11" s="41"/>
      <c r="WYE11" s="41"/>
      <c r="WYF11" s="41"/>
      <c r="WYG11" s="41"/>
      <c r="WYH11" s="41"/>
      <c r="WYI11" s="41"/>
      <c r="WYJ11" s="41"/>
      <c r="WYK11" s="41"/>
      <c r="WYL11" s="41"/>
      <c r="WYM11" s="41"/>
      <c r="WYN11" s="41"/>
      <c r="WYO11" s="41"/>
      <c r="WYP11" s="41"/>
      <c r="WYQ11" s="41"/>
      <c r="WYR11" s="41"/>
      <c r="WYS11" s="41"/>
      <c r="WYT11" s="41"/>
      <c r="WYU11" s="41"/>
      <c r="WYV11" s="41"/>
      <c r="WYW11" s="41"/>
      <c r="WYX11" s="41"/>
      <c r="WYY11" s="41"/>
      <c r="WYZ11" s="41"/>
      <c r="WZA11" s="41"/>
      <c r="WZB11" s="41"/>
      <c r="WZC11" s="41"/>
      <c r="WZD11" s="41"/>
      <c r="WZE11" s="41"/>
      <c r="WZF11" s="41"/>
      <c r="WZG11" s="41"/>
      <c r="WZH11" s="41"/>
      <c r="WZI11" s="41"/>
      <c r="WZJ11" s="41"/>
      <c r="WZK11" s="41"/>
      <c r="WZL11" s="41"/>
      <c r="WZM11" s="41"/>
      <c r="WZN11" s="41"/>
      <c r="WZO11" s="41"/>
      <c r="WZP11" s="41"/>
      <c r="WZQ11" s="41"/>
      <c r="WZR11" s="41"/>
      <c r="WZS11" s="41"/>
      <c r="WZT11" s="41"/>
      <c r="WZU11" s="41"/>
      <c r="WZV11" s="41"/>
      <c r="WZW11" s="41"/>
      <c r="WZX11" s="41"/>
      <c r="WZY11" s="41"/>
      <c r="WZZ11" s="41"/>
      <c r="XAA11" s="41"/>
      <c r="XAB11" s="41"/>
      <c r="XAC11" s="41"/>
      <c r="XAD11" s="41"/>
      <c r="XAE11" s="41"/>
      <c r="XAF11" s="41"/>
      <c r="XAG11" s="41"/>
      <c r="XAH11" s="41"/>
      <c r="XAI11" s="41"/>
      <c r="XAJ11" s="41"/>
      <c r="XAK11" s="41"/>
      <c r="XAL11" s="41"/>
      <c r="XAM11" s="41"/>
      <c r="XAN11" s="41"/>
      <c r="XAO11" s="41"/>
      <c r="XAP11" s="41"/>
      <c r="XAQ11" s="41"/>
      <c r="XAR11" s="41"/>
      <c r="XAS11" s="41"/>
      <c r="XAT11" s="41"/>
      <c r="XAU11" s="41"/>
      <c r="XAV11" s="41"/>
      <c r="XAW11" s="41"/>
      <c r="XAX11" s="41"/>
      <c r="XAY11" s="41"/>
      <c r="XAZ11" s="41"/>
      <c r="XBA11" s="41"/>
      <c r="XBB11" s="41"/>
      <c r="XBC11" s="41"/>
      <c r="XBD11" s="41"/>
      <c r="XBE11" s="41"/>
      <c r="XBF11" s="41"/>
      <c r="XBG11" s="41"/>
      <c r="XBH11" s="41"/>
      <c r="XBI11" s="41"/>
      <c r="XBJ11" s="41"/>
      <c r="XBK11" s="41"/>
      <c r="XBL11" s="41"/>
      <c r="XBM11" s="41"/>
      <c r="XBN11" s="41"/>
      <c r="XBO11" s="41"/>
      <c r="XBP11" s="41"/>
      <c r="XBQ11" s="41"/>
      <c r="XBR11" s="41"/>
      <c r="XBS11" s="41"/>
      <c r="XBT11" s="41"/>
      <c r="XBU11" s="41"/>
      <c r="XBV11" s="41"/>
      <c r="XBW11" s="41"/>
      <c r="XBX11" s="41"/>
      <c r="XBY11" s="41"/>
      <c r="XBZ11" s="41"/>
      <c r="XCA11" s="41"/>
      <c r="XCB11" s="41"/>
      <c r="XCC11" s="41"/>
      <c r="XCD11" s="41"/>
      <c r="XCE11" s="41"/>
      <c r="XCF11" s="41"/>
      <c r="XCG11" s="41"/>
      <c r="XCH11" s="41"/>
      <c r="XCI11" s="41"/>
      <c r="XCJ11" s="41"/>
      <c r="XCK11" s="41"/>
      <c r="XCL11" s="41"/>
      <c r="XCM11" s="41"/>
      <c r="XCN11" s="41"/>
      <c r="XCO11" s="41"/>
      <c r="XCP11" s="41"/>
      <c r="XCQ11" s="41"/>
      <c r="XCR11" s="41"/>
      <c r="XCS11" s="41"/>
      <c r="XCT11" s="41"/>
      <c r="XCU11" s="41"/>
      <c r="XCV11" s="41"/>
      <c r="XCW11" s="41"/>
      <c r="XCX11" s="41"/>
      <c r="XCY11" s="41"/>
      <c r="XCZ11" s="41"/>
      <c r="XDA11" s="41"/>
      <c r="XDB11" s="41"/>
      <c r="XDC11" s="41"/>
      <c r="XDD11" s="41"/>
      <c r="XDE11" s="41"/>
      <c r="XDF11" s="41"/>
      <c r="XDG11" s="41"/>
      <c r="XDH11" s="41"/>
      <c r="XDI11" s="41"/>
      <c r="XDJ11" s="41"/>
      <c r="XDK11" s="41"/>
      <c r="XDL11" s="41"/>
      <c r="XDM11" s="41"/>
      <c r="XDN11" s="41"/>
      <c r="XDO11" s="41"/>
      <c r="XDP11" s="41"/>
      <c r="XDQ11" s="41"/>
      <c r="XDR11" s="41"/>
      <c r="XDS11" s="41"/>
      <c r="XDT11" s="41"/>
      <c r="XDU11" s="41"/>
      <c r="XDV11" s="41"/>
      <c r="XDW11" s="41"/>
      <c r="XDX11" s="41"/>
      <c r="XDY11" s="41"/>
      <c r="XDZ11" s="41"/>
      <c r="XEA11" s="41"/>
      <c r="XEB11" s="41"/>
      <c r="XEC11" s="41"/>
      <c r="XED11" s="41"/>
      <c r="XEE11" s="41"/>
      <c r="XEF11" s="41"/>
      <c r="XEG11" s="41"/>
      <c r="XEH11" s="41"/>
      <c r="XEI11" s="41"/>
      <c r="XEJ11" s="41"/>
      <c r="XEK11" s="41"/>
      <c r="XEL11" s="41"/>
      <c r="XEM11" s="41"/>
      <c r="XEN11" s="41"/>
      <c r="XEO11" s="41"/>
      <c r="XEP11" s="41"/>
      <c r="XEQ11" s="41"/>
      <c r="XER11" s="41"/>
      <c r="XES11" s="41"/>
      <c r="XET11" s="41"/>
      <c r="XEU11" s="41"/>
      <c r="XEV11" s="41"/>
      <c r="XEW11" s="41"/>
      <c r="XEX11" s="41"/>
    </row>
    <row r="12" spans="1:16378">
      <c r="A12" s="4">
        <v>600</v>
      </c>
      <c r="B12" s="5">
        <v>202158439</v>
      </c>
      <c r="C12" s="5">
        <v>12694098</v>
      </c>
      <c r="D12" s="5">
        <v>202158439</v>
      </c>
      <c r="E12" s="4" t="s">
        <v>588</v>
      </c>
      <c r="F12" s="4" t="s">
        <v>589</v>
      </c>
      <c r="G12" s="25">
        <v>45201</v>
      </c>
      <c r="H12" s="6" t="s">
        <v>71</v>
      </c>
      <c r="I12" s="4" t="s">
        <v>72</v>
      </c>
      <c r="J12" s="4" t="s">
        <v>73</v>
      </c>
      <c r="K12" s="4">
        <v>1299</v>
      </c>
      <c r="L12" s="7" t="s">
        <v>74</v>
      </c>
      <c r="M12" s="7" t="s">
        <v>87</v>
      </c>
      <c r="N12" s="7" t="s">
        <v>75</v>
      </c>
      <c r="O12" s="6" t="s">
        <v>348</v>
      </c>
      <c r="P12" s="6" t="s">
        <v>77</v>
      </c>
      <c r="Q12" s="7" t="s">
        <v>5</v>
      </c>
      <c r="R12" s="24" t="s">
        <v>1052</v>
      </c>
      <c r="S12" s="6" t="s">
        <v>375</v>
      </c>
      <c r="T12" s="4" t="s">
        <v>10</v>
      </c>
      <c r="U12" s="4" t="s">
        <v>25</v>
      </c>
      <c r="V12" s="34" t="s">
        <v>15</v>
      </c>
      <c r="W12" s="34" t="s">
        <v>390</v>
      </c>
      <c r="X12" s="6" t="s">
        <v>81</v>
      </c>
      <c r="Y12" s="6" t="s">
        <v>107</v>
      </c>
      <c r="Z12" s="4">
        <v>99</v>
      </c>
      <c r="AA12" s="4"/>
      <c r="AB12" s="4"/>
      <c r="AC12" s="4"/>
      <c r="AD12" s="5"/>
      <c r="AE12" s="38"/>
      <c r="AF12" s="4" t="s">
        <v>349</v>
      </c>
      <c r="AG12" s="4"/>
      <c r="AH12" s="4"/>
      <c r="AI12" s="4"/>
      <c r="AJ12" s="4" t="s">
        <v>73</v>
      </c>
      <c r="AK12" s="35" t="s">
        <v>82</v>
      </c>
      <c r="AL12" s="35" t="s">
        <v>88</v>
      </c>
      <c r="AM12" s="35" t="s">
        <v>94</v>
      </c>
      <c r="AN12" s="35" t="b">
        <v>1</v>
      </c>
      <c r="AO12" s="35" t="b">
        <v>0</v>
      </c>
      <c r="AP12" s="35" t="b">
        <v>0</v>
      </c>
      <c r="AQ12" s="43" t="s">
        <v>381</v>
      </c>
      <c r="AR12" s="43" t="s">
        <v>381</v>
      </c>
      <c r="AS12" s="43" t="s">
        <v>381</v>
      </c>
      <c r="AT12" s="43" t="s">
        <v>381</v>
      </c>
      <c r="AU12" s="43" t="s">
        <v>381</v>
      </c>
      <c r="AV12" s="43" t="s">
        <v>381</v>
      </c>
      <c r="AW12" s="43" t="s">
        <v>381</v>
      </c>
      <c r="AX12" s="43" t="s">
        <v>381</v>
      </c>
      <c r="AY12" s="48"/>
      <c r="AZ12" s="49"/>
      <c r="BA12" s="49"/>
      <c r="BB12" s="48"/>
      <c r="BC12" s="48"/>
      <c r="BD12" s="48"/>
      <c r="BE12" s="48"/>
      <c r="BF12" s="48"/>
      <c r="BG12" s="49"/>
      <c r="BH12" s="49"/>
      <c r="BI12" s="48"/>
      <c r="BJ12" s="48"/>
      <c r="BK12" s="8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  <c r="AMM12" s="41"/>
      <c r="AMN12" s="41"/>
      <c r="AMO12" s="41"/>
      <c r="AMP12" s="41"/>
      <c r="AMQ12" s="41"/>
      <c r="AMR12" s="41"/>
      <c r="AMS12" s="41"/>
      <c r="AMT12" s="41"/>
      <c r="AMU12" s="41"/>
      <c r="AMV12" s="41"/>
      <c r="AMW12" s="41"/>
      <c r="AMX12" s="41"/>
      <c r="AMY12" s="41"/>
      <c r="AMZ12" s="41"/>
      <c r="ANA12" s="41"/>
      <c r="ANB12" s="41"/>
      <c r="ANC12" s="41"/>
      <c r="AND12" s="41"/>
      <c r="ANE12" s="41"/>
      <c r="ANF12" s="41"/>
      <c r="ANG12" s="41"/>
      <c r="ANH12" s="41"/>
      <c r="ANI12" s="41"/>
      <c r="ANJ12" s="41"/>
      <c r="ANK12" s="41"/>
      <c r="ANL12" s="41"/>
      <c r="ANM12" s="41"/>
      <c r="ANN12" s="41"/>
      <c r="ANO12" s="41"/>
      <c r="ANP12" s="41"/>
      <c r="ANQ12" s="41"/>
      <c r="ANR12" s="41"/>
      <c r="ANS12" s="41"/>
      <c r="ANT12" s="41"/>
      <c r="ANU12" s="41"/>
      <c r="ANV12" s="41"/>
      <c r="ANW12" s="41"/>
      <c r="ANX12" s="41"/>
      <c r="ANY12" s="41"/>
      <c r="ANZ12" s="41"/>
      <c r="AOA12" s="41"/>
      <c r="AOB12" s="41"/>
      <c r="AOC12" s="41"/>
      <c r="AOD12" s="41"/>
      <c r="AOE12" s="41"/>
      <c r="AOF12" s="41"/>
      <c r="AOG12" s="41"/>
      <c r="AOH12" s="41"/>
      <c r="AOI12" s="41"/>
      <c r="AOJ12" s="41"/>
      <c r="AOK12" s="41"/>
      <c r="AOL12" s="41"/>
      <c r="AOM12" s="41"/>
      <c r="AON12" s="41"/>
      <c r="AOO12" s="41"/>
      <c r="AOP12" s="41"/>
      <c r="AOQ12" s="41"/>
      <c r="AOR12" s="41"/>
      <c r="AOS12" s="41"/>
      <c r="AOT12" s="41"/>
      <c r="AOU12" s="41"/>
      <c r="AOV12" s="41"/>
      <c r="AOW12" s="41"/>
      <c r="AOX12" s="41"/>
      <c r="AOY12" s="41"/>
      <c r="AOZ12" s="41"/>
      <c r="APA12" s="41"/>
      <c r="APB12" s="41"/>
      <c r="APC12" s="41"/>
      <c r="APD12" s="41"/>
      <c r="APE12" s="41"/>
      <c r="APF12" s="41"/>
      <c r="APG12" s="41"/>
      <c r="APH12" s="41"/>
      <c r="API12" s="41"/>
      <c r="APJ12" s="41"/>
      <c r="APK12" s="41"/>
      <c r="APL12" s="41"/>
      <c r="APM12" s="41"/>
      <c r="APN12" s="41"/>
      <c r="APO12" s="41"/>
      <c r="APP12" s="41"/>
      <c r="APQ12" s="41"/>
      <c r="APR12" s="41"/>
      <c r="APS12" s="41"/>
      <c r="APT12" s="41"/>
      <c r="APU12" s="41"/>
      <c r="APV12" s="41"/>
      <c r="APW12" s="41"/>
      <c r="APX12" s="41"/>
      <c r="APY12" s="41"/>
      <c r="APZ12" s="41"/>
      <c r="AQA12" s="41"/>
      <c r="AQB12" s="41"/>
      <c r="AQC12" s="41"/>
      <c r="AQD12" s="41"/>
      <c r="AQE12" s="41"/>
      <c r="AQF12" s="41"/>
      <c r="AQG12" s="41"/>
      <c r="AQH12" s="41"/>
      <c r="AQI12" s="41"/>
      <c r="AQJ12" s="41"/>
      <c r="AQK12" s="41"/>
      <c r="AQL12" s="41"/>
      <c r="AQM12" s="41"/>
      <c r="AQN12" s="41"/>
      <c r="AQO12" s="41"/>
      <c r="AQP12" s="41"/>
      <c r="AQQ12" s="41"/>
      <c r="AQR12" s="41"/>
      <c r="AQS12" s="41"/>
      <c r="AQT12" s="41"/>
      <c r="AQU12" s="41"/>
      <c r="AQV12" s="41"/>
      <c r="AQW12" s="41"/>
      <c r="AQX12" s="41"/>
      <c r="AQY12" s="41"/>
      <c r="AQZ12" s="41"/>
      <c r="ARA12" s="41"/>
      <c r="ARB12" s="41"/>
      <c r="ARC12" s="41"/>
      <c r="ARD12" s="41"/>
      <c r="ARE12" s="41"/>
      <c r="ARF12" s="41"/>
      <c r="ARG12" s="41"/>
      <c r="ARH12" s="41"/>
      <c r="ARI12" s="41"/>
      <c r="ARJ12" s="41"/>
      <c r="ARK12" s="41"/>
      <c r="ARL12" s="41"/>
      <c r="ARM12" s="41"/>
      <c r="ARN12" s="41"/>
      <c r="ARO12" s="41"/>
      <c r="ARP12" s="41"/>
      <c r="ARQ12" s="41"/>
      <c r="ARR12" s="41"/>
      <c r="ARS12" s="41"/>
      <c r="ART12" s="41"/>
      <c r="ARU12" s="41"/>
      <c r="ARV12" s="41"/>
      <c r="ARW12" s="41"/>
      <c r="ARX12" s="41"/>
      <c r="ARY12" s="41"/>
      <c r="ARZ12" s="41"/>
      <c r="ASA12" s="41"/>
      <c r="ASB12" s="41"/>
      <c r="ASC12" s="41"/>
      <c r="ASD12" s="41"/>
      <c r="ASE12" s="41"/>
      <c r="ASF12" s="41"/>
      <c r="ASG12" s="41"/>
      <c r="ASH12" s="41"/>
      <c r="ASI12" s="41"/>
      <c r="ASJ12" s="41"/>
      <c r="ASK12" s="41"/>
      <c r="ASL12" s="41"/>
      <c r="ASM12" s="41"/>
      <c r="ASN12" s="41"/>
      <c r="ASO12" s="41"/>
      <c r="ASP12" s="41"/>
      <c r="ASQ12" s="41"/>
      <c r="ASR12" s="41"/>
      <c r="ASS12" s="41"/>
      <c r="AST12" s="41"/>
      <c r="ASU12" s="41"/>
      <c r="ASV12" s="41"/>
      <c r="ASW12" s="41"/>
      <c r="ASX12" s="41"/>
      <c r="ASY12" s="41"/>
      <c r="ASZ12" s="41"/>
      <c r="ATA12" s="41"/>
      <c r="ATB12" s="41"/>
      <c r="ATC12" s="41"/>
      <c r="ATD12" s="41"/>
      <c r="ATE12" s="41"/>
      <c r="ATF12" s="41"/>
      <c r="ATG12" s="41"/>
      <c r="ATH12" s="41"/>
      <c r="ATI12" s="41"/>
      <c r="ATJ12" s="41"/>
      <c r="ATK12" s="41"/>
      <c r="ATL12" s="41"/>
      <c r="ATM12" s="41"/>
      <c r="ATN12" s="41"/>
      <c r="ATO12" s="41"/>
      <c r="ATP12" s="41"/>
      <c r="ATQ12" s="41"/>
      <c r="ATR12" s="41"/>
      <c r="ATS12" s="41"/>
      <c r="ATT12" s="41"/>
      <c r="ATU12" s="41"/>
      <c r="ATV12" s="41"/>
      <c r="ATW12" s="41"/>
      <c r="ATX12" s="41"/>
      <c r="ATY12" s="41"/>
      <c r="ATZ12" s="41"/>
      <c r="AUA12" s="41"/>
      <c r="AUB12" s="41"/>
      <c r="AUC12" s="41"/>
      <c r="AUD12" s="41"/>
      <c r="AUE12" s="41"/>
      <c r="AUF12" s="41"/>
      <c r="AUG12" s="41"/>
      <c r="AUH12" s="41"/>
      <c r="AUI12" s="41"/>
      <c r="AUJ12" s="41"/>
      <c r="AUK12" s="41"/>
      <c r="AUL12" s="41"/>
      <c r="AUM12" s="41"/>
      <c r="AUN12" s="41"/>
      <c r="AUO12" s="41"/>
      <c r="AUP12" s="41"/>
      <c r="AUQ12" s="41"/>
      <c r="AUR12" s="41"/>
      <c r="AUS12" s="41"/>
      <c r="AUT12" s="41"/>
      <c r="AUU12" s="41"/>
      <c r="AUV12" s="41"/>
      <c r="AUW12" s="41"/>
      <c r="AUX12" s="41"/>
      <c r="AUY12" s="41"/>
      <c r="AUZ12" s="41"/>
      <c r="AVA12" s="41"/>
      <c r="AVB12" s="41"/>
      <c r="AVC12" s="41"/>
      <c r="AVD12" s="41"/>
      <c r="AVE12" s="41"/>
      <c r="AVF12" s="41"/>
      <c r="AVG12" s="41"/>
      <c r="AVH12" s="41"/>
      <c r="AVI12" s="41"/>
      <c r="AVJ12" s="41"/>
      <c r="AVK12" s="41"/>
      <c r="AVL12" s="41"/>
      <c r="AVM12" s="41"/>
      <c r="AVN12" s="41"/>
      <c r="AVO12" s="41"/>
      <c r="AVP12" s="41"/>
      <c r="AVQ12" s="41"/>
      <c r="AVR12" s="41"/>
      <c r="AVS12" s="41"/>
      <c r="AVT12" s="41"/>
      <c r="AVU12" s="41"/>
      <c r="AVV12" s="41"/>
      <c r="AVW12" s="41"/>
      <c r="AVX12" s="41"/>
      <c r="AVY12" s="41"/>
      <c r="AVZ12" s="41"/>
      <c r="AWA12" s="41"/>
      <c r="AWB12" s="41"/>
      <c r="AWC12" s="41"/>
      <c r="AWD12" s="41"/>
      <c r="AWE12" s="41"/>
      <c r="AWF12" s="41"/>
      <c r="AWG12" s="41"/>
      <c r="AWH12" s="41"/>
      <c r="AWI12" s="41"/>
      <c r="AWJ12" s="41"/>
      <c r="AWK12" s="41"/>
      <c r="AWL12" s="41"/>
      <c r="AWM12" s="41"/>
      <c r="AWN12" s="41"/>
      <c r="AWO12" s="41"/>
      <c r="AWP12" s="41"/>
      <c r="AWQ12" s="41"/>
      <c r="AWR12" s="41"/>
      <c r="AWS12" s="41"/>
      <c r="AWT12" s="41"/>
      <c r="AWU12" s="41"/>
      <c r="AWV12" s="41"/>
      <c r="AWW12" s="41"/>
      <c r="AWX12" s="41"/>
      <c r="AWY12" s="41"/>
      <c r="AWZ12" s="41"/>
      <c r="AXA12" s="41"/>
      <c r="AXB12" s="41"/>
      <c r="AXC12" s="41"/>
      <c r="AXD12" s="41"/>
      <c r="AXE12" s="41"/>
      <c r="AXF12" s="41"/>
      <c r="AXG12" s="41"/>
      <c r="AXH12" s="41"/>
      <c r="AXI12" s="41"/>
      <c r="AXJ12" s="41"/>
      <c r="AXK12" s="41"/>
      <c r="AXL12" s="41"/>
      <c r="AXM12" s="41"/>
      <c r="AXN12" s="41"/>
      <c r="AXO12" s="41"/>
      <c r="AXP12" s="41"/>
      <c r="AXQ12" s="41"/>
      <c r="AXR12" s="41"/>
      <c r="AXS12" s="41"/>
      <c r="AXT12" s="41"/>
      <c r="AXU12" s="41"/>
      <c r="AXV12" s="41"/>
      <c r="AXW12" s="41"/>
      <c r="AXX12" s="41"/>
      <c r="AXY12" s="41"/>
      <c r="AXZ12" s="41"/>
      <c r="AYA12" s="41"/>
      <c r="AYB12" s="41"/>
      <c r="AYC12" s="41"/>
      <c r="AYD12" s="41"/>
      <c r="AYE12" s="41"/>
      <c r="AYF12" s="41"/>
      <c r="AYG12" s="41"/>
      <c r="AYH12" s="41"/>
      <c r="AYI12" s="41"/>
      <c r="AYJ12" s="41"/>
      <c r="AYK12" s="41"/>
      <c r="AYL12" s="41"/>
      <c r="AYM12" s="41"/>
      <c r="AYN12" s="41"/>
      <c r="AYO12" s="41"/>
      <c r="AYP12" s="41"/>
      <c r="AYQ12" s="41"/>
      <c r="AYR12" s="41"/>
      <c r="AYS12" s="41"/>
      <c r="AYT12" s="41"/>
      <c r="AYU12" s="41"/>
      <c r="AYV12" s="41"/>
      <c r="AYW12" s="41"/>
      <c r="AYX12" s="41"/>
      <c r="AYY12" s="41"/>
      <c r="AYZ12" s="41"/>
      <c r="AZA12" s="41"/>
      <c r="AZB12" s="41"/>
      <c r="AZC12" s="41"/>
      <c r="AZD12" s="41"/>
      <c r="AZE12" s="41"/>
      <c r="AZF12" s="41"/>
      <c r="AZG12" s="41"/>
      <c r="AZH12" s="41"/>
      <c r="AZI12" s="41"/>
      <c r="AZJ12" s="41"/>
      <c r="AZK12" s="41"/>
      <c r="AZL12" s="41"/>
      <c r="AZM12" s="41"/>
      <c r="AZN12" s="41"/>
      <c r="AZO12" s="41"/>
      <c r="AZP12" s="41"/>
      <c r="AZQ12" s="41"/>
      <c r="AZR12" s="41"/>
      <c r="AZS12" s="41"/>
      <c r="AZT12" s="41"/>
      <c r="AZU12" s="41"/>
      <c r="AZV12" s="41"/>
      <c r="AZW12" s="41"/>
      <c r="AZX12" s="41"/>
      <c r="AZY12" s="41"/>
      <c r="AZZ12" s="41"/>
      <c r="BAA12" s="41"/>
      <c r="BAB12" s="41"/>
      <c r="BAC12" s="41"/>
      <c r="BAD12" s="41"/>
      <c r="BAE12" s="41"/>
      <c r="BAF12" s="41"/>
      <c r="BAG12" s="41"/>
      <c r="BAH12" s="41"/>
      <c r="BAI12" s="41"/>
      <c r="BAJ12" s="41"/>
      <c r="BAK12" s="41"/>
      <c r="BAL12" s="41"/>
      <c r="BAM12" s="41"/>
      <c r="BAN12" s="41"/>
      <c r="BAO12" s="41"/>
      <c r="BAP12" s="41"/>
      <c r="BAQ12" s="41"/>
      <c r="BAR12" s="41"/>
      <c r="BAS12" s="41"/>
      <c r="BAT12" s="41"/>
      <c r="BAU12" s="41"/>
      <c r="BAV12" s="41"/>
      <c r="BAW12" s="41"/>
      <c r="BAX12" s="41"/>
      <c r="BAY12" s="41"/>
      <c r="BAZ12" s="41"/>
      <c r="BBA12" s="41"/>
      <c r="BBB12" s="41"/>
      <c r="BBC12" s="41"/>
      <c r="BBD12" s="41"/>
      <c r="BBE12" s="41"/>
      <c r="BBF12" s="41"/>
      <c r="BBG12" s="41"/>
      <c r="BBH12" s="41"/>
      <c r="BBI12" s="41"/>
      <c r="BBJ12" s="41"/>
      <c r="BBK12" s="41"/>
      <c r="BBL12" s="41"/>
      <c r="BBM12" s="41"/>
      <c r="BBN12" s="41"/>
      <c r="BBO12" s="41"/>
      <c r="BBP12" s="41"/>
      <c r="BBQ12" s="41"/>
      <c r="BBR12" s="41"/>
      <c r="BBS12" s="41"/>
      <c r="BBT12" s="41"/>
      <c r="BBU12" s="41"/>
      <c r="BBV12" s="41"/>
      <c r="BBW12" s="41"/>
      <c r="BBX12" s="41"/>
      <c r="BBY12" s="41"/>
      <c r="BBZ12" s="41"/>
      <c r="BCA12" s="41"/>
      <c r="BCB12" s="41"/>
      <c r="BCC12" s="41"/>
      <c r="BCD12" s="41"/>
      <c r="BCE12" s="41"/>
      <c r="BCF12" s="41"/>
      <c r="BCG12" s="41"/>
      <c r="BCH12" s="41"/>
      <c r="BCI12" s="41"/>
      <c r="BCJ12" s="41"/>
      <c r="BCK12" s="41"/>
      <c r="BCL12" s="41"/>
      <c r="BCM12" s="41"/>
      <c r="BCN12" s="41"/>
      <c r="BCO12" s="41"/>
      <c r="BCP12" s="41"/>
      <c r="BCQ12" s="41"/>
      <c r="BCR12" s="41"/>
      <c r="BCS12" s="41"/>
      <c r="BCT12" s="41"/>
      <c r="BCU12" s="41"/>
      <c r="BCV12" s="41"/>
      <c r="BCW12" s="41"/>
      <c r="BCX12" s="41"/>
      <c r="BCY12" s="41"/>
      <c r="BCZ12" s="41"/>
      <c r="BDA12" s="41"/>
      <c r="BDB12" s="41"/>
      <c r="BDC12" s="41"/>
      <c r="BDD12" s="41"/>
      <c r="BDE12" s="41"/>
      <c r="BDF12" s="41"/>
      <c r="BDG12" s="41"/>
      <c r="BDH12" s="41"/>
      <c r="BDI12" s="41"/>
      <c r="BDJ12" s="41"/>
      <c r="BDK12" s="41"/>
      <c r="BDL12" s="41"/>
      <c r="BDM12" s="41"/>
      <c r="BDN12" s="41"/>
      <c r="BDO12" s="41"/>
      <c r="BDP12" s="41"/>
      <c r="BDQ12" s="41"/>
      <c r="BDR12" s="41"/>
      <c r="BDS12" s="41"/>
      <c r="BDT12" s="41"/>
      <c r="BDU12" s="41"/>
      <c r="BDV12" s="41"/>
      <c r="BDW12" s="41"/>
      <c r="BDX12" s="41"/>
      <c r="BDY12" s="41"/>
      <c r="BDZ12" s="41"/>
      <c r="BEA12" s="41"/>
      <c r="BEB12" s="41"/>
      <c r="BEC12" s="41"/>
      <c r="BED12" s="41"/>
      <c r="BEE12" s="41"/>
      <c r="BEF12" s="41"/>
      <c r="BEG12" s="41"/>
      <c r="BEH12" s="41"/>
      <c r="BEI12" s="41"/>
      <c r="BEJ12" s="41"/>
      <c r="BEK12" s="41"/>
      <c r="BEL12" s="41"/>
      <c r="BEM12" s="41"/>
      <c r="BEN12" s="41"/>
      <c r="BEO12" s="41"/>
      <c r="BEP12" s="41"/>
      <c r="BEQ12" s="41"/>
      <c r="BER12" s="41"/>
      <c r="BES12" s="41"/>
      <c r="BET12" s="41"/>
      <c r="BEU12" s="41"/>
      <c r="BEV12" s="41"/>
      <c r="BEW12" s="41"/>
      <c r="BEX12" s="41"/>
      <c r="BEY12" s="41"/>
      <c r="BEZ12" s="41"/>
      <c r="BFA12" s="41"/>
      <c r="BFB12" s="41"/>
      <c r="BFC12" s="41"/>
      <c r="BFD12" s="41"/>
      <c r="BFE12" s="41"/>
      <c r="BFF12" s="41"/>
      <c r="BFG12" s="41"/>
      <c r="BFH12" s="41"/>
      <c r="BFI12" s="41"/>
      <c r="BFJ12" s="41"/>
      <c r="BFK12" s="41"/>
      <c r="BFL12" s="41"/>
      <c r="BFM12" s="41"/>
      <c r="BFN12" s="41"/>
      <c r="BFO12" s="41"/>
      <c r="BFP12" s="41"/>
      <c r="BFQ12" s="41"/>
      <c r="BFR12" s="41"/>
      <c r="BFS12" s="41"/>
      <c r="BFT12" s="41"/>
      <c r="BFU12" s="41"/>
      <c r="BFV12" s="41"/>
      <c r="BFW12" s="41"/>
      <c r="BFX12" s="41"/>
      <c r="BFY12" s="41"/>
      <c r="BFZ12" s="41"/>
      <c r="BGA12" s="41"/>
      <c r="BGB12" s="41"/>
      <c r="BGC12" s="41"/>
      <c r="BGD12" s="41"/>
      <c r="BGE12" s="41"/>
      <c r="BGF12" s="41"/>
      <c r="BGG12" s="41"/>
      <c r="BGH12" s="41"/>
      <c r="BGI12" s="41"/>
      <c r="BGJ12" s="41"/>
      <c r="BGK12" s="41"/>
      <c r="BGL12" s="41"/>
      <c r="BGM12" s="41"/>
      <c r="BGN12" s="41"/>
      <c r="BGO12" s="41"/>
      <c r="BGP12" s="41"/>
      <c r="BGQ12" s="41"/>
      <c r="BGR12" s="41"/>
      <c r="BGS12" s="41"/>
      <c r="BGT12" s="41"/>
      <c r="BGU12" s="41"/>
      <c r="BGV12" s="41"/>
      <c r="BGW12" s="41"/>
      <c r="BGX12" s="41"/>
      <c r="BGY12" s="41"/>
      <c r="BGZ12" s="41"/>
      <c r="BHA12" s="41"/>
      <c r="BHB12" s="41"/>
      <c r="BHC12" s="41"/>
      <c r="BHD12" s="41"/>
      <c r="BHE12" s="41"/>
      <c r="BHF12" s="41"/>
      <c r="BHG12" s="41"/>
      <c r="BHH12" s="41"/>
      <c r="BHI12" s="41"/>
      <c r="BHJ12" s="41"/>
      <c r="BHK12" s="41"/>
      <c r="BHL12" s="41"/>
      <c r="BHM12" s="41"/>
      <c r="BHN12" s="41"/>
      <c r="BHO12" s="41"/>
      <c r="BHP12" s="41"/>
      <c r="BHQ12" s="41"/>
      <c r="BHR12" s="41"/>
      <c r="BHS12" s="41"/>
      <c r="BHT12" s="41"/>
      <c r="BHU12" s="41"/>
      <c r="BHV12" s="41"/>
      <c r="BHW12" s="41"/>
      <c r="BHX12" s="41"/>
      <c r="BHY12" s="41"/>
      <c r="BHZ12" s="41"/>
      <c r="BIA12" s="41"/>
      <c r="BIB12" s="41"/>
      <c r="BIC12" s="41"/>
      <c r="BID12" s="41"/>
      <c r="BIE12" s="41"/>
      <c r="BIF12" s="41"/>
      <c r="BIG12" s="41"/>
      <c r="BIH12" s="41"/>
      <c r="BII12" s="41"/>
      <c r="BIJ12" s="41"/>
      <c r="BIK12" s="41"/>
      <c r="BIL12" s="41"/>
      <c r="BIM12" s="41"/>
      <c r="BIN12" s="41"/>
      <c r="BIO12" s="41"/>
      <c r="BIP12" s="41"/>
      <c r="BIQ12" s="41"/>
      <c r="BIR12" s="41"/>
      <c r="BIS12" s="41"/>
      <c r="BIT12" s="41"/>
      <c r="BIU12" s="41"/>
      <c r="BIV12" s="41"/>
      <c r="BIW12" s="41"/>
      <c r="BIX12" s="41"/>
      <c r="BIY12" s="41"/>
      <c r="BIZ12" s="41"/>
      <c r="BJA12" s="41"/>
      <c r="BJB12" s="41"/>
      <c r="BJC12" s="41"/>
      <c r="BJD12" s="41"/>
      <c r="BJE12" s="41"/>
      <c r="BJF12" s="41"/>
      <c r="BJG12" s="41"/>
      <c r="BJH12" s="41"/>
      <c r="BJI12" s="41"/>
      <c r="BJJ12" s="41"/>
      <c r="BJK12" s="41"/>
      <c r="BJL12" s="41"/>
      <c r="BJM12" s="41"/>
      <c r="BJN12" s="41"/>
      <c r="BJO12" s="41"/>
      <c r="BJP12" s="41"/>
      <c r="BJQ12" s="41"/>
      <c r="BJR12" s="41"/>
      <c r="BJS12" s="41"/>
      <c r="BJT12" s="41"/>
      <c r="BJU12" s="41"/>
      <c r="BJV12" s="41"/>
      <c r="BJW12" s="41"/>
      <c r="BJX12" s="41"/>
      <c r="BJY12" s="41"/>
      <c r="BJZ12" s="41"/>
      <c r="BKA12" s="41"/>
      <c r="BKB12" s="41"/>
      <c r="BKC12" s="41"/>
      <c r="BKD12" s="41"/>
      <c r="BKE12" s="41"/>
      <c r="BKF12" s="41"/>
      <c r="BKG12" s="41"/>
      <c r="BKH12" s="41"/>
      <c r="BKI12" s="41"/>
      <c r="BKJ12" s="41"/>
      <c r="BKK12" s="41"/>
      <c r="BKL12" s="41"/>
      <c r="BKM12" s="41"/>
      <c r="BKN12" s="41"/>
      <c r="BKO12" s="41"/>
      <c r="BKP12" s="41"/>
      <c r="BKQ12" s="41"/>
      <c r="BKR12" s="41"/>
      <c r="BKS12" s="41"/>
      <c r="BKT12" s="41"/>
      <c r="BKU12" s="41"/>
      <c r="BKV12" s="41"/>
      <c r="BKW12" s="41"/>
      <c r="BKX12" s="41"/>
      <c r="BKY12" s="41"/>
      <c r="BKZ12" s="41"/>
      <c r="BLA12" s="41"/>
      <c r="BLB12" s="41"/>
      <c r="BLC12" s="41"/>
      <c r="BLD12" s="41"/>
      <c r="BLE12" s="41"/>
      <c r="BLF12" s="41"/>
      <c r="BLG12" s="41"/>
      <c r="BLH12" s="41"/>
      <c r="BLI12" s="41"/>
      <c r="BLJ12" s="41"/>
      <c r="BLK12" s="41"/>
      <c r="BLL12" s="41"/>
      <c r="BLM12" s="41"/>
      <c r="BLN12" s="41"/>
      <c r="BLO12" s="41"/>
      <c r="BLP12" s="41"/>
      <c r="BLQ12" s="41"/>
      <c r="BLR12" s="41"/>
      <c r="BLS12" s="41"/>
      <c r="BLT12" s="41"/>
      <c r="BLU12" s="41"/>
      <c r="BLV12" s="41"/>
      <c r="BLW12" s="41"/>
      <c r="BLX12" s="41"/>
      <c r="BLY12" s="41"/>
      <c r="BLZ12" s="41"/>
      <c r="BMA12" s="41"/>
      <c r="BMB12" s="41"/>
      <c r="BMC12" s="41"/>
      <c r="BMD12" s="41"/>
      <c r="BME12" s="41"/>
      <c r="BMF12" s="41"/>
      <c r="BMG12" s="41"/>
      <c r="BMH12" s="41"/>
      <c r="BMI12" s="41"/>
      <c r="BMJ12" s="41"/>
      <c r="BMK12" s="41"/>
      <c r="BML12" s="41"/>
      <c r="BMM12" s="41"/>
      <c r="BMN12" s="41"/>
      <c r="BMO12" s="41"/>
      <c r="BMP12" s="41"/>
      <c r="BMQ12" s="41"/>
      <c r="BMR12" s="41"/>
      <c r="BMS12" s="41"/>
      <c r="BMT12" s="41"/>
      <c r="BMU12" s="41"/>
      <c r="BMV12" s="41"/>
      <c r="BMW12" s="41"/>
      <c r="BMX12" s="41"/>
      <c r="BMY12" s="41"/>
      <c r="BMZ12" s="41"/>
      <c r="BNA12" s="41"/>
      <c r="BNB12" s="41"/>
      <c r="BNC12" s="41"/>
      <c r="BND12" s="41"/>
      <c r="BNE12" s="41"/>
      <c r="BNF12" s="41"/>
      <c r="BNG12" s="41"/>
      <c r="BNH12" s="41"/>
      <c r="BNI12" s="41"/>
      <c r="BNJ12" s="41"/>
      <c r="BNK12" s="41"/>
      <c r="BNL12" s="41"/>
      <c r="BNM12" s="41"/>
      <c r="BNN12" s="41"/>
      <c r="BNO12" s="41"/>
      <c r="BNP12" s="41"/>
      <c r="BNQ12" s="41"/>
      <c r="BNR12" s="41"/>
      <c r="BNS12" s="41"/>
      <c r="BNT12" s="41"/>
      <c r="BNU12" s="41"/>
      <c r="BNV12" s="41"/>
      <c r="BNW12" s="41"/>
      <c r="BNX12" s="41"/>
      <c r="BNY12" s="41"/>
      <c r="BNZ12" s="41"/>
      <c r="BOA12" s="41"/>
      <c r="BOB12" s="41"/>
      <c r="BOC12" s="41"/>
      <c r="BOD12" s="41"/>
      <c r="BOE12" s="41"/>
      <c r="BOF12" s="41"/>
      <c r="BOG12" s="41"/>
      <c r="BOH12" s="41"/>
      <c r="BOI12" s="41"/>
      <c r="BOJ12" s="41"/>
      <c r="BOK12" s="41"/>
      <c r="BOL12" s="41"/>
      <c r="BOM12" s="41"/>
      <c r="BON12" s="41"/>
      <c r="BOO12" s="41"/>
      <c r="BOP12" s="41"/>
      <c r="BOQ12" s="41"/>
      <c r="BOR12" s="41"/>
      <c r="BOS12" s="41"/>
      <c r="BOT12" s="41"/>
      <c r="BOU12" s="41"/>
      <c r="BOV12" s="41"/>
      <c r="BOW12" s="41"/>
      <c r="BOX12" s="41"/>
      <c r="BOY12" s="41"/>
      <c r="BOZ12" s="41"/>
      <c r="BPA12" s="41"/>
      <c r="BPB12" s="41"/>
      <c r="BPC12" s="41"/>
      <c r="BPD12" s="41"/>
      <c r="BPE12" s="41"/>
      <c r="BPF12" s="41"/>
      <c r="BPG12" s="41"/>
      <c r="BPH12" s="41"/>
      <c r="BPI12" s="41"/>
      <c r="BPJ12" s="41"/>
      <c r="BPK12" s="41"/>
      <c r="BPL12" s="41"/>
      <c r="BPM12" s="41"/>
      <c r="BPN12" s="41"/>
      <c r="BPO12" s="41"/>
      <c r="BPP12" s="41"/>
      <c r="BPQ12" s="41"/>
      <c r="BPR12" s="41"/>
      <c r="BPS12" s="41"/>
      <c r="BPT12" s="41"/>
      <c r="BPU12" s="41"/>
      <c r="BPV12" s="41"/>
      <c r="BPW12" s="41"/>
      <c r="BPX12" s="41"/>
      <c r="BPY12" s="41"/>
      <c r="BPZ12" s="41"/>
      <c r="BQA12" s="41"/>
      <c r="BQB12" s="41"/>
      <c r="BQC12" s="41"/>
      <c r="BQD12" s="41"/>
      <c r="BQE12" s="41"/>
      <c r="BQF12" s="41"/>
      <c r="BQG12" s="41"/>
      <c r="BQH12" s="41"/>
      <c r="BQI12" s="41"/>
      <c r="BQJ12" s="41"/>
      <c r="BQK12" s="41"/>
      <c r="BQL12" s="41"/>
      <c r="BQM12" s="41"/>
      <c r="BQN12" s="41"/>
      <c r="BQO12" s="41"/>
      <c r="BQP12" s="41"/>
      <c r="BQQ12" s="41"/>
      <c r="BQR12" s="41"/>
      <c r="BQS12" s="41"/>
      <c r="BQT12" s="41"/>
      <c r="BQU12" s="41"/>
      <c r="BQV12" s="41"/>
      <c r="BQW12" s="41"/>
      <c r="BQX12" s="41"/>
      <c r="BQY12" s="41"/>
      <c r="BQZ12" s="41"/>
      <c r="BRA12" s="41"/>
      <c r="BRB12" s="41"/>
      <c r="BRC12" s="41"/>
      <c r="BRD12" s="41"/>
      <c r="BRE12" s="41"/>
      <c r="BRF12" s="41"/>
      <c r="BRG12" s="41"/>
      <c r="BRH12" s="41"/>
      <c r="BRI12" s="41"/>
      <c r="BRJ12" s="41"/>
      <c r="BRK12" s="41"/>
      <c r="BRL12" s="41"/>
      <c r="BRM12" s="41"/>
      <c r="BRN12" s="41"/>
      <c r="BRO12" s="41"/>
      <c r="BRP12" s="41"/>
      <c r="BRQ12" s="41"/>
      <c r="BRR12" s="41"/>
      <c r="BRS12" s="41"/>
      <c r="BRT12" s="41"/>
      <c r="BRU12" s="41"/>
      <c r="BRV12" s="41"/>
      <c r="BRW12" s="41"/>
      <c r="BRX12" s="41"/>
      <c r="BRY12" s="41"/>
      <c r="BRZ12" s="41"/>
      <c r="BSA12" s="41"/>
      <c r="BSB12" s="41"/>
      <c r="BSC12" s="41"/>
      <c r="BSD12" s="41"/>
      <c r="BSE12" s="41"/>
      <c r="BSF12" s="41"/>
      <c r="BSG12" s="41"/>
      <c r="BSH12" s="41"/>
      <c r="BSI12" s="41"/>
      <c r="BSJ12" s="41"/>
      <c r="BSK12" s="41"/>
      <c r="BSL12" s="41"/>
      <c r="BSM12" s="41"/>
      <c r="BSN12" s="41"/>
      <c r="BSO12" s="41"/>
      <c r="BSP12" s="41"/>
      <c r="BSQ12" s="41"/>
      <c r="BSR12" s="41"/>
      <c r="BSS12" s="41"/>
      <c r="BST12" s="41"/>
      <c r="BSU12" s="41"/>
      <c r="BSV12" s="41"/>
      <c r="BSW12" s="41"/>
      <c r="BSX12" s="41"/>
      <c r="BSY12" s="41"/>
      <c r="BSZ12" s="41"/>
      <c r="BTA12" s="41"/>
      <c r="BTB12" s="41"/>
      <c r="BTC12" s="41"/>
      <c r="BTD12" s="41"/>
      <c r="BTE12" s="41"/>
      <c r="BTF12" s="41"/>
      <c r="BTG12" s="41"/>
      <c r="BTH12" s="41"/>
      <c r="BTI12" s="41"/>
      <c r="BTJ12" s="41"/>
      <c r="BTK12" s="41"/>
      <c r="BTL12" s="41"/>
      <c r="BTM12" s="41"/>
      <c r="BTN12" s="41"/>
      <c r="BTO12" s="41"/>
      <c r="BTP12" s="41"/>
      <c r="BTQ12" s="41"/>
      <c r="BTR12" s="41"/>
      <c r="BTS12" s="41"/>
      <c r="BTT12" s="41"/>
      <c r="BTU12" s="41"/>
      <c r="BTV12" s="41"/>
      <c r="BTW12" s="41"/>
      <c r="BTX12" s="41"/>
      <c r="BTY12" s="41"/>
      <c r="BTZ12" s="41"/>
      <c r="BUA12" s="41"/>
      <c r="BUB12" s="41"/>
      <c r="BUC12" s="41"/>
      <c r="BUD12" s="41"/>
      <c r="BUE12" s="41"/>
      <c r="BUF12" s="41"/>
      <c r="BUG12" s="41"/>
      <c r="BUH12" s="41"/>
      <c r="BUI12" s="41"/>
      <c r="BUJ12" s="41"/>
      <c r="BUK12" s="41"/>
      <c r="BUL12" s="41"/>
      <c r="BUM12" s="41"/>
      <c r="BUN12" s="41"/>
      <c r="BUO12" s="41"/>
      <c r="BUP12" s="41"/>
      <c r="BUQ12" s="41"/>
      <c r="BUR12" s="41"/>
      <c r="BUS12" s="41"/>
      <c r="BUT12" s="41"/>
      <c r="BUU12" s="41"/>
      <c r="BUV12" s="41"/>
      <c r="BUW12" s="41"/>
      <c r="BUX12" s="41"/>
      <c r="BUY12" s="41"/>
      <c r="BUZ12" s="41"/>
      <c r="BVA12" s="41"/>
      <c r="BVB12" s="41"/>
      <c r="BVC12" s="41"/>
      <c r="BVD12" s="41"/>
      <c r="BVE12" s="41"/>
      <c r="BVF12" s="41"/>
      <c r="BVG12" s="41"/>
      <c r="BVH12" s="41"/>
      <c r="BVI12" s="41"/>
      <c r="BVJ12" s="41"/>
      <c r="BVK12" s="41"/>
      <c r="BVL12" s="41"/>
      <c r="BVM12" s="41"/>
      <c r="BVN12" s="41"/>
      <c r="BVO12" s="41"/>
      <c r="BVP12" s="41"/>
      <c r="BVQ12" s="41"/>
      <c r="BVR12" s="41"/>
      <c r="BVS12" s="41"/>
      <c r="BVT12" s="41"/>
      <c r="BVU12" s="41"/>
      <c r="BVV12" s="41"/>
      <c r="BVW12" s="41"/>
      <c r="BVX12" s="41"/>
      <c r="BVY12" s="41"/>
      <c r="BVZ12" s="41"/>
      <c r="BWA12" s="41"/>
      <c r="BWB12" s="41"/>
      <c r="BWC12" s="41"/>
      <c r="BWD12" s="41"/>
      <c r="BWE12" s="41"/>
      <c r="BWF12" s="41"/>
      <c r="BWG12" s="41"/>
      <c r="BWH12" s="41"/>
      <c r="BWI12" s="41"/>
      <c r="BWJ12" s="41"/>
      <c r="BWK12" s="41"/>
      <c r="BWL12" s="41"/>
      <c r="BWM12" s="41"/>
      <c r="BWN12" s="41"/>
      <c r="BWO12" s="41"/>
      <c r="BWP12" s="41"/>
      <c r="BWQ12" s="41"/>
      <c r="BWR12" s="41"/>
      <c r="BWS12" s="41"/>
      <c r="BWT12" s="41"/>
      <c r="BWU12" s="41"/>
      <c r="BWV12" s="41"/>
      <c r="BWW12" s="41"/>
      <c r="BWX12" s="41"/>
      <c r="BWY12" s="41"/>
      <c r="BWZ12" s="41"/>
      <c r="BXA12" s="41"/>
      <c r="BXB12" s="41"/>
      <c r="BXC12" s="41"/>
      <c r="BXD12" s="41"/>
      <c r="BXE12" s="41"/>
      <c r="BXF12" s="41"/>
      <c r="BXG12" s="41"/>
      <c r="BXH12" s="41"/>
      <c r="BXI12" s="41"/>
      <c r="BXJ12" s="41"/>
      <c r="BXK12" s="41"/>
      <c r="BXL12" s="41"/>
      <c r="BXM12" s="41"/>
      <c r="BXN12" s="41"/>
      <c r="BXO12" s="41"/>
      <c r="BXP12" s="41"/>
      <c r="BXQ12" s="41"/>
      <c r="BXR12" s="41"/>
      <c r="BXS12" s="41"/>
      <c r="BXT12" s="41"/>
      <c r="BXU12" s="41"/>
      <c r="BXV12" s="41"/>
      <c r="BXW12" s="41"/>
      <c r="BXX12" s="41"/>
      <c r="BXY12" s="41"/>
      <c r="BXZ12" s="41"/>
      <c r="BYA12" s="41"/>
      <c r="BYB12" s="41"/>
      <c r="BYC12" s="41"/>
      <c r="BYD12" s="41"/>
      <c r="BYE12" s="41"/>
      <c r="BYF12" s="41"/>
      <c r="BYG12" s="41"/>
      <c r="BYH12" s="41"/>
      <c r="BYI12" s="41"/>
      <c r="BYJ12" s="41"/>
      <c r="BYK12" s="41"/>
      <c r="BYL12" s="41"/>
      <c r="BYM12" s="41"/>
      <c r="BYN12" s="41"/>
      <c r="BYO12" s="41"/>
      <c r="BYP12" s="41"/>
      <c r="BYQ12" s="41"/>
      <c r="BYR12" s="41"/>
      <c r="BYS12" s="41"/>
      <c r="BYT12" s="41"/>
      <c r="BYU12" s="41"/>
      <c r="BYV12" s="41"/>
      <c r="BYW12" s="41"/>
      <c r="BYX12" s="41"/>
      <c r="BYY12" s="41"/>
      <c r="BYZ12" s="41"/>
      <c r="BZA12" s="41"/>
      <c r="BZB12" s="41"/>
      <c r="BZC12" s="41"/>
      <c r="BZD12" s="41"/>
      <c r="BZE12" s="41"/>
      <c r="BZF12" s="41"/>
      <c r="BZG12" s="41"/>
      <c r="BZH12" s="41"/>
      <c r="BZI12" s="41"/>
      <c r="BZJ12" s="41"/>
      <c r="BZK12" s="41"/>
      <c r="BZL12" s="41"/>
      <c r="BZM12" s="41"/>
      <c r="BZN12" s="41"/>
      <c r="BZO12" s="41"/>
      <c r="BZP12" s="41"/>
      <c r="BZQ12" s="41"/>
      <c r="BZR12" s="41"/>
      <c r="BZS12" s="41"/>
      <c r="BZT12" s="41"/>
      <c r="BZU12" s="41"/>
      <c r="BZV12" s="41"/>
      <c r="BZW12" s="41"/>
      <c r="BZX12" s="41"/>
      <c r="BZY12" s="41"/>
      <c r="BZZ12" s="41"/>
      <c r="CAA12" s="41"/>
      <c r="CAB12" s="41"/>
      <c r="CAC12" s="41"/>
      <c r="CAD12" s="41"/>
      <c r="CAE12" s="41"/>
      <c r="CAF12" s="41"/>
      <c r="CAG12" s="41"/>
      <c r="CAH12" s="41"/>
      <c r="CAI12" s="41"/>
      <c r="CAJ12" s="41"/>
      <c r="CAK12" s="41"/>
      <c r="CAL12" s="41"/>
      <c r="CAM12" s="41"/>
      <c r="CAN12" s="41"/>
      <c r="CAO12" s="41"/>
      <c r="CAP12" s="41"/>
      <c r="CAQ12" s="41"/>
      <c r="CAR12" s="41"/>
      <c r="CAS12" s="41"/>
      <c r="CAT12" s="41"/>
      <c r="CAU12" s="41"/>
      <c r="CAV12" s="41"/>
      <c r="CAW12" s="41"/>
      <c r="CAX12" s="41"/>
      <c r="CAY12" s="41"/>
      <c r="CAZ12" s="41"/>
      <c r="CBA12" s="41"/>
      <c r="CBB12" s="41"/>
      <c r="CBC12" s="41"/>
      <c r="CBD12" s="41"/>
      <c r="CBE12" s="41"/>
      <c r="CBF12" s="41"/>
      <c r="CBG12" s="41"/>
      <c r="CBH12" s="41"/>
      <c r="CBI12" s="41"/>
      <c r="CBJ12" s="41"/>
      <c r="CBK12" s="41"/>
      <c r="CBL12" s="41"/>
      <c r="CBM12" s="41"/>
      <c r="CBN12" s="41"/>
      <c r="CBO12" s="41"/>
      <c r="CBP12" s="41"/>
      <c r="CBQ12" s="41"/>
      <c r="CBR12" s="41"/>
      <c r="CBS12" s="41"/>
      <c r="CBT12" s="41"/>
      <c r="CBU12" s="41"/>
      <c r="CBV12" s="41"/>
      <c r="CBW12" s="41"/>
      <c r="CBX12" s="41"/>
      <c r="CBY12" s="41"/>
      <c r="CBZ12" s="41"/>
      <c r="CCA12" s="41"/>
      <c r="CCB12" s="41"/>
      <c r="CCC12" s="41"/>
      <c r="CCD12" s="41"/>
      <c r="CCE12" s="41"/>
      <c r="CCF12" s="41"/>
      <c r="CCG12" s="41"/>
      <c r="CCH12" s="41"/>
      <c r="CCI12" s="41"/>
      <c r="CCJ12" s="41"/>
      <c r="CCK12" s="41"/>
      <c r="CCL12" s="41"/>
      <c r="CCM12" s="41"/>
      <c r="CCN12" s="41"/>
      <c r="CCO12" s="41"/>
      <c r="CCP12" s="41"/>
      <c r="CCQ12" s="41"/>
      <c r="CCR12" s="41"/>
      <c r="CCS12" s="41"/>
      <c r="CCT12" s="41"/>
      <c r="CCU12" s="41"/>
      <c r="CCV12" s="41"/>
      <c r="CCW12" s="41"/>
      <c r="CCX12" s="41"/>
      <c r="CCY12" s="41"/>
      <c r="CCZ12" s="41"/>
      <c r="CDA12" s="41"/>
      <c r="CDB12" s="41"/>
      <c r="CDC12" s="41"/>
      <c r="CDD12" s="41"/>
      <c r="CDE12" s="41"/>
      <c r="CDF12" s="41"/>
      <c r="CDG12" s="41"/>
      <c r="CDH12" s="41"/>
      <c r="CDI12" s="41"/>
      <c r="CDJ12" s="41"/>
      <c r="CDK12" s="41"/>
      <c r="CDL12" s="41"/>
      <c r="CDM12" s="41"/>
      <c r="CDN12" s="41"/>
      <c r="CDO12" s="41"/>
      <c r="CDP12" s="41"/>
      <c r="CDQ12" s="41"/>
      <c r="CDR12" s="41"/>
      <c r="CDS12" s="41"/>
      <c r="CDT12" s="41"/>
      <c r="CDU12" s="41"/>
      <c r="CDV12" s="41"/>
      <c r="CDW12" s="41"/>
      <c r="CDX12" s="41"/>
      <c r="CDY12" s="41"/>
      <c r="CDZ12" s="41"/>
      <c r="CEA12" s="41"/>
      <c r="CEB12" s="41"/>
      <c r="CEC12" s="41"/>
      <c r="CED12" s="41"/>
      <c r="CEE12" s="41"/>
      <c r="CEF12" s="41"/>
      <c r="CEG12" s="41"/>
      <c r="CEH12" s="41"/>
      <c r="CEI12" s="41"/>
      <c r="CEJ12" s="41"/>
      <c r="CEK12" s="41"/>
      <c r="CEL12" s="41"/>
      <c r="CEM12" s="41"/>
      <c r="CEN12" s="41"/>
      <c r="CEO12" s="41"/>
      <c r="CEP12" s="41"/>
      <c r="CEQ12" s="41"/>
      <c r="CER12" s="41"/>
      <c r="CES12" s="41"/>
      <c r="CET12" s="41"/>
      <c r="CEU12" s="41"/>
      <c r="CEV12" s="41"/>
      <c r="CEW12" s="41"/>
      <c r="CEX12" s="41"/>
      <c r="CEY12" s="41"/>
      <c r="CEZ12" s="41"/>
      <c r="CFA12" s="41"/>
      <c r="CFB12" s="41"/>
      <c r="CFC12" s="41"/>
      <c r="CFD12" s="41"/>
      <c r="CFE12" s="41"/>
      <c r="CFF12" s="41"/>
      <c r="CFG12" s="41"/>
      <c r="CFH12" s="41"/>
      <c r="CFI12" s="41"/>
      <c r="CFJ12" s="41"/>
      <c r="CFK12" s="41"/>
      <c r="CFL12" s="41"/>
      <c r="CFM12" s="41"/>
      <c r="CFN12" s="41"/>
      <c r="CFO12" s="41"/>
      <c r="CFP12" s="41"/>
      <c r="CFQ12" s="41"/>
      <c r="CFR12" s="41"/>
      <c r="CFS12" s="41"/>
      <c r="CFT12" s="41"/>
      <c r="CFU12" s="41"/>
      <c r="CFV12" s="41"/>
      <c r="CFW12" s="41"/>
      <c r="CFX12" s="41"/>
      <c r="CFY12" s="41"/>
      <c r="CFZ12" s="41"/>
      <c r="CGA12" s="41"/>
      <c r="CGB12" s="41"/>
      <c r="CGC12" s="41"/>
      <c r="CGD12" s="41"/>
      <c r="CGE12" s="41"/>
      <c r="CGF12" s="41"/>
      <c r="CGG12" s="41"/>
      <c r="CGH12" s="41"/>
      <c r="CGI12" s="41"/>
      <c r="CGJ12" s="41"/>
      <c r="CGK12" s="41"/>
      <c r="CGL12" s="41"/>
      <c r="CGM12" s="41"/>
      <c r="CGN12" s="41"/>
      <c r="CGO12" s="41"/>
      <c r="CGP12" s="41"/>
      <c r="CGQ12" s="41"/>
      <c r="CGR12" s="41"/>
      <c r="CGS12" s="41"/>
      <c r="CGT12" s="41"/>
      <c r="CGU12" s="41"/>
      <c r="CGV12" s="41"/>
      <c r="CGW12" s="41"/>
      <c r="CGX12" s="41"/>
      <c r="CGY12" s="41"/>
      <c r="CGZ12" s="41"/>
      <c r="CHA12" s="41"/>
      <c r="CHB12" s="41"/>
      <c r="CHC12" s="41"/>
      <c r="CHD12" s="41"/>
      <c r="CHE12" s="41"/>
      <c r="CHF12" s="41"/>
      <c r="CHG12" s="41"/>
      <c r="CHH12" s="41"/>
      <c r="CHI12" s="41"/>
      <c r="CHJ12" s="41"/>
      <c r="CHK12" s="41"/>
      <c r="CHL12" s="41"/>
      <c r="CHM12" s="41"/>
      <c r="CHN12" s="41"/>
      <c r="CHO12" s="41"/>
      <c r="CHP12" s="41"/>
      <c r="CHQ12" s="41"/>
      <c r="CHR12" s="41"/>
      <c r="CHS12" s="41"/>
      <c r="CHT12" s="41"/>
      <c r="CHU12" s="41"/>
      <c r="CHV12" s="41"/>
      <c r="CHW12" s="41"/>
      <c r="CHX12" s="41"/>
      <c r="CHY12" s="41"/>
      <c r="CHZ12" s="41"/>
      <c r="CIA12" s="41"/>
      <c r="CIB12" s="41"/>
      <c r="CIC12" s="41"/>
      <c r="CID12" s="41"/>
      <c r="CIE12" s="41"/>
      <c r="CIF12" s="41"/>
      <c r="CIG12" s="41"/>
      <c r="CIH12" s="41"/>
      <c r="CII12" s="41"/>
      <c r="CIJ12" s="41"/>
      <c r="CIK12" s="41"/>
      <c r="CIL12" s="41"/>
      <c r="CIM12" s="41"/>
      <c r="CIN12" s="41"/>
      <c r="CIO12" s="41"/>
      <c r="CIP12" s="41"/>
      <c r="CIQ12" s="41"/>
      <c r="CIR12" s="41"/>
      <c r="CIS12" s="41"/>
      <c r="CIT12" s="41"/>
      <c r="CIU12" s="41"/>
      <c r="CIV12" s="41"/>
      <c r="CIW12" s="41"/>
      <c r="CIX12" s="41"/>
      <c r="CIY12" s="41"/>
      <c r="CIZ12" s="41"/>
      <c r="CJA12" s="41"/>
      <c r="CJB12" s="41"/>
      <c r="CJC12" s="41"/>
      <c r="CJD12" s="41"/>
      <c r="CJE12" s="41"/>
      <c r="CJF12" s="41"/>
      <c r="CJG12" s="41"/>
      <c r="CJH12" s="41"/>
      <c r="CJI12" s="41"/>
      <c r="CJJ12" s="41"/>
      <c r="CJK12" s="41"/>
      <c r="CJL12" s="41"/>
      <c r="CJM12" s="41"/>
      <c r="CJN12" s="41"/>
      <c r="CJO12" s="41"/>
      <c r="CJP12" s="41"/>
      <c r="CJQ12" s="41"/>
      <c r="CJR12" s="41"/>
      <c r="CJS12" s="41"/>
      <c r="CJT12" s="41"/>
      <c r="CJU12" s="41"/>
      <c r="CJV12" s="41"/>
      <c r="CJW12" s="41"/>
      <c r="CJX12" s="41"/>
      <c r="CJY12" s="41"/>
      <c r="CJZ12" s="41"/>
      <c r="CKA12" s="41"/>
      <c r="CKB12" s="41"/>
      <c r="CKC12" s="41"/>
      <c r="CKD12" s="41"/>
      <c r="CKE12" s="41"/>
      <c r="CKF12" s="41"/>
      <c r="CKG12" s="41"/>
      <c r="CKH12" s="41"/>
      <c r="CKI12" s="41"/>
      <c r="CKJ12" s="41"/>
      <c r="CKK12" s="41"/>
      <c r="CKL12" s="41"/>
      <c r="CKM12" s="41"/>
      <c r="CKN12" s="41"/>
      <c r="CKO12" s="41"/>
      <c r="CKP12" s="41"/>
      <c r="CKQ12" s="41"/>
      <c r="CKR12" s="41"/>
      <c r="CKS12" s="41"/>
      <c r="CKT12" s="41"/>
      <c r="CKU12" s="41"/>
      <c r="CKV12" s="41"/>
      <c r="CKW12" s="41"/>
      <c r="CKX12" s="41"/>
      <c r="CKY12" s="41"/>
      <c r="CKZ12" s="41"/>
      <c r="CLA12" s="41"/>
      <c r="CLB12" s="41"/>
      <c r="CLC12" s="41"/>
      <c r="CLD12" s="41"/>
      <c r="CLE12" s="41"/>
      <c r="CLF12" s="41"/>
      <c r="CLG12" s="41"/>
      <c r="CLH12" s="41"/>
      <c r="CLI12" s="41"/>
      <c r="CLJ12" s="41"/>
      <c r="CLK12" s="41"/>
      <c r="CLL12" s="41"/>
      <c r="CLM12" s="41"/>
      <c r="CLN12" s="41"/>
      <c r="CLO12" s="41"/>
      <c r="CLP12" s="41"/>
      <c r="CLQ12" s="41"/>
      <c r="CLR12" s="41"/>
      <c r="CLS12" s="41"/>
      <c r="CLT12" s="41"/>
      <c r="CLU12" s="41"/>
      <c r="CLV12" s="41"/>
      <c r="CLW12" s="41"/>
      <c r="CLX12" s="41"/>
      <c r="CLY12" s="41"/>
      <c r="CLZ12" s="41"/>
      <c r="CMA12" s="41"/>
      <c r="CMB12" s="41"/>
      <c r="CMC12" s="41"/>
      <c r="CMD12" s="41"/>
      <c r="CME12" s="41"/>
      <c r="CMF12" s="41"/>
      <c r="CMG12" s="41"/>
      <c r="CMH12" s="41"/>
      <c r="CMI12" s="41"/>
      <c r="CMJ12" s="41"/>
      <c r="CMK12" s="41"/>
      <c r="CML12" s="41"/>
      <c r="CMM12" s="41"/>
      <c r="CMN12" s="41"/>
      <c r="CMO12" s="41"/>
      <c r="CMP12" s="41"/>
      <c r="CMQ12" s="41"/>
      <c r="CMR12" s="41"/>
      <c r="CMS12" s="41"/>
      <c r="CMT12" s="41"/>
      <c r="CMU12" s="41"/>
      <c r="CMV12" s="41"/>
      <c r="CMW12" s="41"/>
      <c r="CMX12" s="41"/>
      <c r="CMY12" s="41"/>
      <c r="CMZ12" s="41"/>
      <c r="CNA12" s="41"/>
      <c r="CNB12" s="41"/>
      <c r="CNC12" s="41"/>
      <c r="CND12" s="41"/>
      <c r="CNE12" s="41"/>
      <c r="CNF12" s="41"/>
      <c r="CNG12" s="41"/>
      <c r="CNH12" s="41"/>
      <c r="CNI12" s="41"/>
      <c r="CNJ12" s="41"/>
      <c r="CNK12" s="41"/>
      <c r="CNL12" s="41"/>
      <c r="CNM12" s="41"/>
      <c r="CNN12" s="41"/>
      <c r="CNO12" s="41"/>
      <c r="CNP12" s="41"/>
      <c r="CNQ12" s="41"/>
      <c r="CNR12" s="41"/>
      <c r="CNS12" s="41"/>
      <c r="CNT12" s="41"/>
      <c r="CNU12" s="41"/>
      <c r="CNV12" s="41"/>
      <c r="CNW12" s="41"/>
      <c r="CNX12" s="41"/>
      <c r="CNY12" s="41"/>
      <c r="CNZ12" s="41"/>
      <c r="COA12" s="41"/>
      <c r="COB12" s="41"/>
      <c r="COC12" s="41"/>
      <c r="COD12" s="41"/>
      <c r="COE12" s="41"/>
      <c r="COF12" s="41"/>
      <c r="COG12" s="41"/>
      <c r="COH12" s="41"/>
      <c r="COI12" s="41"/>
      <c r="COJ12" s="41"/>
      <c r="COK12" s="41"/>
      <c r="COL12" s="41"/>
      <c r="COM12" s="41"/>
      <c r="CON12" s="41"/>
      <c r="COO12" s="41"/>
      <c r="COP12" s="41"/>
      <c r="COQ12" s="41"/>
      <c r="COR12" s="41"/>
      <c r="COS12" s="41"/>
      <c r="COT12" s="41"/>
      <c r="COU12" s="41"/>
      <c r="COV12" s="41"/>
      <c r="COW12" s="41"/>
      <c r="COX12" s="41"/>
      <c r="COY12" s="41"/>
      <c r="COZ12" s="41"/>
      <c r="CPA12" s="41"/>
      <c r="CPB12" s="41"/>
      <c r="CPC12" s="41"/>
      <c r="CPD12" s="41"/>
      <c r="CPE12" s="41"/>
      <c r="CPF12" s="41"/>
      <c r="CPG12" s="41"/>
      <c r="CPH12" s="41"/>
      <c r="CPI12" s="41"/>
      <c r="CPJ12" s="41"/>
      <c r="CPK12" s="41"/>
      <c r="CPL12" s="41"/>
      <c r="CPM12" s="41"/>
      <c r="CPN12" s="41"/>
      <c r="CPO12" s="41"/>
      <c r="CPP12" s="41"/>
      <c r="CPQ12" s="41"/>
      <c r="CPR12" s="41"/>
      <c r="CPS12" s="41"/>
      <c r="CPT12" s="41"/>
      <c r="CPU12" s="41"/>
      <c r="CPV12" s="41"/>
      <c r="CPW12" s="41"/>
      <c r="CPX12" s="41"/>
      <c r="CPY12" s="41"/>
      <c r="CPZ12" s="41"/>
      <c r="CQA12" s="41"/>
      <c r="CQB12" s="41"/>
      <c r="CQC12" s="41"/>
      <c r="CQD12" s="41"/>
      <c r="CQE12" s="41"/>
      <c r="CQF12" s="41"/>
      <c r="CQG12" s="41"/>
      <c r="CQH12" s="41"/>
      <c r="CQI12" s="41"/>
      <c r="CQJ12" s="41"/>
      <c r="CQK12" s="41"/>
      <c r="CQL12" s="41"/>
      <c r="CQM12" s="41"/>
      <c r="CQN12" s="41"/>
      <c r="CQO12" s="41"/>
      <c r="CQP12" s="41"/>
      <c r="CQQ12" s="41"/>
      <c r="CQR12" s="41"/>
      <c r="CQS12" s="41"/>
      <c r="CQT12" s="41"/>
      <c r="CQU12" s="41"/>
      <c r="CQV12" s="41"/>
      <c r="CQW12" s="41"/>
      <c r="CQX12" s="41"/>
      <c r="CQY12" s="41"/>
      <c r="CQZ12" s="41"/>
      <c r="CRA12" s="41"/>
      <c r="CRB12" s="41"/>
      <c r="CRC12" s="41"/>
      <c r="CRD12" s="41"/>
      <c r="CRE12" s="41"/>
      <c r="CRF12" s="41"/>
      <c r="CRG12" s="41"/>
      <c r="CRH12" s="41"/>
      <c r="CRI12" s="41"/>
      <c r="CRJ12" s="41"/>
      <c r="CRK12" s="41"/>
      <c r="CRL12" s="41"/>
      <c r="CRM12" s="41"/>
      <c r="CRN12" s="41"/>
      <c r="CRO12" s="41"/>
      <c r="CRP12" s="41"/>
      <c r="CRQ12" s="41"/>
      <c r="CRR12" s="41"/>
      <c r="CRS12" s="41"/>
      <c r="CRT12" s="41"/>
      <c r="CRU12" s="41"/>
      <c r="CRV12" s="41"/>
      <c r="CRW12" s="41"/>
      <c r="CRX12" s="41"/>
      <c r="CRY12" s="41"/>
      <c r="CRZ12" s="41"/>
      <c r="CSA12" s="41"/>
      <c r="CSB12" s="41"/>
      <c r="CSC12" s="41"/>
      <c r="CSD12" s="41"/>
      <c r="CSE12" s="41"/>
      <c r="CSF12" s="41"/>
      <c r="CSG12" s="41"/>
      <c r="CSH12" s="41"/>
      <c r="CSI12" s="41"/>
      <c r="CSJ12" s="41"/>
      <c r="CSK12" s="41"/>
      <c r="CSL12" s="41"/>
      <c r="CSM12" s="41"/>
      <c r="CSN12" s="41"/>
      <c r="CSO12" s="41"/>
      <c r="CSP12" s="41"/>
      <c r="CSQ12" s="41"/>
      <c r="CSR12" s="41"/>
      <c r="CSS12" s="41"/>
      <c r="CST12" s="41"/>
      <c r="CSU12" s="41"/>
      <c r="CSV12" s="41"/>
      <c r="CSW12" s="41"/>
      <c r="CSX12" s="41"/>
      <c r="CSY12" s="41"/>
      <c r="CSZ12" s="41"/>
      <c r="CTA12" s="41"/>
      <c r="CTB12" s="41"/>
      <c r="CTC12" s="41"/>
      <c r="CTD12" s="41"/>
      <c r="CTE12" s="41"/>
      <c r="CTF12" s="41"/>
      <c r="CTG12" s="41"/>
      <c r="CTH12" s="41"/>
      <c r="CTI12" s="41"/>
      <c r="CTJ12" s="41"/>
      <c r="CTK12" s="41"/>
      <c r="CTL12" s="41"/>
      <c r="CTM12" s="41"/>
      <c r="CTN12" s="41"/>
      <c r="CTO12" s="41"/>
      <c r="CTP12" s="41"/>
      <c r="CTQ12" s="41"/>
      <c r="CTR12" s="41"/>
      <c r="CTS12" s="41"/>
      <c r="CTT12" s="41"/>
      <c r="CTU12" s="41"/>
      <c r="CTV12" s="41"/>
      <c r="CTW12" s="41"/>
      <c r="CTX12" s="41"/>
      <c r="CTY12" s="41"/>
      <c r="CTZ12" s="41"/>
      <c r="CUA12" s="41"/>
      <c r="CUB12" s="41"/>
      <c r="CUC12" s="41"/>
      <c r="CUD12" s="41"/>
      <c r="CUE12" s="41"/>
      <c r="CUF12" s="41"/>
      <c r="CUG12" s="41"/>
      <c r="CUH12" s="41"/>
      <c r="CUI12" s="41"/>
      <c r="CUJ12" s="41"/>
      <c r="CUK12" s="41"/>
      <c r="CUL12" s="41"/>
      <c r="CUM12" s="41"/>
      <c r="CUN12" s="41"/>
      <c r="CUO12" s="41"/>
      <c r="CUP12" s="41"/>
      <c r="CUQ12" s="41"/>
      <c r="CUR12" s="41"/>
      <c r="CUS12" s="41"/>
      <c r="CUT12" s="41"/>
      <c r="CUU12" s="41"/>
      <c r="CUV12" s="41"/>
      <c r="CUW12" s="41"/>
      <c r="CUX12" s="41"/>
      <c r="CUY12" s="41"/>
      <c r="CUZ12" s="41"/>
      <c r="CVA12" s="41"/>
      <c r="CVB12" s="41"/>
      <c r="CVC12" s="41"/>
      <c r="CVD12" s="41"/>
      <c r="CVE12" s="41"/>
      <c r="CVF12" s="41"/>
      <c r="CVG12" s="41"/>
      <c r="CVH12" s="41"/>
      <c r="CVI12" s="41"/>
      <c r="CVJ12" s="41"/>
      <c r="CVK12" s="41"/>
      <c r="CVL12" s="41"/>
      <c r="CVM12" s="41"/>
      <c r="CVN12" s="41"/>
      <c r="CVO12" s="41"/>
      <c r="CVP12" s="41"/>
      <c r="CVQ12" s="41"/>
      <c r="CVR12" s="41"/>
      <c r="CVS12" s="41"/>
      <c r="CVT12" s="41"/>
      <c r="CVU12" s="41"/>
      <c r="CVV12" s="41"/>
      <c r="CVW12" s="41"/>
      <c r="CVX12" s="41"/>
      <c r="CVY12" s="41"/>
      <c r="CVZ12" s="41"/>
      <c r="CWA12" s="41"/>
      <c r="CWB12" s="41"/>
      <c r="CWC12" s="41"/>
      <c r="CWD12" s="41"/>
      <c r="CWE12" s="41"/>
      <c r="CWF12" s="41"/>
      <c r="CWG12" s="41"/>
      <c r="CWH12" s="41"/>
      <c r="CWI12" s="41"/>
      <c r="CWJ12" s="41"/>
      <c r="CWK12" s="41"/>
      <c r="CWL12" s="41"/>
      <c r="CWM12" s="41"/>
      <c r="CWN12" s="41"/>
      <c r="CWO12" s="41"/>
      <c r="CWP12" s="41"/>
      <c r="CWQ12" s="41"/>
      <c r="CWR12" s="41"/>
      <c r="CWS12" s="41"/>
      <c r="CWT12" s="41"/>
      <c r="CWU12" s="41"/>
      <c r="CWV12" s="41"/>
      <c r="CWW12" s="41"/>
      <c r="CWX12" s="41"/>
      <c r="CWY12" s="41"/>
      <c r="CWZ12" s="41"/>
      <c r="CXA12" s="41"/>
      <c r="CXB12" s="41"/>
      <c r="CXC12" s="41"/>
      <c r="CXD12" s="41"/>
      <c r="CXE12" s="41"/>
      <c r="CXF12" s="41"/>
      <c r="CXG12" s="41"/>
      <c r="CXH12" s="41"/>
      <c r="CXI12" s="41"/>
      <c r="CXJ12" s="41"/>
      <c r="CXK12" s="41"/>
      <c r="CXL12" s="41"/>
      <c r="CXM12" s="41"/>
      <c r="CXN12" s="41"/>
      <c r="CXO12" s="41"/>
      <c r="CXP12" s="41"/>
      <c r="CXQ12" s="41"/>
      <c r="CXR12" s="41"/>
      <c r="CXS12" s="41"/>
      <c r="CXT12" s="41"/>
      <c r="CXU12" s="41"/>
      <c r="CXV12" s="41"/>
      <c r="CXW12" s="41"/>
      <c r="CXX12" s="41"/>
      <c r="CXY12" s="41"/>
      <c r="CXZ12" s="41"/>
      <c r="CYA12" s="41"/>
      <c r="CYB12" s="41"/>
      <c r="CYC12" s="41"/>
      <c r="CYD12" s="41"/>
      <c r="CYE12" s="41"/>
      <c r="CYF12" s="41"/>
      <c r="CYG12" s="41"/>
      <c r="CYH12" s="41"/>
      <c r="CYI12" s="41"/>
      <c r="CYJ12" s="41"/>
      <c r="CYK12" s="41"/>
      <c r="CYL12" s="41"/>
      <c r="CYM12" s="41"/>
      <c r="CYN12" s="41"/>
      <c r="CYO12" s="41"/>
      <c r="CYP12" s="41"/>
      <c r="CYQ12" s="41"/>
      <c r="CYR12" s="41"/>
      <c r="CYS12" s="41"/>
      <c r="CYT12" s="41"/>
      <c r="CYU12" s="41"/>
      <c r="CYV12" s="41"/>
      <c r="CYW12" s="41"/>
      <c r="CYX12" s="41"/>
      <c r="CYY12" s="41"/>
      <c r="CYZ12" s="41"/>
      <c r="CZA12" s="41"/>
      <c r="CZB12" s="41"/>
      <c r="CZC12" s="41"/>
      <c r="CZD12" s="41"/>
      <c r="CZE12" s="41"/>
      <c r="CZF12" s="41"/>
      <c r="CZG12" s="41"/>
      <c r="CZH12" s="41"/>
      <c r="CZI12" s="41"/>
      <c r="CZJ12" s="41"/>
      <c r="CZK12" s="41"/>
      <c r="CZL12" s="41"/>
      <c r="CZM12" s="41"/>
      <c r="CZN12" s="41"/>
      <c r="CZO12" s="41"/>
      <c r="CZP12" s="41"/>
      <c r="CZQ12" s="41"/>
      <c r="CZR12" s="41"/>
      <c r="CZS12" s="41"/>
      <c r="CZT12" s="41"/>
      <c r="CZU12" s="41"/>
      <c r="CZV12" s="41"/>
      <c r="CZW12" s="41"/>
      <c r="CZX12" s="41"/>
      <c r="CZY12" s="41"/>
      <c r="CZZ12" s="41"/>
      <c r="DAA12" s="41"/>
      <c r="DAB12" s="41"/>
      <c r="DAC12" s="41"/>
      <c r="DAD12" s="41"/>
      <c r="DAE12" s="41"/>
      <c r="DAF12" s="41"/>
      <c r="DAG12" s="41"/>
      <c r="DAH12" s="41"/>
      <c r="DAI12" s="41"/>
      <c r="DAJ12" s="41"/>
      <c r="DAK12" s="41"/>
      <c r="DAL12" s="41"/>
      <c r="DAM12" s="41"/>
      <c r="DAN12" s="41"/>
      <c r="DAO12" s="41"/>
      <c r="DAP12" s="41"/>
      <c r="DAQ12" s="41"/>
      <c r="DAR12" s="41"/>
      <c r="DAS12" s="41"/>
      <c r="DAT12" s="41"/>
      <c r="DAU12" s="41"/>
      <c r="DAV12" s="41"/>
      <c r="DAW12" s="41"/>
      <c r="DAX12" s="41"/>
      <c r="DAY12" s="41"/>
      <c r="DAZ12" s="41"/>
      <c r="DBA12" s="41"/>
      <c r="DBB12" s="41"/>
      <c r="DBC12" s="41"/>
      <c r="DBD12" s="41"/>
      <c r="DBE12" s="41"/>
      <c r="DBF12" s="41"/>
      <c r="DBG12" s="41"/>
      <c r="DBH12" s="41"/>
      <c r="DBI12" s="41"/>
      <c r="DBJ12" s="41"/>
      <c r="DBK12" s="41"/>
      <c r="DBL12" s="41"/>
      <c r="DBM12" s="41"/>
      <c r="DBN12" s="41"/>
      <c r="DBO12" s="41"/>
      <c r="DBP12" s="41"/>
      <c r="DBQ12" s="41"/>
      <c r="DBR12" s="41"/>
      <c r="DBS12" s="41"/>
      <c r="DBT12" s="41"/>
      <c r="DBU12" s="41"/>
      <c r="DBV12" s="41"/>
      <c r="DBW12" s="41"/>
      <c r="DBX12" s="41"/>
      <c r="DBY12" s="41"/>
      <c r="DBZ12" s="41"/>
      <c r="DCA12" s="41"/>
      <c r="DCB12" s="41"/>
      <c r="DCC12" s="41"/>
      <c r="DCD12" s="41"/>
      <c r="DCE12" s="41"/>
      <c r="DCF12" s="41"/>
      <c r="DCG12" s="41"/>
      <c r="DCH12" s="41"/>
      <c r="DCI12" s="41"/>
      <c r="DCJ12" s="41"/>
      <c r="DCK12" s="41"/>
      <c r="DCL12" s="41"/>
      <c r="DCM12" s="41"/>
      <c r="DCN12" s="41"/>
      <c r="DCO12" s="41"/>
      <c r="DCP12" s="41"/>
      <c r="DCQ12" s="41"/>
      <c r="DCR12" s="41"/>
      <c r="DCS12" s="41"/>
      <c r="DCT12" s="41"/>
      <c r="DCU12" s="41"/>
      <c r="DCV12" s="41"/>
      <c r="DCW12" s="41"/>
      <c r="DCX12" s="41"/>
      <c r="DCY12" s="41"/>
      <c r="DCZ12" s="41"/>
      <c r="DDA12" s="41"/>
      <c r="DDB12" s="41"/>
      <c r="DDC12" s="41"/>
      <c r="DDD12" s="41"/>
      <c r="DDE12" s="41"/>
      <c r="DDF12" s="41"/>
      <c r="DDG12" s="41"/>
      <c r="DDH12" s="41"/>
      <c r="DDI12" s="41"/>
      <c r="DDJ12" s="41"/>
      <c r="DDK12" s="41"/>
      <c r="DDL12" s="41"/>
      <c r="DDM12" s="41"/>
      <c r="DDN12" s="41"/>
      <c r="DDO12" s="41"/>
      <c r="DDP12" s="41"/>
      <c r="DDQ12" s="41"/>
      <c r="DDR12" s="41"/>
      <c r="DDS12" s="41"/>
      <c r="DDT12" s="41"/>
      <c r="DDU12" s="41"/>
      <c r="DDV12" s="41"/>
      <c r="DDW12" s="41"/>
      <c r="DDX12" s="41"/>
      <c r="DDY12" s="41"/>
      <c r="DDZ12" s="41"/>
      <c r="DEA12" s="41"/>
      <c r="DEB12" s="41"/>
      <c r="DEC12" s="41"/>
      <c r="DED12" s="41"/>
      <c r="DEE12" s="41"/>
      <c r="DEF12" s="41"/>
      <c r="DEG12" s="41"/>
      <c r="DEH12" s="41"/>
      <c r="DEI12" s="41"/>
      <c r="DEJ12" s="41"/>
      <c r="DEK12" s="41"/>
      <c r="DEL12" s="41"/>
      <c r="DEM12" s="41"/>
      <c r="DEN12" s="41"/>
      <c r="DEO12" s="41"/>
      <c r="DEP12" s="41"/>
      <c r="DEQ12" s="41"/>
      <c r="DER12" s="41"/>
      <c r="DES12" s="41"/>
      <c r="DET12" s="41"/>
      <c r="DEU12" s="41"/>
      <c r="DEV12" s="41"/>
      <c r="DEW12" s="41"/>
      <c r="DEX12" s="41"/>
      <c r="DEY12" s="41"/>
      <c r="DEZ12" s="41"/>
      <c r="DFA12" s="41"/>
      <c r="DFB12" s="41"/>
      <c r="DFC12" s="41"/>
      <c r="DFD12" s="41"/>
      <c r="DFE12" s="41"/>
      <c r="DFF12" s="41"/>
      <c r="DFG12" s="41"/>
      <c r="DFH12" s="41"/>
      <c r="DFI12" s="41"/>
      <c r="DFJ12" s="41"/>
      <c r="DFK12" s="41"/>
      <c r="DFL12" s="41"/>
      <c r="DFM12" s="41"/>
      <c r="DFN12" s="41"/>
      <c r="DFO12" s="41"/>
      <c r="DFP12" s="41"/>
      <c r="DFQ12" s="41"/>
      <c r="DFR12" s="41"/>
      <c r="DFS12" s="41"/>
      <c r="DFT12" s="41"/>
      <c r="DFU12" s="41"/>
      <c r="DFV12" s="41"/>
      <c r="DFW12" s="41"/>
      <c r="DFX12" s="41"/>
      <c r="DFY12" s="41"/>
      <c r="DFZ12" s="41"/>
      <c r="DGA12" s="41"/>
      <c r="DGB12" s="41"/>
      <c r="DGC12" s="41"/>
      <c r="DGD12" s="41"/>
      <c r="DGE12" s="41"/>
      <c r="DGF12" s="41"/>
      <c r="DGG12" s="41"/>
      <c r="DGH12" s="41"/>
      <c r="DGI12" s="41"/>
      <c r="DGJ12" s="41"/>
      <c r="DGK12" s="41"/>
      <c r="DGL12" s="41"/>
      <c r="DGM12" s="41"/>
      <c r="DGN12" s="41"/>
      <c r="DGO12" s="41"/>
      <c r="DGP12" s="41"/>
      <c r="DGQ12" s="41"/>
      <c r="DGR12" s="41"/>
      <c r="DGS12" s="41"/>
      <c r="DGT12" s="41"/>
      <c r="DGU12" s="41"/>
      <c r="DGV12" s="41"/>
      <c r="DGW12" s="41"/>
      <c r="DGX12" s="41"/>
      <c r="DGY12" s="41"/>
      <c r="DGZ12" s="41"/>
      <c r="DHA12" s="41"/>
      <c r="DHB12" s="41"/>
      <c r="DHC12" s="41"/>
      <c r="DHD12" s="41"/>
      <c r="DHE12" s="41"/>
      <c r="DHF12" s="41"/>
      <c r="DHG12" s="41"/>
      <c r="DHH12" s="41"/>
      <c r="DHI12" s="41"/>
      <c r="DHJ12" s="41"/>
      <c r="DHK12" s="41"/>
      <c r="DHL12" s="41"/>
      <c r="DHM12" s="41"/>
      <c r="DHN12" s="41"/>
      <c r="DHO12" s="41"/>
      <c r="DHP12" s="41"/>
      <c r="DHQ12" s="41"/>
      <c r="DHR12" s="41"/>
      <c r="DHS12" s="41"/>
      <c r="DHT12" s="41"/>
      <c r="DHU12" s="41"/>
      <c r="DHV12" s="41"/>
      <c r="DHW12" s="41"/>
      <c r="DHX12" s="41"/>
      <c r="DHY12" s="41"/>
      <c r="DHZ12" s="41"/>
      <c r="DIA12" s="41"/>
      <c r="DIB12" s="41"/>
      <c r="DIC12" s="41"/>
      <c r="DID12" s="41"/>
      <c r="DIE12" s="41"/>
      <c r="DIF12" s="41"/>
      <c r="DIG12" s="41"/>
      <c r="DIH12" s="41"/>
      <c r="DII12" s="41"/>
      <c r="DIJ12" s="41"/>
      <c r="DIK12" s="41"/>
      <c r="DIL12" s="41"/>
      <c r="DIM12" s="41"/>
      <c r="DIN12" s="41"/>
      <c r="DIO12" s="41"/>
      <c r="DIP12" s="41"/>
      <c r="DIQ12" s="41"/>
      <c r="DIR12" s="41"/>
      <c r="DIS12" s="41"/>
      <c r="DIT12" s="41"/>
      <c r="DIU12" s="41"/>
      <c r="DIV12" s="41"/>
      <c r="DIW12" s="41"/>
      <c r="DIX12" s="41"/>
      <c r="DIY12" s="41"/>
      <c r="DIZ12" s="41"/>
      <c r="DJA12" s="41"/>
      <c r="DJB12" s="41"/>
      <c r="DJC12" s="41"/>
      <c r="DJD12" s="41"/>
      <c r="DJE12" s="41"/>
      <c r="DJF12" s="41"/>
      <c r="DJG12" s="41"/>
      <c r="DJH12" s="41"/>
      <c r="DJI12" s="41"/>
      <c r="DJJ12" s="41"/>
      <c r="DJK12" s="41"/>
      <c r="DJL12" s="41"/>
      <c r="DJM12" s="41"/>
      <c r="DJN12" s="41"/>
      <c r="DJO12" s="41"/>
      <c r="DJP12" s="41"/>
      <c r="DJQ12" s="41"/>
      <c r="DJR12" s="41"/>
      <c r="DJS12" s="41"/>
      <c r="DJT12" s="41"/>
      <c r="DJU12" s="41"/>
      <c r="DJV12" s="41"/>
      <c r="DJW12" s="41"/>
      <c r="DJX12" s="41"/>
      <c r="DJY12" s="41"/>
      <c r="DJZ12" s="41"/>
      <c r="DKA12" s="41"/>
      <c r="DKB12" s="41"/>
      <c r="DKC12" s="41"/>
      <c r="DKD12" s="41"/>
      <c r="DKE12" s="41"/>
      <c r="DKF12" s="41"/>
      <c r="DKG12" s="41"/>
      <c r="DKH12" s="41"/>
      <c r="DKI12" s="41"/>
      <c r="DKJ12" s="41"/>
      <c r="DKK12" s="41"/>
      <c r="DKL12" s="41"/>
      <c r="DKM12" s="41"/>
      <c r="DKN12" s="41"/>
      <c r="DKO12" s="41"/>
      <c r="DKP12" s="41"/>
      <c r="DKQ12" s="41"/>
      <c r="DKR12" s="41"/>
      <c r="DKS12" s="41"/>
      <c r="DKT12" s="41"/>
      <c r="DKU12" s="41"/>
      <c r="DKV12" s="41"/>
      <c r="DKW12" s="41"/>
      <c r="DKX12" s="41"/>
      <c r="DKY12" s="41"/>
      <c r="DKZ12" s="41"/>
      <c r="DLA12" s="41"/>
      <c r="DLB12" s="41"/>
      <c r="DLC12" s="41"/>
      <c r="DLD12" s="41"/>
      <c r="DLE12" s="41"/>
      <c r="DLF12" s="41"/>
      <c r="DLG12" s="41"/>
      <c r="DLH12" s="41"/>
      <c r="DLI12" s="41"/>
      <c r="DLJ12" s="41"/>
      <c r="DLK12" s="41"/>
      <c r="DLL12" s="41"/>
      <c r="DLM12" s="41"/>
      <c r="DLN12" s="41"/>
      <c r="DLO12" s="41"/>
      <c r="DLP12" s="41"/>
      <c r="DLQ12" s="41"/>
      <c r="DLR12" s="41"/>
      <c r="DLS12" s="41"/>
      <c r="DLT12" s="41"/>
      <c r="DLU12" s="41"/>
      <c r="DLV12" s="41"/>
      <c r="DLW12" s="41"/>
      <c r="DLX12" s="41"/>
      <c r="DLY12" s="41"/>
      <c r="DLZ12" s="41"/>
      <c r="DMA12" s="41"/>
      <c r="DMB12" s="41"/>
      <c r="DMC12" s="41"/>
      <c r="DMD12" s="41"/>
      <c r="DME12" s="41"/>
      <c r="DMF12" s="41"/>
      <c r="DMG12" s="41"/>
      <c r="DMH12" s="41"/>
      <c r="DMI12" s="41"/>
      <c r="DMJ12" s="41"/>
      <c r="DMK12" s="41"/>
      <c r="DML12" s="41"/>
      <c r="DMM12" s="41"/>
      <c r="DMN12" s="41"/>
      <c r="DMO12" s="41"/>
      <c r="DMP12" s="41"/>
      <c r="DMQ12" s="41"/>
      <c r="DMR12" s="41"/>
      <c r="DMS12" s="41"/>
      <c r="DMT12" s="41"/>
      <c r="DMU12" s="41"/>
      <c r="DMV12" s="41"/>
      <c r="DMW12" s="41"/>
      <c r="DMX12" s="41"/>
      <c r="DMY12" s="41"/>
      <c r="DMZ12" s="41"/>
      <c r="DNA12" s="41"/>
      <c r="DNB12" s="41"/>
      <c r="DNC12" s="41"/>
      <c r="DND12" s="41"/>
      <c r="DNE12" s="41"/>
      <c r="DNF12" s="41"/>
      <c r="DNG12" s="41"/>
      <c r="DNH12" s="41"/>
      <c r="DNI12" s="41"/>
      <c r="DNJ12" s="41"/>
      <c r="DNK12" s="41"/>
      <c r="DNL12" s="41"/>
      <c r="DNM12" s="41"/>
      <c r="DNN12" s="41"/>
      <c r="DNO12" s="41"/>
      <c r="DNP12" s="41"/>
      <c r="DNQ12" s="41"/>
      <c r="DNR12" s="41"/>
      <c r="DNS12" s="41"/>
      <c r="DNT12" s="41"/>
      <c r="DNU12" s="41"/>
      <c r="DNV12" s="41"/>
      <c r="DNW12" s="41"/>
      <c r="DNX12" s="41"/>
      <c r="DNY12" s="41"/>
      <c r="DNZ12" s="41"/>
      <c r="DOA12" s="41"/>
      <c r="DOB12" s="41"/>
      <c r="DOC12" s="41"/>
      <c r="DOD12" s="41"/>
      <c r="DOE12" s="41"/>
      <c r="DOF12" s="41"/>
      <c r="DOG12" s="41"/>
      <c r="DOH12" s="41"/>
      <c r="DOI12" s="41"/>
      <c r="DOJ12" s="41"/>
      <c r="DOK12" s="41"/>
      <c r="DOL12" s="41"/>
      <c r="DOM12" s="41"/>
      <c r="DON12" s="41"/>
      <c r="DOO12" s="41"/>
      <c r="DOP12" s="41"/>
      <c r="DOQ12" s="41"/>
      <c r="DOR12" s="41"/>
      <c r="DOS12" s="41"/>
      <c r="DOT12" s="41"/>
      <c r="DOU12" s="41"/>
      <c r="DOV12" s="41"/>
      <c r="DOW12" s="41"/>
      <c r="DOX12" s="41"/>
      <c r="DOY12" s="41"/>
      <c r="DOZ12" s="41"/>
      <c r="DPA12" s="41"/>
      <c r="DPB12" s="41"/>
      <c r="DPC12" s="41"/>
      <c r="DPD12" s="41"/>
      <c r="DPE12" s="41"/>
      <c r="DPF12" s="41"/>
      <c r="DPG12" s="41"/>
      <c r="DPH12" s="41"/>
      <c r="DPI12" s="41"/>
      <c r="DPJ12" s="41"/>
      <c r="DPK12" s="41"/>
      <c r="DPL12" s="41"/>
      <c r="DPM12" s="41"/>
      <c r="DPN12" s="41"/>
      <c r="DPO12" s="41"/>
      <c r="DPP12" s="41"/>
      <c r="DPQ12" s="41"/>
      <c r="DPR12" s="41"/>
      <c r="DPS12" s="41"/>
      <c r="DPT12" s="41"/>
      <c r="DPU12" s="41"/>
      <c r="DPV12" s="41"/>
      <c r="DPW12" s="41"/>
      <c r="DPX12" s="41"/>
      <c r="DPY12" s="41"/>
      <c r="DPZ12" s="41"/>
      <c r="DQA12" s="41"/>
      <c r="DQB12" s="41"/>
      <c r="DQC12" s="41"/>
      <c r="DQD12" s="41"/>
      <c r="DQE12" s="41"/>
      <c r="DQF12" s="41"/>
      <c r="DQG12" s="41"/>
      <c r="DQH12" s="41"/>
      <c r="DQI12" s="41"/>
      <c r="DQJ12" s="41"/>
      <c r="DQK12" s="41"/>
      <c r="DQL12" s="41"/>
      <c r="DQM12" s="41"/>
      <c r="DQN12" s="41"/>
      <c r="DQO12" s="41"/>
      <c r="DQP12" s="41"/>
      <c r="DQQ12" s="41"/>
      <c r="DQR12" s="41"/>
      <c r="DQS12" s="41"/>
      <c r="DQT12" s="41"/>
      <c r="DQU12" s="41"/>
      <c r="DQV12" s="41"/>
      <c r="DQW12" s="41"/>
      <c r="DQX12" s="41"/>
      <c r="DQY12" s="41"/>
      <c r="DQZ12" s="41"/>
      <c r="DRA12" s="41"/>
      <c r="DRB12" s="41"/>
      <c r="DRC12" s="41"/>
      <c r="DRD12" s="41"/>
      <c r="DRE12" s="41"/>
      <c r="DRF12" s="41"/>
      <c r="DRG12" s="41"/>
      <c r="DRH12" s="41"/>
      <c r="DRI12" s="41"/>
      <c r="DRJ12" s="41"/>
      <c r="DRK12" s="41"/>
      <c r="DRL12" s="41"/>
      <c r="DRM12" s="41"/>
      <c r="DRN12" s="41"/>
      <c r="DRO12" s="41"/>
      <c r="DRP12" s="41"/>
      <c r="DRQ12" s="41"/>
      <c r="DRR12" s="41"/>
      <c r="DRS12" s="41"/>
      <c r="DRT12" s="41"/>
      <c r="DRU12" s="41"/>
      <c r="DRV12" s="41"/>
      <c r="DRW12" s="41"/>
      <c r="DRX12" s="41"/>
      <c r="DRY12" s="41"/>
      <c r="DRZ12" s="41"/>
      <c r="DSA12" s="41"/>
      <c r="DSB12" s="41"/>
      <c r="DSC12" s="41"/>
      <c r="DSD12" s="41"/>
      <c r="DSE12" s="41"/>
      <c r="DSF12" s="41"/>
      <c r="DSG12" s="41"/>
      <c r="DSH12" s="41"/>
      <c r="DSI12" s="41"/>
      <c r="DSJ12" s="41"/>
      <c r="DSK12" s="41"/>
      <c r="DSL12" s="41"/>
      <c r="DSM12" s="41"/>
      <c r="DSN12" s="41"/>
      <c r="DSO12" s="41"/>
      <c r="DSP12" s="41"/>
      <c r="DSQ12" s="41"/>
      <c r="DSR12" s="41"/>
      <c r="DSS12" s="41"/>
      <c r="DST12" s="41"/>
      <c r="DSU12" s="41"/>
      <c r="DSV12" s="41"/>
      <c r="DSW12" s="41"/>
      <c r="DSX12" s="41"/>
      <c r="DSY12" s="41"/>
      <c r="DSZ12" s="41"/>
      <c r="DTA12" s="41"/>
      <c r="DTB12" s="41"/>
      <c r="DTC12" s="41"/>
      <c r="DTD12" s="41"/>
      <c r="DTE12" s="41"/>
      <c r="DTF12" s="41"/>
      <c r="DTG12" s="41"/>
      <c r="DTH12" s="41"/>
      <c r="DTI12" s="41"/>
      <c r="DTJ12" s="41"/>
      <c r="DTK12" s="41"/>
      <c r="DTL12" s="41"/>
      <c r="DTM12" s="41"/>
      <c r="DTN12" s="41"/>
      <c r="DTO12" s="41"/>
      <c r="DTP12" s="41"/>
      <c r="DTQ12" s="41"/>
      <c r="DTR12" s="41"/>
      <c r="DTS12" s="41"/>
      <c r="DTT12" s="41"/>
      <c r="DTU12" s="41"/>
      <c r="DTV12" s="41"/>
      <c r="DTW12" s="41"/>
      <c r="DTX12" s="41"/>
      <c r="DTY12" s="41"/>
      <c r="DTZ12" s="41"/>
      <c r="DUA12" s="41"/>
      <c r="DUB12" s="41"/>
      <c r="DUC12" s="41"/>
      <c r="DUD12" s="41"/>
      <c r="DUE12" s="41"/>
      <c r="DUF12" s="41"/>
      <c r="DUG12" s="41"/>
      <c r="DUH12" s="41"/>
      <c r="DUI12" s="41"/>
      <c r="DUJ12" s="41"/>
      <c r="DUK12" s="41"/>
      <c r="DUL12" s="41"/>
      <c r="DUM12" s="41"/>
      <c r="DUN12" s="41"/>
      <c r="DUO12" s="41"/>
      <c r="DUP12" s="41"/>
      <c r="DUQ12" s="41"/>
      <c r="DUR12" s="41"/>
      <c r="DUS12" s="41"/>
      <c r="DUT12" s="41"/>
      <c r="DUU12" s="41"/>
      <c r="DUV12" s="41"/>
      <c r="DUW12" s="41"/>
      <c r="DUX12" s="41"/>
      <c r="DUY12" s="41"/>
      <c r="DUZ12" s="41"/>
      <c r="DVA12" s="41"/>
      <c r="DVB12" s="41"/>
      <c r="DVC12" s="41"/>
      <c r="DVD12" s="41"/>
      <c r="DVE12" s="41"/>
      <c r="DVF12" s="41"/>
      <c r="DVG12" s="41"/>
      <c r="DVH12" s="41"/>
      <c r="DVI12" s="41"/>
      <c r="DVJ12" s="41"/>
      <c r="DVK12" s="41"/>
      <c r="DVL12" s="41"/>
      <c r="DVM12" s="41"/>
      <c r="DVN12" s="41"/>
      <c r="DVO12" s="41"/>
      <c r="DVP12" s="41"/>
      <c r="DVQ12" s="41"/>
      <c r="DVR12" s="41"/>
      <c r="DVS12" s="41"/>
      <c r="DVT12" s="41"/>
      <c r="DVU12" s="41"/>
      <c r="DVV12" s="41"/>
      <c r="DVW12" s="41"/>
      <c r="DVX12" s="41"/>
      <c r="DVY12" s="41"/>
      <c r="DVZ12" s="41"/>
      <c r="DWA12" s="41"/>
      <c r="DWB12" s="41"/>
      <c r="DWC12" s="41"/>
      <c r="DWD12" s="41"/>
      <c r="DWE12" s="41"/>
      <c r="DWF12" s="41"/>
      <c r="DWG12" s="41"/>
      <c r="DWH12" s="41"/>
      <c r="DWI12" s="41"/>
      <c r="DWJ12" s="41"/>
      <c r="DWK12" s="41"/>
      <c r="DWL12" s="41"/>
      <c r="DWM12" s="41"/>
      <c r="DWN12" s="41"/>
      <c r="DWO12" s="41"/>
      <c r="DWP12" s="41"/>
      <c r="DWQ12" s="41"/>
      <c r="DWR12" s="41"/>
      <c r="DWS12" s="41"/>
      <c r="DWT12" s="41"/>
      <c r="DWU12" s="41"/>
      <c r="DWV12" s="41"/>
      <c r="DWW12" s="41"/>
      <c r="DWX12" s="41"/>
      <c r="DWY12" s="41"/>
      <c r="DWZ12" s="41"/>
      <c r="DXA12" s="41"/>
      <c r="DXB12" s="41"/>
      <c r="DXC12" s="41"/>
      <c r="DXD12" s="41"/>
      <c r="DXE12" s="41"/>
      <c r="DXF12" s="41"/>
      <c r="DXG12" s="41"/>
      <c r="DXH12" s="41"/>
      <c r="DXI12" s="41"/>
      <c r="DXJ12" s="41"/>
      <c r="DXK12" s="41"/>
      <c r="DXL12" s="41"/>
      <c r="DXM12" s="41"/>
      <c r="DXN12" s="41"/>
      <c r="DXO12" s="41"/>
      <c r="DXP12" s="41"/>
      <c r="DXQ12" s="41"/>
      <c r="DXR12" s="41"/>
      <c r="DXS12" s="41"/>
      <c r="DXT12" s="41"/>
      <c r="DXU12" s="41"/>
      <c r="DXV12" s="41"/>
      <c r="DXW12" s="41"/>
      <c r="DXX12" s="41"/>
      <c r="DXY12" s="41"/>
      <c r="DXZ12" s="41"/>
      <c r="DYA12" s="41"/>
      <c r="DYB12" s="41"/>
      <c r="DYC12" s="41"/>
      <c r="DYD12" s="41"/>
      <c r="DYE12" s="41"/>
      <c r="DYF12" s="41"/>
      <c r="DYG12" s="41"/>
      <c r="DYH12" s="41"/>
      <c r="DYI12" s="41"/>
      <c r="DYJ12" s="41"/>
      <c r="DYK12" s="41"/>
      <c r="DYL12" s="41"/>
      <c r="DYM12" s="41"/>
      <c r="DYN12" s="41"/>
      <c r="DYO12" s="41"/>
      <c r="DYP12" s="41"/>
      <c r="DYQ12" s="41"/>
      <c r="DYR12" s="41"/>
      <c r="DYS12" s="41"/>
      <c r="DYT12" s="41"/>
      <c r="DYU12" s="41"/>
      <c r="DYV12" s="41"/>
      <c r="DYW12" s="41"/>
      <c r="DYX12" s="41"/>
      <c r="DYY12" s="41"/>
      <c r="DYZ12" s="41"/>
      <c r="DZA12" s="41"/>
      <c r="DZB12" s="41"/>
      <c r="DZC12" s="41"/>
      <c r="DZD12" s="41"/>
      <c r="DZE12" s="41"/>
      <c r="DZF12" s="41"/>
      <c r="DZG12" s="41"/>
      <c r="DZH12" s="41"/>
      <c r="DZI12" s="41"/>
      <c r="DZJ12" s="41"/>
      <c r="DZK12" s="41"/>
      <c r="DZL12" s="41"/>
      <c r="DZM12" s="41"/>
      <c r="DZN12" s="41"/>
      <c r="DZO12" s="41"/>
      <c r="DZP12" s="41"/>
      <c r="DZQ12" s="41"/>
      <c r="DZR12" s="41"/>
      <c r="DZS12" s="41"/>
      <c r="DZT12" s="41"/>
      <c r="DZU12" s="41"/>
      <c r="DZV12" s="41"/>
      <c r="DZW12" s="41"/>
      <c r="DZX12" s="41"/>
      <c r="DZY12" s="41"/>
      <c r="DZZ12" s="41"/>
      <c r="EAA12" s="41"/>
      <c r="EAB12" s="41"/>
      <c r="EAC12" s="41"/>
      <c r="EAD12" s="41"/>
      <c r="EAE12" s="41"/>
      <c r="EAF12" s="41"/>
      <c r="EAG12" s="41"/>
      <c r="EAH12" s="41"/>
      <c r="EAI12" s="41"/>
      <c r="EAJ12" s="41"/>
      <c r="EAK12" s="41"/>
      <c r="EAL12" s="41"/>
      <c r="EAM12" s="41"/>
      <c r="EAN12" s="41"/>
      <c r="EAO12" s="41"/>
      <c r="EAP12" s="41"/>
      <c r="EAQ12" s="41"/>
      <c r="EAR12" s="41"/>
      <c r="EAS12" s="41"/>
      <c r="EAT12" s="41"/>
      <c r="EAU12" s="41"/>
      <c r="EAV12" s="41"/>
      <c r="EAW12" s="41"/>
      <c r="EAX12" s="41"/>
      <c r="EAY12" s="41"/>
      <c r="EAZ12" s="41"/>
      <c r="EBA12" s="41"/>
      <c r="EBB12" s="41"/>
      <c r="EBC12" s="41"/>
      <c r="EBD12" s="41"/>
      <c r="EBE12" s="41"/>
      <c r="EBF12" s="41"/>
      <c r="EBG12" s="41"/>
      <c r="EBH12" s="41"/>
      <c r="EBI12" s="41"/>
      <c r="EBJ12" s="41"/>
      <c r="EBK12" s="41"/>
      <c r="EBL12" s="41"/>
      <c r="EBM12" s="41"/>
      <c r="EBN12" s="41"/>
      <c r="EBO12" s="41"/>
      <c r="EBP12" s="41"/>
      <c r="EBQ12" s="41"/>
      <c r="EBR12" s="41"/>
      <c r="EBS12" s="41"/>
      <c r="EBT12" s="41"/>
      <c r="EBU12" s="41"/>
      <c r="EBV12" s="41"/>
      <c r="EBW12" s="41"/>
      <c r="EBX12" s="41"/>
      <c r="EBY12" s="41"/>
      <c r="EBZ12" s="41"/>
      <c r="ECA12" s="41"/>
      <c r="ECB12" s="41"/>
      <c r="ECC12" s="41"/>
      <c r="ECD12" s="41"/>
      <c r="ECE12" s="41"/>
      <c r="ECF12" s="41"/>
      <c r="ECG12" s="41"/>
      <c r="ECH12" s="41"/>
      <c r="ECI12" s="41"/>
      <c r="ECJ12" s="41"/>
      <c r="ECK12" s="41"/>
      <c r="ECL12" s="41"/>
      <c r="ECM12" s="41"/>
      <c r="ECN12" s="41"/>
      <c r="ECO12" s="41"/>
      <c r="ECP12" s="41"/>
      <c r="ECQ12" s="41"/>
      <c r="ECR12" s="41"/>
      <c r="ECS12" s="41"/>
      <c r="ECT12" s="41"/>
      <c r="ECU12" s="41"/>
      <c r="ECV12" s="41"/>
      <c r="ECW12" s="41"/>
      <c r="ECX12" s="41"/>
      <c r="ECY12" s="41"/>
      <c r="ECZ12" s="41"/>
      <c r="EDA12" s="41"/>
      <c r="EDB12" s="41"/>
      <c r="EDC12" s="41"/>
      <c r="EDD12" s="41"/>
      <c r="EDE12" s="41"/>
      <c r="EDF12" s="41"/>
      <c r="EDG12" s="41"/>
      <c r="EDH12" s="41"/>
      <c r="EDI12" s="41"/>
      <c r="EDJ12" s="41"/>
      <c r="EDK12" s="41"/>
      <c r="EDL12" s="41"/>
      <c r="EDM12" s="41"/>
      <c r="EDN12" s="41"/>
      <c r="EDO12" s="41"/>
      <c r="EDP12" s="41"/>
      <c r="EDQ12" s="41"/>
      <c r="EDR12" s="41"/>
      <c r="EDS12" s="41"/>
      <c r="EDT12" s="41"/>
      <c r="EDU12" s="41"/>
      <c r="EDV12" s="41"/>
      <c r="EDW12" s="41"/>
      <c r="EDX12" s="41"/>
      <c r="EDY12" s="41"/>
      <c r="EDZ12" s="41"/>
      <c r="EEA12" s="41"/>
      <c r="EEB12" s="41"/>
      <c r="EEC12" s="41"/>
      <c r="EED12" s="41"/>
      <c r="EEE12" s="41"/>
      <c r="EEF12" s="41"/>
      <c r="EEG12" s="41"/>
      <c r="EEH12" s="41"/>
      <c r="EEI12" s="41"/>
      <c r="EEJ12" s="41"/>
      <c r="EEK12" s="41"/>
      <c r="EEL12" s="41"/>
      <c r="EEM12" s="41"/>
      <c r="EEN12" s="41"/>
      <c r="EEO12" s="41"/>
      <c r="EEP12" s="41"/>
      <c r="EEQ12" s="41"/>
      <c r="EER12" s="41"/>
      <c r="EES12" s="41"/>
      <c r="EET12" s="41"/>
      <c r="EEU12" s="41"/>
      <c r="EEV12" s="41"/>
      <c r="EEW12" s="41"/>
      <c r="EEX12" s="41"/>
      <c r="EEY12" s="41"/>
      <c r="EEZ12" s="41"/>
      <c r="EFA12" s="41"/>
      <c r="EFB12" s="41"/>
      <c r="EFC12" s="41"/>
      <c r="EFD12" s="41"/>
      <c r="EFE12" s="41"/>
      <c r="EFF12" s="41"/>
      <c r="EFG12" s="41"/>
      <c r="EFH12" s="41"/>
      <c r="EFI12" s="41"/>
      <c r="EFJ12" s="41"/>
      <c r="EFK12" s="41"/>
      <c r="EFL12" s="41"/>
      <c r="EFM12" s="41"/>
      <c r="EFN12" s="41"/>
      <c r="EFO12" s="41"/>
      <c r="EFP12" s="41"/>
      <c r="EFQ12" s="41"/>
      <c r="EFR12" s="41"/>
      <c r="EFS12" s="41"/>
      <c r="EFT12" s="41"/>
      <c r="EFU12" s="41"/>
      <c r="EFV12" s="41"/>
      <c r="EFW12" s="41"/>
      <c r="EFX12" s="41"/>
      <c r="EFY12" s="41"/>
      <c r="EFZ12" s="41"/>
      <c r="EGA12" s="41"/>
      <c r="EGB12" s="41"/>
      <c r="EGC12" s="41"/>
      <c r="EGD12" s="41"/>
      <c r="EGE12" s="41"/>
      <c r="EGF12" s="41"/>
      <c r="EGG12" s="41"/>
      <c r="EGH12" s="41"/>
      <c r="EGI12" s="41"/>
      <c r="EGJ12" s="41"/>
      <c r="EGK12" s="41"/>
      <c r="EGL12" s="41"/>
      <c r="EGM12" s="41"/>
      <c r="EGN12" s="41"/>
      <c r="EGO12" s="41"/>
      <c r="EGP12" s="41"/>
      <c r="EGQ12" s="41"/>
      <c r="EGR12" s="41"/>
      <c r="EGS12" s="41"/>
      <c r="EGT12" s="41"/>
      <c r="EGU12" s="41"/>
      <c r="EGV12" s="41"/>
      <c r="EGW12" s="41"/>
      <c r="EGX12" s="41"/>
      <c r="EGY12" s="41"/>
      <c r="EGZ12" s="41"/>
      <c r="EHA12" s="41"/>
      <c r="EHB12" s="41"/>
      <c r="EHC12" s="41"/>
      <c r="EHD12" s="41"/>
      <c r="EHE12" s="41"/>
      <c r="EHF12" s="41"/>
      <c r="EHG12" s="41"/>
      <c r="EHH12" s="41"/>
      <c r="EHI12" s="41"/>
      <c r="EHJ12" s="41"/>
      <c r="EHK12" s="41"/>
      <c r="EHL12" s="41"/>
      <c r="EHM12" s="41"/>
      <c r="EHN12" s="41"/>
      <c r="EHO12" s="41"/>
      <c r="EHP12" s="41"/>
      <c r="EHQ12" s="41"/>
      <c r="EHR12" s="41"/>
      <c r="EHS12" s="41"/>
      <c r="EHT12" s="41"/>
      <c r="EHU12" s="41"/>
      <c r="EHV12" s="41"/>
      <c r="EHW12" s="41"/>
      <c r="EHX12" s="41"/>
      <c r="EHY12" s="41"/>
      <c r="EHZ12" s="41"/>
      <c r="EIA12" s="41"/>
      <c r="EIB12" s="41"/>
      <c r="EIC12" s="41"/>
      <c r="EID12" s="41"/>
      <c r="EIE12" s="41"/>
      <c r="EIF12" s="41"/>
      <c r="EIG12" s="41"/>
      <c r="EIH12" s="41"/>
      <c r="EII12" s="41"/>
      <c r="EIJ12" s="41"/>
      <c r="EIK12" s="41"/>
      <c r="EIL12" s="41"/>
      <c r="EIM12" s="41"/>
      <c r="EIN12" s="41"/>
      <c r="EIO12" s="41"/>
      <c r="EIP12" s="41"/>
      <c r="EIQ12" s="41"/>
      <c r="EIR12" s="41"/>
      <c r="EIS12" s="41"/>
      <c r="EIT12" s="41"/>
      <c r="EIU12" s="41"/>
      <c r="EIV12" s="41"/>
      <c r="EIW12" s="41"/>
      <c r="EIX12" s="41"/>
      <c r="EIY12" s="41"/>
      <c r="EIZ12" s="41"/>
      <c r="EJA12" s="41"/>
      <c r="EJB12" s="41"/>
      <c r="EJC12" s="41"/>
      <c r="EJD12" s="41"/>
      <c r="EJE12" s="41"/>
      <c r="EJF12" s="41"/>
      <c r="EJG12" s="41"/>
      <c r="EJH12" s="41"/>
      <c r="EJI12" s="41"/>
      <c r="EJJ12" s="41"/>
      <c r="EJK12" s="41"/>
      <c r="EJL12" s="41"/>
      <c r="EJM12" s="41"/>
      <c r="EJN12" s="41"/>
      <c r="EJO12" s="41"/>
      <c r="EJP12" s="41"/>
      <c r="EJQ12" s="41"/>
      <c r="EJR12" s="41"/>
      <c r="EJS12" s="41"/>
      <c r="EJT12" s="41"/>
      <c r="EJU12" s="41"/>
      <c r="EJV12" s="41"/>
      <c r="EJW12" s="41"/>
      <c r="EJX12" s="41"/>
      <c r="EJY12" s="41"/>
      <c r="EJZ12" s="41"/>
      <c r="EKA12" s="41"/>
      <c r="EKB12" s="41"/>
      <c r="EKC12" s="41"/>
      <c r="EKD12" s="41"/>
      <c r="EKE12" s="41"/>
      <c r="EKF12" s="41"/>
      <c r="EKG12" s="41"/>
      <c r="EKH12" s="41"/>
      <c r="EKI12" s="41"/>
      <c r="EKJ12" s="41"/>
      <c r="EKK12" s="41"/>
      <c r="EKL12" s="41"/>
      <c r="EKM12" s="41"/>
      <c r="EKN12" s="41"/>
      <c r="EKO12" s="41"/>
      <c r="EKP12" s="41"/>
      <c r="EKQ12" s="41"/>
      <c r="EKR12" s="41"/>
      <c r="EKS12" s="41"/>
      <c r="EKT12" s="41"/>
      <c r="EKU12" s="41"/>
      <c r="EKV12" s="41"/>
      <c r="EKW12" s="41"/>
      <c r="EKX12" s="41"/>
      <c r="EKY12" s="41"/>
      <c r="EKZ12" s="41"/>
      <c r="ELA12" s="41"/>
      <c r="ELB12" s="41"/>
      <c r="ELC12" s="41"/>
      <c r="ELD12" s="41"/>
      <c r="ELE12" s="41"/>
      <c r="ELF12" s="41"/>
      <c r="ELG12" s="41"/>
      <c r="ELH12" s="41"/>
      <c r="ELI12" s="41"/>
      <c r="ELJ12" s="41"/>
      <c r="ELK12" s="41"/>
      <c r="ELL12" s="41"/>
      <c r="ELM12" s="41"/>
      <c r="ELN12" s="41"/>
      <c r="ELO12" s="41"/>
      <c r="ELP12" s="41"/>
      <c r="ELQ12" s="41"/>
      <c r="ELR12" s="41"/>
      <c r="ELS12" s="41"/>
      <c r="ELT12" s="41"/>
      <c r="ELU12" s="41"/>
      <c r="ELV12" s="41"/>
      <c r="ELW12" s="41"/>
      <c r="ELX12" s="41"/>
      <c r="ELY12" s="41"/>
      <c r="ELZ12" s="41"/>
      <c r="EMA12" s="41"/>
      <c r="EMB12" s="41"/>
      <c r="EMC12" s="41"/>
      <c r="EMD12" s="41"/>
      <c r="EME12" s="41"/>
      <c r="EMF12" s="41"/>
      <c r="EMG12" s="41"/>
      <c r="EMH12" s="41"/>
      <c r="EMI12" s="41"/>
      <c r="EMJ12" s="41"/>
      <c r="EMK12" s="41"/>
      <c r="EML12" s="41"/>
      <c r="EMM12" s="41"/>
      <c r="EMN12" s="41"/>
      <c r="EMO12" s="41"/>
      <c r="EMP12" s="41"/>
      <c r="EMQ12" s="41"/>
      <c r="EMR12" s="41"/>
      <c r="EMS12" s="41"/>
      <c r="EMT12" s="41"/>
      <c r="EMU12" s="41"/>
      <c r="EMV12" s="41"/>
      <c r="EMW12" s="41"/>
      <c r="EMX12" s="41"/>
      <c r="EMY12" s="41"/>
      <c r="EMZ12" s="41"/>
      <c r="ENA12" s="41"/>
      <c r="ENB12" s="41"/>
      <c r="ENC12" s="41"/>
      <c r="END12" s="41"/>
      <c r="ENE12" s="41"/>
      <c r="ENF12" s="41"/>
      <c r="ENG12" s="41"/>
      <c r="ENH12" s="41"/>
      <c r="ENI12" s="41"/>
      <c r="ENJ12" s="41"/>
      <c r="ENK12" s="41"/>
      <c r="ENL12" s="41"/>
      <c r="ENM12" s="41"/>
      <c r="ENN12" s="41"/>
      <c r="ENO12" s="41"/>
      <c r="ENP12" s="41"/>
      <c r="ENQ12" s="41"/>
      <c r="ENR12" s="41"/>
      <c r="ENS12" s="41"/>
      <c r="ENT12" s="41"/>
      <c r="ENU12" s="41"/>
      <c r="ENV12" s="41"/>
      <c r="ENW12" s="41"/>
      <c r="ENX12" s="41"/>
      <c r="ENY12" s="41"/>
      <c r="ENZ12" s="41"/>
      <c r="EOA12" s="41"/>
      <c r="EOB12" s="41"/>
      <c r="EOC12" s="41"/>
      <c r="EOD12" s="41"/>
      <c r="EOE12" s="41"/>
      <c r="EOF12" s="41"/>
      <c r="EOG12" s="41"/>
      <c r="EOH12" s="41"/>
      <c r="EOI12" s="41"/>
      <c r="EOJ12" s="41"/>
      <c r="EOK12" s="41"/>
      <c r="EOL12" s="41"/>
      <c r="EOM12" s="41"/>
      <c r="EON12" s="41"/>
      <c r="EOO12" s="41"/>
      <c r="EOP12" s="41"/>
      <c r="EOQ12" s="41"/>
      <c r="EOR12" s="41"/>
      <c r="EOS12" s="41"/>
      <c r="EOT12" s="41"/>
      <c r="EOU12" s="41"/>
      <c r="EOV12" s="41"/>
      <c r="EOW12" s="41"/>
      <c r="EOX12" s="41"/>
      <c r="EOY12" s="41"/>
      <c r="EOZ12" s="41"/>
      <c r="EPA12" s="41"/>
      <c r="EPB12" s="41"/>
      <c r="EPC12" s="41"/>
      <c r="EPD12" s="41"/>
      <c r="EPE12" s="41"/>
      <c r="EPF12" s="41"/>
      <c r="EPG12" s="41"/>
      <c r="EPH12" s="41"/>
      <c r="EPI12" s="41"/>
      <c r="EPJ12" s="41"/>
      <c r="EPK12" s="41"/>
      <c r="EPL12" s="41"/>
      <c r="EPM12" s="41"/>
      <c r="EPN12" s="41"/>
      <c r="EPO12" s="41"/>
      <c r="EPP12" s="41"/>
      <c r="EPQ12" s="41"/>
      <c r="EPR12" s="41"/>
      <c r="EPS12" s="41"/>
      <c r="EPT12" s="41"/>
      <c r="EPU12" s="41"/>
      <c r="EPV12" s="41"/>
      <c r="EPW12" s="41"/>
      <c r="EPX12" s="41"/>
      <c r="EPY12" s="41"/>
      <c r="EPZ12" s="41"/>
      <c r="EQA12" s="41"/>
      <c r="EQB12" s="41"/>
      <c r="EQC12" s="41"/>
      <c r="EQD12" s="41"/>
      <c r="EQE12" s="41"/>
      <c r="EQF12" s="41"/>
      <c r="EQG12" s="41"/>
      <c r="EQH12" s="41"/>
      <c r="EQI12" s="41"/>
      <c r="EQJ12" s="41"/>
      <c r="EQK12" s="41"/>
      <c r="EQL12" s="41"/>
      <c r="EQM12" s="41"/>
      <c r="EQN12" s="41"/>
      <c r="EQO12" s="41"/>
      <c r="EQP12" s="41"/>
      <c r="EQQ12" s="41"/>
      <c r="EQR12" s="41"/>
      <c r="EQS12" s="41"/>
      <c r="EQT12" s="41"/>
      <c r="EQU12" s="41"/>
      <c r="EQV12" s="41"/>
      <c r="EQW12" s="41"/>
      <c r="EQX12" s="41"/>
      <c r="EQY12" s="41"/>
      <c r="EQZ12" s="41"/>
      <c r="ERA12" s="41"/>
      <c r="ERB12" s="41"/>
      <c r="ERC12" s="41"/>
      <c r="ERD12" s="41"/>
      <c r="ERE12" s="41"/>
      <c r="ERF12" s="41"/>
      <c r="ERG12" s="41"/>
      <c r="ERH12" s="41"/>
      <c r="ERI12" s="41"/>
      <c r="ERJ12" s="41"/>
      <c r="ERK12" s="41"/>
      <c r="ERL12" s="41"/>
      <c r="ERM12" s="41"/>
      <c r="ERN12" s="41"/>
      <c r="ERO12" s="41"/>
      <c r="ERP12" s="41"/>
      <c r="ERQ12" s="41"/>
      <c r="ERR12" s="41"/>
      <c r="ERS12" s="41"/>
      <c r="ERT12" s="41"/>
      <c r="ERU12" s="41"/>
      <c r="ERV12" s="41"/>
      <c r="ERW12" s="41"/>
      <c r="ERX12" s="41"/>
      <c r="ERY12" s="41"/>
      <c r="ERZ12" s="41"/>
      <c r="ESA12" s="41"/>
      <c r="ESB12" s="41"/>
      <c r="ESC12" s="41"/>
      <c r="ESD12" s="41"/>
      <c r="ESE12" s="41"/>
      <c r="ESF12" s="41"/>
      <c r="ESG12" s="41"/>
      <c r="ESH12" s="41"/>
      <c r="ESI12" s="41"/>
      <c r="ESJ12" s="41"/>
      <c r="ESK12" s="41"/>
      <c r="ESL12" s="41"/>
      <c r="ESM12" s="41"/>
      <c r="ESN12" s="41"/>
      <c r="ESO12" s="41"/>
      <c r="ESP12" s="41"/>
      <c r="ESQ12" s="41"/>
      <c r="ESR12" s="41"/>
      <c r="ESS12" s="41"/>
      <c r="EST12" s="41"/>
      <c r="ESU12" s="41"/>
      <c r="ESV12" s="41"/>
      <c r="ESW12" s="41"/>
      <c r="ESX12" s="41"/>
      <c r="ESY12" s="41"/>
      <c r="ESZ12" s="41"/>
      <c r="ETA12" s="41"/>
      <c r="ETB12" s="41"/>
      <c r="ETC12" s="41"/>
      <c r="ETD12" s="41"/>
      <c r="ETE12" s="41"/>
      <c r="ETF12" s="41"/>
      <c r="ETG12" s="41"/>
      <c r="ETH12" s="41"/>
      <c r="ETI12" s="41"/>
      <c r="ETJ12" s="41"/>
      <c r="ETK12" s="41"/>
      <c r="ETL12" s="41"/>
      <c r="ETM12" s="41"/>
      <c r="ETN12" s="41"/>
      <c r="ETO12" s="41"/>
      <c r="ETP12" s="41"/>
      <c r="ETQ12" s="41"/>
      <c r="ETR12" s="41"/>
      <c r="ETS12" s="41"/>
      <c r="ETT12" s="41"/>
      <c r="ETU12" s="41"/>
      <c r="ETV12" s="41"/>
      <c r="ETW12" s="41"/>
      <c r="ETX12" s="41"/>
      <c r="ETY12" s="41"/>
      <c r="ETZ12" s="41"/>
      <c r="EUA12" s="41"/>
      <c r="EUB12" s="41"/>
      <c r="EUC12" s="41"/>
      <c r="EUD12" s="41"/>
      <c r="EUE12" s="41"/>
      <c r="EUF12" s="41"/>
      <c r="EUG12" s="41"/>
      <c r="EUH12" s="41"/>
      <c r="EUI12" s="41"/>
      <c r="EUJ12" s="41"/>
      <c r="EUK12" s="41"/>
      <c r="EUL12" s="41"/>
      <c r="EUM12" s="41"/>
      <c r="EUN12" s="41"/>
      <c r="EUO12" s="41"/>
      <c r="EUP12" s="41"/>
      <c r="EUQ12" s="41"/>
      <c r="EUR12" s="41"/>
      <c r="EUS12" s="41"/>
      <c r="EUT12" s="41"/>
      <c r="EUU12" s="41"/>
      <c r="EUV12" s="41"/>
      <c r="EUW12" s="41"/>
      <c r="EUX12" s="41"/>
      <c r="EUY12" s="41"/>
      <c r="EUZ12" s="41"/>
      <c r="EVA12" s="41"/>
      <c r="EVB12" s="41"/>
      <c r="EVC12" s="41"/>
      <c r="EVD12" s="41"/>
      <c r="EVE12" s="41"/>
      <c r="EVF12" s="41"/>
      <c r="EVG12" s="41"/>
      <c r="EVH12" s="41"/>
      <c r="EVI12" s="41"/>
      <c r="EVJ12" s="41"/>
      <c r="EVK12" s="41"/>
      <c r="EVL12" s="41"/>
      <c r="EVM12" s="41"/>
      <c r="EVN12" s="41"/>
      <c r="EVO12" s="41"/>
      <c r="EVP12" s="41"/>
      <c r="EVQ12" s="41"/>
      <c r="EVR12" s="41"/>
      <c r="EVS12" s="41"/>
      <c r="EVT12" s="41"/>
      <c r="EVU12" s="41"/>
      <c r="EVV12" s="41"/>
      <c r="EVW12" s="41"/>
      <c r="EVX12" s="41"/>
      <c r="EVY12" s="41"/>
      <c r="EVZ12" s="41"/>
      <c r="EWA12" s="41"/>
      <c r="EWB12" s="41"/>
      <c r="EWC12" s="41"/>
      <c r="EWD12" s="41"/>
      <c r="EWE12" s="41"/>
      <c r="EWF12" s="41"/>
      <c r="EWG12" s="41"/>
      <c r="EWH12" s="41"/>
      <c r="EWI12" s="41"/>
      <c r="EWJ12" s="41"/>
      <c r="EWK12" s="41"/>
      <c r="EWL12" s="41"/>
      <c r="EWM12" s="41"/>
      <c r="EWN12" s="41"/>
      <c r="EWO12" s="41"/>
      <c r="EWP12" s="41"/>
      <c r="EWQ12" s="41"/>
      <c r="EWR12" s="41"/>
      <c r="EWS12" s="41"/>
      <c r="EWT12" s="41"/>
      <c r="EWU12" s="41"/>
      <c r="EWV12" s="41"/>
      <c r="EWW12" s="41"/>
      <c r="EWX12" s="41"/>
      <c r="EWY12" s="41"/>
      <c r="EWZ12" s="41"/>
      <c r="EXA12" s="41"/>
      <c r="EXB12" s="41"/>
      <c r="EXC12" s="41"/>
      <c r="EXD12" s="41"/>
      <c r="EXE12" s="41"/>
      <c r="EXF12" s="41"/>
      <c r="EXG12" s="41"/>
      <c r="EXH12" s="41"/>
      <c r="EXI12" s="41"/>
      <c r="EXJ12" s="41"/>
      <c r="EXK12" s="41"/>
      <c r="EXL12" s="41"/>
      <c r="EXM12" s="41"/>
      <c r="EXN12" s="41"/>
      <c r="EXO12" s="41"/>
      <c r="EXP12" s="41"/>
      <c r="EXQ12" s="41"/>
      <c r="EXR12" s="41"/>
      <c r="EXS12" s="41"/>
      <c r="EXT12" s="41"/>
      <c r="EXU12" s="41"/>
      <c r="EXV12" s="41"/>
      <c r="EXW12" s="41"/>
      <c r="EXX12" s="41"/>
      <c r="EXY12" s="41"/>
      <c r="EXZ12" s="41"/>
      <c r="EYA12" s="41"/>
      <c r="EYB12" s="41"/>
      <c r="EYC12" s="41"/>
      <c r="EYD12" s="41"/>
      <c r="EYE12" s="41"/>
      <c r="EYF12" s="41"/>
      <c r="EYG12" s="41"/>
      <c r="EYH12" s="41"/>
      <c r="EYI12" s="41"/>
      <c r="EYJ12" s="41"/>
      <c r="EYK12" s="41"/>
      <c r="EYL12" s="41"/>
      <c r="EYM12" s="41"/>
      <c r="EYN12" s="41"/>
      <c r="EYO12" s="41"/>
      <c r="EYP12" s="41"/>
      <c r="EYQ12" s="41"/>
      <c r="EYR12" s="41"/>
      <c r="EYS12" s="41"/>
      <c r="EYT12" s="41"/>
      <c r="EYU12" s="41"/>
      <c r="EYV12" s="41"/>
      <c r="EYW12" s="41"/>
      <c r="EYX12" s="41"/>
      <c r="EYY12" s="41"/>
      <c r="EYZ12" s="41"/>
      <c r="EZA12" s="41"/>
      <c r="EZB12" s="41"/>
      <c r="EZC12" s="41"/>
      <c r="EZD12" s="41"/>
      <c r="EZE12" s="41"/>
      <c r="EZF12" s="41"/>
      <c r="EZG12" s="41"/>
      <c r="EZH12" s="41"/>
      <c r="EZI12" s="41"/>
      <c r="EZJ12" s="41"/>
      <c r="EZK12" s="41"/>
      <c r="EZL12" s="41"/>
      <c r="EZM12" s="41"/>
      <c r="EZN12" s="41"/>
      <c r="EZO12" s="41"/>
      <c r="EZP12" s="41"/>
      <c r="EZQ12" s="41"/>
      <c r="EZR12" s="41"/>
      <c r="EZS12" s="41"/>
      <c r="EZT12" s="41"/>
      <c r="EZU12" s="41"/>
      <c r="EZV12" s="41"/>
      <c r="EZW12" s="41"/>
      <c r="EZX12" s="41"/>
      <c r="EZY12" s="41"/>
      <c r="EZZ12" s="41"/>
      <c r="FAA12" s="41"/>
      <c r="FAB12" s="41"/>
      <c r="FAC12" s="41"/>
      <c r="FAD12" s="41"/>
      <c r="FAE12" s="41"/>
      <c r="FAF12" s="41"/>
      <c r="FAG12" s="41"/>
      <c r="FAH12" s="41"/>
      <c r="FAI12" s="41"/>
      <c r="FAJ12" s="41"/>
      <c r="FAK12" s="41"/>
      <c r="FAL12" s="41"/>
      <c r="FAM12" s="41"/>
      <c r="FAN12" s="41"/>
      <c r="FAO12" s="41"/>
      <c r="FAP12" s="41"/>
      <c r="FAQ12" s="41"/>
      <c r="FAR12" s="41"/>
      <c r="FAS12" s="41"/>
      <c r="FAT12" s="41"/>
      <c r="FAU12" s="41"/>
      <c r="FAV12" s="41"/>
      <c r="FAW12" s="41"/>
      <c r="FAX12" s="41"/>
      <c r="FAY12" s="41"/>
      <c r="FAZ12" s="41"/>
      <c r="FBA12" s="41"/>
      <c r="FBB12" s="41"/>
      <c r="FBC12" s="41"/>
      <c r="FBD12" s="41"/>
      <c r="FBE12" s="41"/>
      <c r="FBF12" s="41"/>
      <c r="FBG12" s="41"/>
      <c r="FBH12" s="41"/>
      <c r="FBI12" s="41"/>
      <c r="FBJ12" s="41"/>
      <c r="FBK12" s="41"/>
      <c r="FBL12" s="41"/>
      <c r="FBM12" s="41"/>
      <c r="FBN12" s="41"/>
      <c r="FBO12" s="41"/>
      <c r="FBP12" s="41"/>
      <c r="FBQ12" s="41"/>
      <c r="FBR12" s="41"/>
      <c r="FBS12" s="41"/>
      <c r="FBT12" s="41"/>
      <c r="FBU12" s="41"/>
      <c r="FBV12" s="41"/>
      <c r="FBW12" s="41"/>
      <c r="FBX12" s="41"/>
      <c r="FBY12" s="41"/>
      <c r="FBZ12" s="41"/>
      <c r="FCA12" s="41"/>
      <c r="FCB12" s="41"/>
      <c r="FCC12" s="41"/>
      <c r="FCD12" s="41"/>
      <c r="FCE12" s="41"/>
      <c r="FCF12" s="41"/>
      <c r="FCG12" s="41"/>
      <c r="FCH12" s="41"/>
      <c r="FCI12" s="41"/>
      <c r="FCJ12" s="41"/>
      <c r="FCK12" s="41"/>
      <c r="FCL12" s="41"/>
      <c r="FCM12" s="41"/>
      <c r="FCN12" s="41"/>
      <c r="FCO12" s="41"/>
      <c r="FCP12" s="41"/>
      <c r="FCQ12" s="41"/>
      <c r="FCR12" s="41"/>
      <c r="FCS12" s="41"/>
      <c r="FCT12" s="41"/>
      <c r="FCU12" s="41"/>
      <c r="FCV12" s="41"/>
      <c r="FCW12" s="41"/>
      <c r="FCX12" s="41"/>
      <c r="FCY12" s="41"/>
      <c r="FCZ12" s="41"/>
      <c r="FDA12" s="41"/>
      <c r="FDB12" s="41"/>
      <c r="FDC12" s="41"/>
      <c r="FDD12" s="41"/>
      <c r="FDE12" s="41"/>
      <c r="FDF12" s="41"/>
      <c r="FDG12" s="41"/>
      <c r="FDH12" s="41"/>
      <c r="FDI12" s="41"/>
      <c r="FDJ12" s="41"/>
      <c r="FDK12" s="41"/>
      <c r="FDL12" s="41"/>
      <c r="FDM12" s="41"/>
      <c r="FDN12" s="41"/>
      <c r="FDO12" s="41"/>
      <c r="FDP12" s="41"/>
      <c r="FDQ12" s="41"/>
      <c r="FDR12" s="41"/>
      <c r="FDS12" s="41"/>
      <c r="FDT12" s="41"/>
      <c r="FDU12" s="41"/>
      <c r="FDV12" s="41"/>
      <c r="FDW12" s="41"/>
      <c r="FDX12" s="41"/>
      <c r="FDY12" s="41"/>
      <c r="FDZ12" s="41"/>
      <c r="FEA12" s="41"/>
      <c r="FEB12" s="41"/>
      <c r="FEC12" s="41"/>
      <c r="FED12" s="41"/>
      <c r="FEE12" s="41"/>
      <c r="FEF12" s="41"/>
      <c r="FEG12" s="41"/>
      <c r="FEH12" s="41"/>
      <c r="FEI12" s="41"/>
      <c r="FEJ12" s="41"/>
      <c r="FEK12" s="41"/>
      <c r="FEL12" s="41"/>
      <c r="FEM12" s="41"/>
      <c r="FEN12" s="41"/>
      <c r="FEO12" s="41"/>
      <c r="FEP12" s="41"/>
      <c r="FEQ12" s="41"/>
      <c r="FER12" s="41"/>
      <c r="FES12" s="41"/>
      <c r="FET12" s="41"/>
      <c r="FEU12" s="41"/>
      <c r="FEV12" s="41"/>
      <c r="FEW12" s="41"/>
      <c r="FEX12" s="41"/>
      <c r="FEY12" s="41"/>
      <c r="FEZ12" s="41"/>
      <c r="FFA12" s="41"/>
      <c r="FFB12" s="41"/>
      <c r="FFC12" s="41"/>
      <c r="FFD12" s="41"/>
      <c r="FFE12" s="41"/>
      <c r="FFF12" s="41"/>
      <c r="FFG12" s="41"/>
      <c r="FFH12" s="41"/>
      <c r="FFI12" s="41"/>
      <c r="FFJ12" s="41"/>
      <c r="FFK12" s="41"/>
      <c r="FFL12" s="41"/>
      <c r="FFM12" s="41"/>
      <c r="FFN12" s="41"/>
      <c r="FFO12" s="41"/>
      <c r="FFP12" s="41"/>
      <c r="FFQ12" s="41"/>
      <c r="FFR12" s="41"/>
      <c r="FFS12" s="41"/>
      <c r="FFT12" s="41"/>
      <c r="FFU12" s="41"/>
      <c r="FFV12" s="41"/>
      <c r="FFW12" s="41"/>
      <c r="FFX12" s="41"/>
      <c r="FFY12" s="41"/>
      <c r="FFZ12" s="41"/>
      <c r="FGA12" s="41"/>
      <c r="FGB12" s="41"/>
      <c r="FGC12" s="41"/>
      <c r="FGD12" s="41"/>
      <c r="FGE12" s="41"/>
      <c r="FGF12" s="41"/>
      <c r="FGG12" s="41"/>
      <c r="FGH12" s="41"/>
      <c r="FGI12" s="41"/>
      <c r="FGJ12" s="41"/>
      <c r="FGK12" s="41"/>
      <c r="FGL12" s="41"/>
      <c r="FGM12" s="41"/>
      <c r="FGN12" s="41"/>
      <c r="FGO12" s="41"/>
      <c r="FGP12" s="41"/>
      <c r="FGQ12" s="41"/>
      <c r="FGR12" s="41"/>
      <c r="FGS12" s="41"/>
      <c r="FGT12" s="41"/>
      <c r="FGU12" s="41"/>
      <c r="FGV12" s="41"/>
      <c r="FGW12" s="41"/>
      <c r="FGX12" s="41"/>
      <c r="FGY12" s="41"/>
      <c r="FGZ12" s="41"/>
      <c r="FHA12" s="41"/>
      <c r="FHB12" s="41"/>
      <c r="FHC12" s="41"/>
      <c r="FHD12" s="41"/>
      <c r="FHE12" s="41"/>
      <c r="FHF12" s="41"/>
      <c r="FHG12" s="41"/>
      <c r="FHH12" s="41"/>
      <c r="FHI12" s="41"/>
      <c r="FHJ12" s="41"/>
      <c r="FHK12" s="41"/>
      <c r="FHL12" s="41"/>
      <c r="FHM12" s="41"/>
      <c r="FHN12" s="41"/>
      <c r="FHO12" s="41"/>
      <c r="FHP12" s="41"/>
      <c r="FHQ12" s="41"/>
      <c r="FHR12" s="41"/>
      <c r="FHS12" s="41"/>
      <c r="FHT12" s="41"/>
      <c r="FHU12" s="41"/>
      <c r="FHV12" s="41"/>
      <c r="FHW12" s="41"/>
      <c r="FHX12" s="41"/>
      <c r="FHY12" s="41"/>
      <c r="FHZ12" s="41"/>
      <c r="FIA12" s="41"/>
      <c r="FIB12" s="41"/>
      <c r="FIC12" s="41"/>
      <c r="FID12" s="41"/>
      <c r="FIE12" s="41"/>
      <c r="FIF12" s="41"/>
      <c r="FIG12" s="41"/>
      <c r="FIH12" s="41"/>
      <c r="FII12" s="41"/>
      <c r="FIJ12" s="41"/>
      <c r="FIK12" s="41"/>
      <c r="FIL12" s="41"/>
      <c r="FIM12" s="41"/>
      <c r="FIN12" s="41"/>
      <c r="FIO12" s="41"/>
      <c r="FIP12" s="41"/>
      <c r="FIQ12" s="41"/>
      <c r="FIR12" s="41"/>
      <c r="FIS12" s="41"/>
      <c r="FIT12" s="41"/>
      <c r="FIU12" s="41"/>
      <c r="FIV12" s="41"/>
      <c r="FIW12" s="41"/>
      <c r="FIX12" s="41"/>
      <c r="FIY12" s="41"/>
      <c r="FIZ12" s="41"/>
      <c r="FJA12" s="41"/>
      <c r="FJB12" s="41"/>
      <c r="FJC12" s="41"/>
      <c r="FJD12" s="41"/>
      <c r="FJE12" s="41"/>
      <c r="FJF12" s="41"/>
      <c r="FJG12" s="41"/>
      <c r="FJH12" s="41"/>
      <c r="FJI12" s="41"/>
      <c r="FJJ12" s="41"/>
      <c r="FJK12" s="41"/>
      <c r="FJL12" s="41"/>
      <c r="FJM12" s="41"/>
      <c r="FJN12" s="41"/>
      <c r="FJO12" s="41"/>
      <c r="FJP12" s="41"/>
      <c r="FJQ12" s="41"/>
      <c r="FJR12" s="41"/>
      <c r="FJS12" s="41"/>
      <c r="FJT12" s="41"/>
      <c r="FJU12" s="41"/>
      <c r="FJV12" s="41"/>
      <c r="FJW12" s="41"/>
      <c r="FJX12" s="41"/>
      <c r="FJY12" s="41"/>
      <c r="FJZ12" s="41"/>
      <c r="FKA12" s="41"/>
      <c r="FKB12" s="41"/>
      <c r="FKC12" s="41"/>
      <c r="FKD12" s="41"/>
      <c r="FKE12" s="41"/>
      <c r="FKF12" s="41"/>
      <c r="FKG12" s="41"/>
      <c r="FKH12" s="41"/>
      <c r="FKI12" s="41"/>
      <c r="FKJ12" s="41"/>
      <c r="FKK12" s="41"/>
      <c r="FKL12" s="41"/>
      <c r="FKM12" s="41"/>
      <c r="FKN12" s="41"/>
      <c r="FKO12" s="41"/>
      <c r="FKP12" s="41"/>
      <c r="FKQ12" s="41"/>
      <c r="FKR12" s="41"/>
      <c r="FKS12" s="41"/>
      <c r="FKT12" s="41"/>
      <c r="FKU12" s="41"/>
      <c r="FKV12" s="41"/>
      <c r="FKW12" s="41"/>
      <c r="FKX12" s="41"/>
      <c r="FKY12" s="41"/>
      <c r="FKZ12" s="41"/>
      <c r="FLA12" s="41"/>
      <c r="FLB12" s="41"/>
      <c r="FLC12" s="41"/>
      <c r="FLD12" s="41"/>
      <c r="FLE12" s="41"/>
      <c r="FLF12" s="41"/>
      <c r="FLG12" s="41"/>
      <c r="FLH12" s="41"/>
      <c r="FLI12" s="41"/>
      <c r="FLJ12" s="41"/>
      <c r="FLK12" s="41"/>
      <c r="FLL12" s="41"/>
      <c r="FLM12" s="41"/>
      <c r="FLN12" s="41"/>
      <c r="FLO12" s="41"/>
      <c r="FLP12" s="41"/>
      <c r="FLQ12" s="41"/>
      <c r="FLR12" s="41"/>
      <c r="FLS12" s="41"/>
      <c r="FLT12" s="41"/>
      <c r="FLU12" s="41"/>
      <c r="FLV12" s="41"/>
      <c r="FLW12" s="41"/>
      <c r="FLX12" s="41"/>
      <c r="FLY12" s="41"/>
      <c r="FLZ12" s="41"/>
      <c r="FMA12" s="41"/>
      <c r="FMB12" s="41"/>
      <c r="FMC12" s="41"/>
      <c r="FMD12" s="41"/>
      <c r="FME12" s="41"/>
      <c r="FMF12" s="41"/>
      <c r="FMG12" s="41"/>
      <c r="FMH12" s="41"/>
      <c r="FMI12" s="41"/>
      <c r="FMJ12" s="41"/>
      <c r="FMK12" s="41"/>
      <c r="FML12" s="41"/>
      <c r="FMM12" s="41"/>
      <c r="FMN12" s="41"/>
      <c r="FMO12" s="41"/>
      <c r="FMP12" s="41"/>
      <c r="FMQ12" s="41"/>
      <c r="FMR12" s="41"/>
      <c r="FMS12" s="41"/>
      <c r="FMT12" s="41"/>
      <c r="FMU12" s="41"/>
      <c r="FMV12" s="41"/>
      <c r="FMW12" s="41"/>
      <c r="FMX12" s="41"/>
      <c r="FMY12" s="41"/>
      <c r="FMZ12" s="41"/>
      <c r="FNA12" s="41"/>
      <c r="FNB12" s="41"/>
      <c r="FNC12" s="41"/>
      <c r="FND12" s="41"/>
      <c r="FNE12" s="41"/>
      <c r="FNF12" s="41"/>
      <c r="FNG12" s="41"/>
      <c r="FNH12" s="41"/>
      <c r="FNI12" s="41"/>
      <c r="FNJ12" s="41"/>
      <c r="FNK12" s="41"/>
      <c r="FNL12" s="41"/>
      <c r="FNM12" s="41"/>
      <c r="FNN12" s="41"/>
      <c r="FNO12" s="41"/>
      <c r="FNP12" s="41"/>
      <c r="FNQ12" s="41"/>
      <c r="FNR12" s="41"/>
      <c r="FNS12" s="41"/>
      <c r="FNT12" s="41"/>
      <c r="FNU12" s="41"/>
      <c r="FNV12" s="41"/>
      <c r="FNW12" s="41"/>
      <c r="FNX12" s="41"/>
      <c r="FNY12" s="41"/>
      <c r="FNZ12" s="41"/>
      <c r="FOA12" s="41"/>
      <c r="FOB12" s="41"/>
      <c r="FOC12" s="41"/>
      <c r="FOD12" s="41"/>
      <c r="FOE12" s="41"/>
      <c r="FOF12" s="41"/>
      <c r="FOG12" s="41"/>
      <c r="FOH12" s="41"/>
      <c r="FOI12" s="41"/>
      <c r="FOJ12" s="41"/>
      <c r="FOK12" s="41"/>
      <c r="FOL12" s="41"/>
      <c r="FOM12" s="41"/>
      <c r="FON12" s="41"/>
      <c r="FOO12" s="41"/>
      <c r="FOP12" s="41"/>
      <c r="FOQ12" s="41"/>
      <c r="FOR12" s="41"/>
      <c r="FOS12" s="41"/>
      <c r="FOT12" s="41"/>
      <c r="FOU12" s="41"/>
      <c r="FOV12" s="41"/>
      <c r="FOW12" s="41"/>
      <c r="FOX12" s="41"/>
      <c r="FOY12" s="41"/>
      <c r="FOZ12" s="41"/>
      <c r="FPA12" s="41"/>
      <c r="FPB12" s="41"/>
      <c r="FPC12" s="41"/>
      <c r="FPD12" s="41"/>
      <c r="FPE12" s="41"/>
      <c r="FPF12" s="41"/>
      <c r="FPG12" s="41"/>
      <c r="FPH12" s="41"/>
      <c r="FPI12" s="41"/>
      <c r="FPJ12" s="41"/>
      <c r="FPK12" s="41"/>
      <c r="FPL12" s="41"/>
      <c r="FPM12" s="41"/>
      <c r="FPN12" s="41"/>
      <c r="FPO12" s="41"/>
      <c r="FPP12" s="41"/>
      <c r="FPQ12" s="41"/>
      <c r="FPR12" s="41"/>
      <c r="FPS12" s="41"/>
      <c r="FPT12" s="41"/>
      <c r="FPU12" s="41"/>
      <c r="FPV12" s="41"/>
      <c r="FPW12" s="41"/>
      <c r="FPX12" s="41"/>
      <c r="FPY12" s="41"/>
      <c r="FPZ12" s="41"/>
      <c r="FQA12" s="41"/>
      <c r="FQB12" s="41"/>
      <c r="FQC12" s="41"/>
      <c r="FQD12" s="41"/>
      <c r="FQE12" s="41"/>
      <c r="FQF12" s="41"/>
      <c r="FQG12" s="41"/>
      <c r="FQH12" s="41"/>
      <c r="FQI12" s="41"/>
      <c r="FQJ12" s="41"/>
      <c r="FQK12" s="41"/>
      <c r="FQL12" s="41"/>
      <c r="FQM12" s="41"/>
      <c r="FQN12" s="41"/>
      <c r="FQO12" s="41"/>
      <c r="FQP12" s="41"/>
      <c r="FQQ12" s="41"/>
      <c r="FQR12" s="41"/>
      <c r="FQS12" s="41"/>
      <c r="FQT12" s="41"/>
      <c r="FQU12" s="41"/>
      <c r="FQV12" s="41"/>
      <c r="FQW12" s="41"/>
      <c r="FQX12" s="41"/>
      <c r="FQY12" s="41"/>
      <c r="FQZ12" s="41"/>
      <c r="FRA12" s="41"/>
      <c r="FRB12" s="41"/>
      <c r="FRC12" s="41"/>
      <c r="FRD12" s="41"/>
      <c r="FRE12" s="41"/>
      <c r="FRF12" s="41"/>
      <c r="FRG12" s="41"/>
      <c r="FRH12" s="41"/>
      <c r="FRI12" s="41"/>
      <c r="FRJ12" s="41"/>
      <c r="FRK12" s="41"/>
      <c r="FRL12" s="41"/>
      <c r="FRM12" s="41"/>
      <c r="FRN12" s="41"/>
      <c r="FRO12" s="41"/>
      <c r="FRP12" s="41"/>
      <c r="FRQ12" s="41"/>
      <c r="FRR12" s="41"/>
      <c r="FRS12" s="41"/>
      <c r="FRT12" s="41"/>
      <c r="FRU12" s="41"/>
      <c r="FRV12" s="41"/>
      <c r="FRW12" s="41"/>
      <c r="FRX12" s="41"/>
      <c r="FRY12" s="41"/>
      <c r="FRZ12" s="41"/>
      <c r="FSA12" s="41"/>
      <c r="FSB12" s="41"/>
      <c r="FSC12" s="41"/>
      <c r="FSD12" s="41"/>
      <c r="FSE12" s="41"/>
      <c r="FSF12" s="41"/>
      <c r="FSG12" s="41"/>
      <c r="FSH12" s="41"/>
      <c r="FSI12" s="41"/>
      <c r="FSJ12" s="41"/>
      <c r="FSK12" s="41"/>
      <c r="FSL12" s="41"/>
      <c r="FSM12" s="41"/>
      <c r="FSN12" s="41"/>
      <c r="FSO12" s="41"/>
      <c r="FSP12" s="41"/>
      <c r="FSQ12" s="41"/>
      <c r="FSR12" s="41"/>
      <c r="FSS12" s="41"/>
      <c r="FST12" s="41"/>
      <c r="FSU12" s="41"/>
      <c r="FSV12" s="41"/>
      <c r="FSW12" s="41"/>
      <c r="FSX12" s="41"/>
      <c r="FSY12" s="41"/>
      <c r="FSZ12" s="41"/>
      <c r="FTA12" s="41"/>
      <c r="FTB12" s="41"/>
      <c r="FTC12" s="41"/>
      <c r="FTD12" s="41"/>
      <c r="FTE12" s="41"/>
      <c r="FTF12" s="41"/>
      <c r="FTG12" s="41"/>
      <c r="FTH12" s="41"/>
      <c r="FTI12" s="41"/>
      <c r="FTJ12" s="41"/>
      <c r="FTK12" s="41"/>
      <c r="FTL12" s="41"/>
      <c r="FTM12" s="41"/>
      <c r="FTN12" s="41"/>
      <c r="FTO12" s="41"/>
      <c r="FTP12" s="41"/>
      <c r="FTQ12" s="41"/>
      <c r="FTR12" s="41"/>
      <c r="FTS12" s="41"/>
      <c r="FTT12" s="41"/>
      <c r="FTU12" s="41"/>
      <c r="FTV12" s="41"/>
      <c r="FTW12" s="41"/>
      <c r="FTX12" s="41"/>
      <c r="FTY12" s="41"/>
      <c r="FTZ12" s="41"/>
      <c r="FUA12" s="41"/>
      <c r="FUB12" s="41"/>
      <c r="FUC12" s="41"/>
      <c r="FUD12" s="41"/>
      <c r="FUE12" s="41"/>
      <c r="FUF12" s="41"/>
      <c r="FUG12" s="41"/>
      <c r="FUH12" s="41"/>
      <c r="FUI12" s="41"/>
      <c r="FUJ12" s="41"/>
      <c r="FUK12" s="41"/>
      <c r="FUL12" s="41"/>
      <c r="FUM12" s="41"/>
      <c r="FUN12" s="41"/>
      <c r="FUO12" s="41"/>
      <c r="FUP12" s="41"/>
      <c r="FUQ12" s="41"/>
      <c r="FUR12" s="41"/>
      <c r="FUS12" s="41"/>
      <c r="FUT12" s="41"/>
      <c r="FUU12" s="41"/>
      <c r="FUV12" s="41"/>
      <c r="FUW12" s="41"/>
      <c r="FUX12" s="41"/>
      <c r="FUY12" s="41"/>
      <c r="FUZ12" s="41"/>
      <c r="FVA12" s="41"/>
      <c r="FVB12" s="41"/>
      <c r="FVC12" s="41"/>
      <c r="FVD12" s="41"/>
      <c r="FVE12" s="41"/>
      <c r="FVF12" s="41"/>
      <c r="FVG12" s="41"/>
      <c r="FVH12" s="41"/>
      <c r="FVI12" s="41"/>
      <c r="FVJ12" s="41"/>
      <c r="FVK12" s="41"/>
      <c r="FVL12" s="41"/>
      <c r="FVM12" s="41"/>
      <c r="FVN12" s="41"/>
      <c r="FVO12" s="41"/>
      <c r="FVP12" s="41"/>
      <c r="FVQ12" s="41"/>
      <c r="FVR12" s="41"/>
      <c r="FVS12" s="41"/>
      <c r="FVT12" s="41"/>
      <c r="FVU12" s="41"/>
      <c r="FVV12" s="41"/>
      <c r="FVW12" s="41"/>
      <c r="FVX12" s="41"/>
      <c r="FVY12" s="41"/>
      <c r="FVZ12" s="41"/>
      <c r="FWA12" s="41"/>
      <c r="FWB12" s="41"/>
      <c r="FWC12" s="41"/>
      <c r="FWD12" s="41"/>
      <c r="FWE12" s="41"/>
      <c r="FWF12" s="41"/>
      <c r="FWG12" s="41"/>
      <c r="FWH12" s="41"/>
      <c r="FWI12" s="41"/>
      <c r="FWJ12" s="41"/>
      <c r="FWK12" s="41"/>
      <c r="FWL12" s="41"/>
      <c r="FWM12" s="41"/>
      <c r="FWN12" s="41"/>
      <c r="FWO12" s="41"/>
      <c r="FWP12" s="41"/>
      <c r="FWQ12" s="41"/>
      <c r="FWR12" s="41"/>
      <c r="FWS12" s="41"/>
      <c r="FWT12" s="41"/>
      <c r="FWU12" s="41"/>
      <c r="FWV12" s="41"/>
      <c r="FWW12" s="41"/>
      <c r="FWX12" s="41"/>
      <c r="FWY12" s="41"/>
      <c r="FWZ12" s="41"/>
      <c r="FXA12" s="41"/>
      <c r="FXB12" s="41"/>
      <c r="FXC12" s="41"/>
      <c r="FXD12" s="41"/>
      <c r="FXE12" s="41"/>
      <c r="FXF12" s="41"/>
      <c r="FXG12" s="41"/>
      <c r="FXH12" s="41"/>
      <c r="FXI12" s="41"/>
      <c r="FXJ12" s="41"/>
      <c r="FXK12" s="41"/>
      <c r="FXL12" s="41"/>
      <c r="FXM12" s="41"/>
      <c r="FXN12" s="41"/>
      <c r="FXO12" s="41"/>
      <c r="FXP12" s="41"/>
      <c r="FXQ12" s="41"/>
      <c r="FXR12" s="41"/>
      <c r="FXS12" s="41"/>
      <c r="FXT12" s="41"/>
      <c r="FXU12" s="41"/>
      <c r="FXV12" s="41"/>
      <c r="FXW12" s="41"/>
      <c r="FXX12" s="41"/>
      <c r="FXY12" s="41"/>
      <c r="FXZ12" s="41"/>
      <c r="FYA12" s="41"/>
      <c r="FYB12" s="41"/>
      <c r="FYC12" s="41"/>
      <c r="FYD12" s="41"/>
      <c r="FYE12" s="41"/>
      <c r="FYF12" s="41"/>
      <c r="FYG12" s="41"/>
      <c r="FYH12" s="41"/>
      <c r="FYI12" s="41"/>
      <c r="FYJ12" s="41"/>
      <c r="FYK12" s="41"/>
      <c r="FYL12" s="41"/>
      <c r="FYM12" s="41"/>
      <c r="FYN12" s="41"/>
      <c r="FYO12" s="41"/>
      <c r="FYP12" s="41"/>
      <c r="FYQ12" s="41"/>
      <c r="FYR12" s="41"/>
      <c r="FYS12" s="41"/>
      <c r="FYT12" s="41"/>
      <c r="FYU12" s="41"/>
      <c r="FYV12" s="41"/>
      <c r="FYW12" s="41"/>
      <c r="FYX12" s="41"/>
      <c r="FYY12" s="41"/>
      <c r="FYZ12" s="41"/>
      <c r="FZA12" s="41"/>
      <c r="FZB12" s="41"/>
      <c r="FZC12" s="41"/>
      <c r="FZD12" s="41"/>
      <c r="FZE12" s="41"/>
      <c r="FZF12" s="41"/>
      <c r="FZG12" s="41"/>
      <c r="FZH12" s="41"/>
      <c r="FZI12" s="41"/>
      <c r="FZJ12" s="41"/>
      <c r="FZK12" s="41"/>
      <c r="FZL12" s="41"/>
      <c r="FZM12" s="41"/>
      <c r="FZN12" s="41"/>
      <c r="FZO12" s="41"/>
      <c r="FZP12" s="41"/>
      <c r="FZQ12" s="41"/>
      <c r="FZR12" s="41"/>
      <c r="FZS12" s="41"/>
      <c r="FZT12" s="41"/>
      <c r="FZU12" s="41"/>
      <c r="FZV12" s="41"/>
      <c r="FZW12" s="41"/>
      <c r="FZX12" s="41"/>
      <c r="FZY12" s="41"/>
      <c r="FZZ12" s="41"/>
      <c r="GAA12" s="41"/>
      <c r="GAB12" s="41"/>
      <c r="GAC12" s="41"/>
      <c r="GAD12" s="41"/>
      <c r="GAE12" s="41"/>
      <c r="GAF12" s="41"/>
      <c r="GAG12" s="41"/>
      <c r="GAH12" s="41"/>
      <c r="GAI12" s="41"/>
      <c r="GAJ12" s="41"/>
      <c r="GAK12" s="41"/>
      <c r="GAL12" s="41"/>
      <c r="GAM12" s="41"/>
      <c r="GAN12" s="41"/>
      <c r="GAO12" s="41"/>
      <c r="GAP12" s="41"/>
      <c r="GAQ12" s="41"/>
      <c r="GAR12" s="41"/>
      <c r="GAS12" s="41"/>
      <c r="GAT12" s="41"/>
      <c r="GAU12" s="41"/>
      <c r="GAV12" s="41"/>
      <c r="GAW12" s="41"/>
      <c r="GAX12" s="41"/>
      <c r="GAY12" s="41"/>
      <c r="GAZ12" s="41"/>
      <c r="GBA12" s="41"/>
      <c r="GBB12" s="41"/>
      <c r="GBC12" s="41"/>
      <c r="GBD12" s="41"/>
      <c r="GBE12" s="41"/>
      <c r="GBF12" s="41"/>
      <c r="GBG12" s="41"/>
      <c r="GBH12" s="41"/>
      <c r="GBI12" s="41"/>
      <c r="GBJ12" s="41"/>
      <c r="GBK12" s="41"/>
      <c r="GBL12" s="41"/>
      <c r="GBM12" s="41"/>
      <c r="GBN12" s="41"/>
      <c r="GBO12" s="41"/>
      <c r="GBP12" s="41"/>
      <c r="GBQ12" s="41"/>
      <c r="GBR12" s="41"/>
      <c r="GBS12" s="41"/>
      <c r="GBT12" s="41"/>
      <c r="GBU12" s="41"/>
      <c r="GBV12" s="41"/>
      <c r="GBW12" s="41"/>
      <c r="GBX12" s="41"/>
      <c r="GBY12" s="41"/>
      <c r="GBZ12" s="41"/>
      <c r="GCA12" s="41"/>
      <c r="GCB12" s="41"/>
      <c r="GCC12" s="41"/>
      <c r="GCD12" s="41"/>
      <c r="GCE12" s="41"/>
      <c r="GCF12" s="41"/>
      <c r="GCG12" s="41"/>
      <c r="GCH12" s="41"/>
      <c r="GCI12" s="41"/>
      <c r="GCJ12" s="41"/>
      <c r="GCK12" s="41"/>
      <c r="GCL12" s="41"/>
      <c r="GCM12" s="41"/>
      <c r="GCN12" s="41"/>
      <c r="GCO12" s="41"/>
      <c r="GCP12" s="41"/>
      <c r="GCQ12" s="41"/>
      <c r="GCR12" s="41"/>
      <c r="GCS12" s="41"/>
      <c r="GCT12" s="41"/>
      <c r="GCU12" s="41"/>
      <c r="GCV12" s="41"/>
      <c r="GCW12" s="41"/>
      <c r="GCX12" s="41"/>
      <c r="GCY12" s="41"/>
      <c r="GCZ12" s="41"/>
      <c r="GDA12" s="41"/>
      <c r="GDB12" s="41"/>
      <c r="GDC12" s="41"/>
      <c r="GDD12" s="41"/>
      <c r="GDE12" s="41"/>
      <c r="GDF12" s="41"/>
      <c r="GDG12" s="41"/>
      <c r="GDH12" s="41"/>
      <c r="GDI12" s="41"/>
      <c r="GDJ12" s="41"/>
      <c r="GDK12" s="41"/>
      <c r="GDL12" s="41"/>
      <c r="GDM12" s="41"/>
      <c r="GDN12" s="41"/>
      <c r="GDO12" s="41"/>
      <c r="GDP12" s="41"/>
      <c r="GDQ12" s="41"/>
      <c r="GDR12" s="41"/>
      <c r="GDS12" s="41"/>
      <c r="GDT12" s="41"/>
      <c r="GDU12" s="41"/>
      <c r="GDV12" s="41"/>
      <c r="GDW12" s="41"/>
      <c r="GDX12" s="41"/>
      <c r="GDY12" s="41"/>
      <c r="GDZ12" s="41"/>
      <c r="GEA12" s="41"/>
      <c r="GEB12" s="41"/>
      <c r="GEC12" s="41"/>
      <c r="GED12" s="41"/>
      <c r="GEE12" s="41"/>
      <c r="GEF12" s="41"/>
      <c r="GEG12" s="41"/>
      <c r="GEH12" s="41"/>
      <c r="GEI12" s="41"/>
      <c r="GEJ12" s="41"/>
      <c r="GEK12" s="41"/>
      <c r="GEL12" s="41"/>
      <c r="GEM12" s="41"/>
      <c r="GEN12" s="41"/>
      <c r="GEO12" s="41"/>
      <c r="GEP12" s="41"/>
      <c r="GEQ12" s="41"/>
      <c r="GER12" s="41"/>
      <c r="GES12" s="41"/>
      <c r="GET12" s="41"/>
      <c r="GEU12" s="41"/>
      <c r="GEV12" s="41"/>
      <c r="GEW12" s="41"/>
      <c r="GEX12" s="41"/>
      <c r="GEY12" s="41"/>
      <c r="GEZ12" s="41"/>
      <c r="GFA12" s="41"/>
      <c r="GFB12" s="41"/>
      <c r="GFC12" s="41"/>
      <c r="GFD12" s="41"/>
      <c r="GFE12" s="41"/>
      <c r="GFF12" s="41"/>
      <c r="GFG12" s="41"/>
      <c r="GFH12" s="41"/>
      <c r="GFI12" s="41"/>
      <c r="GFJ12" s="41"/>
      <c r="GFK12" s="41"/>
      <c r="GFL12" s="41"/>
      <c r="GFM12" s="41"/>
      <c r="GFN12" s="41"/>
      <c r="GFO12" s="41"/>
      <c r="GFP12" s="41"/>
      <c r="GFQ12" s="41"/>
      <c r="GFR12" s="41"/>
      <c r="GFS12" s="41"/>
      <c r="GFT12" s="41"/>
      <c r="GFU12" s="41"/>
      <c r="GFV12" s="41"/>
      <c r="GFW12" s="41"/>
      <c r="GFX12" s="41"/>
      <c r="GFY12" s="41"/>
      <c r="GFZ12" s="41"/>
      <c r="GGA12" s="41"/>
      <c r="GGB12" s="41"/>
      <c r="GGC12" s="41"/>
      <c r="GGD12" s="41"/>
      <c r="GGE12" s="41"/>
      <c r="GGF12" s="41"/>
      <c r="GGG12" s="41"/>
      <c r="GGH12" s="41"/>
      <c r="GGI12" s="41"/>
      <c r="GGJ12" s="41"/>
      <c r="GGK12" s="41"/>
      <c r="GGL12" s="41"/>
      <c r="GGM12" s="41"/>
      <c r="GGN12" s="41"/>
      <c r="GGO12" s="41"/>
      <c r="GGP12" s="41"/>
      <c r="GGQ12" s="41"/>
      <c r="GGR12" s="41"/>
      <c r="GGS12" s="41"/>
      <c r="GGT12" s="41"/>
      <c r="GGU12" s="41"/>
      <c r="GGV12" s="41"/>
      <c r="GGW12" s="41"/>
      <c r="GGX12" s="41"/>
      <c r="GGY12" s="41"/>
      <c r="GGZ12" s="41"/>
      <c r="GHA12" s="41"/>
      <c r="GHB12" s="41"/>
      <c r="GHC12" s="41"/>
      <c r="GHD12" s="41"/>
      <c r="GHE12" s="41"/>
      <c r="GHF12" s="41"/>
      <c r="GHG12" s="41"/>
      <c r="GHH12" s="41"/>
      <c r="GHI12" s="41"/>
      <c r="GHJ12" s="41"/>
      <c r="GHK12" s="41"/>
      <c r="GHL12" s="41"/>
      <c r="GHM12" s="41"/>
      <c r="GHN12" s="41"/>
      <c r="GHO12" s="41"/>
      <c r="GHP12" s="41"/>
      <c r="GHQ12" s="41"/>
      <c r="GHR12" s="41"/>
      <c r="GHS12" s="41"/>
      <c r="GHT12" s="41"/>
      <c r="GHU12" s="41"/>
      <c r="GHV12" s="41"/>
      <c r="GHW12" s="41"/>
      <c r="GHX12" s="41"/>
      <c r="GHY12" s="41"/>
      <c r="GHZ12" s="41"/>
      <c r="GIA12" s="41"/>
      <c r="GIB12" s="41"/>
      <c r="GIC12" s="41"/>
      <c r="GID12" s="41"/>
      <c r="GIE12" s="41"/>
      <c r="GIF12" s="41"/>
      <c r="GIG12" s="41"/>
      <c r="GIH12" s="41"/>
      <c r="GII12" s="41"/>
      <c r="GIJ12" s="41"/>
      <c r="GIK12" s="41"/>
      <c r="GIL12" s="41"/>
      <c r="GIM12" s="41"/>
      <c r="GIN12" s="41"/>
      <c r="GIO12" s="41"/>
      <c r="GIP12" s="41"/>
      <c r="GIQ12" s="41"/>
      <c r="GIR12" s="41"/>
      <c r="GIS12" s="41"/>
      <c r="GIT12" s="41"/>
      <c r="GIU12" s="41"/>
      <c r="GIV12" s="41"/>
      <c r="GIW12" s="41"/>
      <c r="GIX12" s="41"/>
      <c r="GIY12" s="41"/>
      <c r="GIZ12" s="41"/>
      <c r="GJA12" s="41"/>
      <c r="GJB12" s="41"/>
      <c r="GJC12" s="41"/>
      <c r="GJD12" s="41"/>
      <c r="GJE12" s="41"/>
      <c r="GJF12" s="41"/>
      <c r="GJG12" s="41"/>
      <c r="GJH12" s="41"/>
      <c r="GJI12" s="41"/>
      <c r="GJJ12" s="41"/>
      <c r="GJK12" s="41"/>
      <c r="GJL12" s="41"/>
      <c r="GJM12" s="41"/>
      <c r="GJN12" s="41"/>
      <c r="GJO12" s="41"/>
      <c r="GJP12" s="41"/>
      <c r="GJQ12" s="41"/>
      <c r="GJR12" s="41"/>
      <c r="GJS12" s="41"/>
      <c r="GJT12" s="41"/>
      <c r="GJU12" s="41"/>
      <c r="GJV12" s="41"/>
      <c r="GJW12" s="41"/>
      <c r="GJX12" s="41"/>
      <c r="GJY12" s="41"/>
      <c r="GJZ12" s="41"/>
      <c r="GKA12" s="41"/>
      <c r="GKB12" s="41"/>
      <c r="GKC12" s="41"/>
      <c r="GKD12" s="41"/>
      <c r="GKE12" s="41"/>
      <c r="GKF12" s="41"/>
      <c r="GKG12" s="41"/>
      <c r="GKH12" s="41"/>
      <c r="GKI12" s="41"/>
      <c r="GKJ12" s="41"/>
      <c r="GKK12" s="41"/>
      <c r="GKL12" s="41"/>
      <c r="GKM12" s="41"/>
      <c r="GKN12" s="41"/>
      <c r="GKO12" s="41"/>
      <c r="GKP12" s="41"/>
      <c r="GKQ12" s="41"/>
      <c r="GKR12" s="41"/>
      <c r="GKS12" s="41"/>
      <c r="GKT12" s="41"/>
      <c r="GKU12" s="41"/>
      <c r="GKV12" s="41"/>
      <c r="GKW12" s="41"/>
      <c r="GKX12" s="41"/>
      <c r="GKY12" s="41"/>
      <c r="GKZ12" s="41"/>
      <c r="GLA12" s="41"/>
      <c r="GLB12" s="41"/>
      <c r="GLC12" s="41"/>
      <c r="GLD12" s="41"/>
      <c r="GLE12" s="41"/>
      <c r="GLF12" s="41"/>
      <c r="GLG12" s="41"/>
      <c r="GLH12" s="41"/>
      <c r="GLI12" s="41"/>
      <c r="GLJ12" s="41"/>
      <c r="GLK12" s="41"/>
      <c r="GLL12" s="41"/>
      <c r="GLM12" s="41"/>
      <c r="GLN12" s="41"/>
      <c r="GLO12" s="41"/>
      <c r="GLP12" s="41"/>
      <c r="GLQ12" s="41"/>
      <c r="GLR12" s="41"/>
      <c r="GLS12" s="41"/>
      <c r="GLT12" s="41"/>
      <c r="GLU12" s="41"/>
      <c r="GLV12" s="41"/>
      <c r="GLW12" s="41"/>
      <c r="GLX12" s="41"/>
      <c r="GLY12" s="41"/>
      <c r="GLZ12" s="41"/>
      <c r="GMA12" s="41"/>
      <c r="GMB12" s="41"/>
      <c r="GMC12" s="41"/>
      <c r="GMD12" s="41"/>
      <c r="GME12" s="41"/>
      <c r="GMF12" s="41"/>
      <c r="GMG12" s="41"/>
      <c r="GMH12" s="41"/>
      <c r="GMI12" s="41"/>
      <c r="GMJ12" s="41"/>
      <c r="GMK12" s="41"/>
      <c r="GML12" s="41"/>
      <c r="GMM12" s="41"/>
      <c r="GMN12" s="41"/>
      <c r="GMO12" s="41"/>
      <c r="GMP12" s="41"/>
      <c r="GMQ12" s="41"/>
      <c r="GMR12" s="41"/>
      <c r="GMS12" s="41"/>
      <c r="GMT12" s="41"/>
      <c r="GMU12" s="41"/>
      <c r="GMV12" s="41"/>
      <c r="GMW12" s="41"/>
      <c r="GMX12" s="41"/>
      <c r="GMY12" s="41"/>
      <c r="GMZ12" s="41"/>
      <c r="GNA12" s="41"/>
      <c r="GNB12" s="41"/>
      <c r="GNC12" s="41"/>
      <c r="GND12" s="41"/>
      <c r="GNE12" s="41"/>
      <c r="GNF12" s="41"/>
      <c r="GNG12" s="41"/>
      <c r="GNH12" s="41"/>
      <c r="GNI12" s="41"/>
      <c r="GNJ12" s="41"/>
      <c r="GNK12" s="41"/>
      <c r="GNL12" s="41"/>
      <c r="GNM12" s="41"/>
      <c r="GNN12" s="41"/>
      <c r="GNO12" s="41"/>
      <c r="GNP12" s="41"/>
      <c r="GNQ12" s="41"/>
      <c r="GNR12" s="41"/>
      <c r="GNS12" s="41"/>
      <c r="GNT12" s="41"/>
      <c r="GNU12" s="41"/>
      <c r="GNV12" s="41"/>
      <c r="GNW12" s="41"/>
      <c r="GNX12" s="41"/>
      <c r="GNY12" s="41"/>
      <c r="GNZ12" s="41"/>
      <c r="GOA12" s="41"/>
      <c r="GOB12" s="41"/>
      <c r="GOC12" s="41"/>
      <c r="GOD12" s="41"/>
      <c r="GOE12" s="41"/>
      <c r="GOF12" s="41"/>
      <c r="GOG12" s="41"/>
      <c r="GOH12" s="41"/>
      <c r="GOI12" s="41"/>
      <c r="GOJ12" s="41"/>
      <c r="GOK12" s="41"/>
      <c r="GOL12" s="41"/>
      <c r="GOM12" s="41"/>
      <c r="GON12" s="41"/>
      <c r="GOO12" s="41"/>
      <c r="GOP12" s="41"/>
      <c r="GOQ12" s="41"/>
      <c r="GOR12" s="41"/>
      <c r="GOS12" s="41"/>
      <c r="GOT12" s="41"/>
      <c r="GOU12" s="41"/>
      <c r="GOV12" s="41"/>
      <c r="GOW12" s="41"/>
      <c r="GOX12" s="41"/>
      <c r="GOY12" s="41"/>
      <c r="GOZ12" s="41"/>
      <c r="GPA12" s="41"/>
      <c r="GPB12" s="41"/>
      <c r="GPC12" s="41"/>
      <c r="GPD12" s="41"/>
      <c r="GPE12" s="41"/>
      <c r="GPF12" s="41"/>
      <c r="GPG12" s="41"/>
      <c r="GPH12" s="41"/>
      <c r="GPI12" s="41"/>
      <c r="GPJ12" s="41"/>
      <c r="GPK12" s="41"/>
      <c r="GPL12" s="41"/>
      <c r="GPM12" s="41"/>
      <c r="GPN12" s="41"/>
      <c r="GPO12" s="41"/>
      <c r="GPP12" s="41"/>
      <c r="GPQ12" s="41"/>
      <c r="GPR12" s="41"/>
      <c r="GPS12" s="41"/>
      <c r="GPT12" s="41"/>
      <c r="GPU12" s="41"/>
      <c r="GPV12" s="41"/>
      <c r="GPW12" s="41"/>
      <c r="GPX12" s="41"/>
      <c r="GPY12" s="41"/>
      <c r="GPZ12" s="41"/>
      <c r="GQA12" s="41"/>
      <c r="GQB12" s="41"/>
      <c r="GQC12" s="41"/>
      <c r="GQD12" s="41"/>
      <c r="GQE12" s="41"/>
      <c r="GQF12" s="41"/>
      <c r="GQG12" s="41"/>
      <c r="GQH12" s="41"/>
      <c r="GQI12" s="41"/>
      <c r="GQJ12" s="41"/>
      <c r="GQK12" s="41"/>
      <c r="GQL12" s="41"/>
      <c r="GQM12" s="41"/>
      <c r="GQN12" s="41"/>
      <c r="GQO12" s="41"/>
      <c r="GQP12" s="41"/>
      <c r="GQQ12" s="41"/>
      <c r="GQR12" s="41"/>
      <c r="GQS12" s="41"/>
      <c r="GQT12" s="41"/>
      <c r="GQU12" s="41"/>
      <c r="GQV12" s="41"/>
      <c r="GQW12" s="41"/>
      <c r="GQX12" s="41"/>
      <c r="GQY12" s="41"/>
      <c r="GQZ12" s="41"/>
      <c r="GRA12" s="41"/>
      <c r="GRB12" s="41"/>
      <c r="GRC12" s="41"/>
      <c r="GRD12" s="41"/>
      <c r="GRE12" s="41"/>
      <c r="GRF12" s="41"/>
      <c r="GRG12" s="41"/>
      <c r="GRH12" s="41"/>
      <c r="GRI12" s="41"/>
      <c r="GRJ12" s="41"/>
      <c r="GRK12" s="41"/>
      <c r="GRL12" s="41"/>
      <c r="GRM12" s="41"/>
      <c r="GRN12" s="41"/>
      <c r="GRO12" s="41"/>
      <c r="GRP12" s="41"/>
      <c r="GRQ12" s="41"/>
      <c r="GRR12" s="41"/>
      <c r="GRS12" s="41"/>
      <c r="GRT12" s="41"/>
      <c r="GRU12" s="41"/>
      <c r="GRV12" s="41"/>
      <c r="GRW12" s="41"/>
      <c r="GRX12" s="41"/>
      <c r="GRY12" s="41"/>
      <c r="GRZ12" s="41"/>
      <c r="GSA12" s="41"/>
      <c r="GSB12" s="41"/>
      <c r="GSC12" s="41"/>
      <c r="GSD12" s="41"/>
      <c r="GSE12" s="41"/>
      <c r="GSF12" s="41"/>
      <c r="GSG12" s="41"/>
      <c r="GSH12" s="41"/>
      <c r="GSI12" s="41"/>
      <c r="GSJ12" s="41"/>
      <c r="GSK12" s="41"/>
      <c r="GSL12" s="41"/>
      <c r="GSM12" s="41"/>
      <c r="GSN12" s="41"/>
      <c r="GSO12" s="41"/>
      <c r="GSP12" s="41"/>
      <c r="GSQ12" s="41"/>
      <c r="GSR12" s="41"/>
      <c r="GSS12" s="41"/>
      <c r="GST12" s="41"/>
      <c r="GSU12" s="41"/>
      <c r="GSV12" s="41"/>
      <c r="GSW12" s="41"/>
      <c r="GSX12" s="41"/>
      <c r="GSY12" s="41"/>
      <c r="GSZ12" s="41"/>
      <c r="GTA12" s="41"/>
      <c r="GTB12" s="41"/>
      <c r="GTC12" s="41"/>
      <c r="GTD12" s="41"/>
      <c r="GTE12" s="41"/>
      <c r="GTF12" s="41"/>
      <c r="GTG12" s="41"/>
      <c r="GTH12" s="41"/>
      <c r="GTI12" s="41"/>
      <c r="GTJ12" s="41"/>
      <c r="GTK12" s="41"/>
      <c r="GTL12" s="41"/>
      <c r="GTM12" s="41"/>
      <c r="GTN12" s="41"/>
      <c r="GTO12" s="41"/>
      <c r="GTP12" s="41"/>
      <c r="GTQ12" s="41"/>
      <c r="GTR12" s="41"/>
      <c r="GTS12" s="41"/>
      <c r="GTT12" s="41"/>
      <c r="GTU12" s="41"/>
      <c r="GTV12" s="41"/>
      <c r="GTW12" s="41"/>
      <c r="GTX12" s="41"/>
      <c r="GTY12" s="41"/>
      <c r="GTZ12" s="41"/>
      <c r="GUA12" s="41"/>
      <c r="GUB12" s="41"/>
      <c r="GUC12" s="41"/>
      <c r="GUD12" s="41"/>
      <c r="GUE12" s="41"/>
      <c r="GUF12" s="41"/>
      <c r="GUG12" s="41"/>
      <c r="GUH12" s="41"/>
      <c r="GUI12" s="41"/>
      <c r="GUJ12" s="41"/>
      <c r="GUK12" s="41"/>
      <c r="GUL12" s="41"/>
      <c r="GUM12" s="41"/>
      <c r="GUN12" s="41"/>
      <c r="GUO12" s="41"/>
      <c r="GUP12" s="41"/>
      <c r="GUQ12" s="41"/>
      <c r="GUR12" s="41"/>
      <c r="GUS12" s="41"/>
      <c r="GUT12" s="41"/>
      <c r="GUU12" s="41"/>
      <c r="GUV12" s="41"/>
      <c r="GUW12" s="41"/>
      <c r="GUX12" s="41"/>
      <c r="GUY12" s="41"/>
      <c r="GUZ12" s="41"/>
      <c r="GVA12" s="41"/>
      <c r="GVB12" s="41"/>
      <c r="GVC12" s="41"/>
      <c r="GVD12" s="41"/>
      <c r="GVE12" s="41"/>
      <c r="GVF12" s="41"/>
      <c r="GVG12" s="41"/>
      <c r="GVH12" s="41"/>
      <c r="GVI12" s="41"/>
      <c r="GVJ12" s="41"/>
      <c r="GVK12" s="41"/>
      <c r="GVL12" s="41"/>
      <c r="GVM12" s="41"/>
      <c r="GVN12" s="41"/>
      <c r="GVO12" s="41"/>
      <c r="GVP12" s="41"/>
      <c r="GVQ12" s="41"/>
      <c r="GVR12" s="41"/>
      <c r="GVS12" s="41"/>
      <c r="GVT12" s="41"/>
      <c r="GVU12" s="41"/>
      <c r="GVV12" s="41"/>
      <c r="GVW12" s="41"/>
      <c r="GVX12" s="41"/>
      <c r="GVY12" s="41"/>
      <c r="GVZ12" s="41"/>
      <c r="GWA12" s="41"/>
      <c r="GWB12" s="41"/>
      <c r="GWC12" s="41"/>
      <c r="GWD12" s="41"/>
      <c r="GWE12" s="41"/>
      <c r="GWF12" s="41"/>
      <c r="GWG12" s="41"/>
      <c r="GWH12" s="41"/>
      <c r="GWI12" s="41"/>
      <c r="GWJ12" s="41"/>
      <c r="GWK12" s="41"/>
      <c r="GWL12" s="41"/>
      <c r="GWM12" s="41"/>
      <c r="GWN12" s="41"/>
      <c r="GWO12" s="41"/>
      <c r="GWP12" s="41"/>
      <c r="GWQ12" s="41"/>
      <c r="GWR12" s="41"/>
      <c r="GWS12" s="41"/>
      <c r="GWT12" s="41"/>
      <c r="GWU12" s="41"/>
      <c r="GWV12" s="41"/>
      <c r="GWW12" s="41"/>
      <c r="GWX12" s="41"/>
      <c r="GWY12" s="41"/>
      <c r="GWZ12" s="41"/>
      <c r="GXA12" s="41"/>
      <c r="GXB12" s="41"/>
      <c r="GXC12" s="41"/>
      <c r="GXD12" s="41"/>
      <c r="GXE12" s="41"/>
      <c r="GXF12" s="41"/>
      <c r="GXG12" s="41"/>
      <c r="GXH12" s="41"/>
      <c r="GXI12" s="41"/>
      <c r="GXJ12" s="41"/>
      <c r="GXK12" s="41"/>
      <c r="GXL12" s="41"/>
      <c r="GXM12" s="41"/>
      <c r="GXN12" s="41"/>
      <c r="GXO12" s="41"/>
      <c r="GXP12" s="41"/>
      <c r="GXQ12" s="41"/>
      <c r="GXR12" s="41"/>
      <c r="GXS12" s="41"/>
      <c r="GXT12" s="41"/>
      <c r="GXU12" s="41"/>
      <c r="GXV12" s="41"/>
      <c r="GXW12" s="41"/>
      <c r="GXX12" s="41"/>
      <c r="GXY12" s="41"/>
      <c r="GXZ12" s="41"/>
      <c r="GYA12" s="41"/>
      <c r="GYB12" s="41"/>
      <c r="GYC12" s="41"/>
      <c r="GYD12" s="41"/>
      <c r="GYE12" s="41"/>
      <c r="GYF12" s="41"/>
      <c r="GYG12" s="41"/>
      <c r="GYH12" s="41"/>
      <c r="GYI12" s="41"/>
      <c r="GYJ12" s="41"/>
      <c r="GYK12" s="41"/>
      <c r="GYL12" s="41"/>
      <c r="GYM12" s="41"/>
      <c r="GYN12" s="41"/>
      <c r="GYO12" s="41"/>
      <c r="GYP12" s="41"/>
      <c r="GYQ12" s="41"/>
      <c r="GYR12" s="41"/>
      <c r="GYS12" s="41"/>
      <c r="GYT12" s="41"/>
      <c r="GYU12" s="41"/>
      <c r="GYV12" s="41"/>
      <c r="GYW12" s="41"/>
      <c r="GYX12" s="41"/>
      <c r="GYY12" s="41"/>
      <c r="GYZ12" s="41"/>
      <c r="GZA12" s="41"/>
      <c r="GZB12" s="41"/>
      <c r="GZC12" s="41"/>
      <c r="GZD12" s="41"/>
      <c r="GZE12" s="41"/>
      <c r="GZF12" s="41"/>
      <c r="GZG12" s="41"/>
      <c r="GZH12" s="41"/>
      <c r="GZI12" s="41"/>
      <c r="GZJ12" s="41"/>
      <c r="GZK12" s="41"/>
      <c r="GZL12" s="41"/>
      <c r="GZM12" s="41"/>
      <c r="GZN12" s="41"/>
      <c r="GZO12" s="41"/>
      <c r="GZP12" s="41"/>
      <c r="GZQ12" s="41"/>
      <c r="GZR12" s="41"/>
      <c r="GZS12" s="41"/>
      <c r="GZT12" s="41"/>
      <c r="GZU12" s="41"/>
      <c r="GZV12" s="41"/>
      <c r="GZW12" s="41"/>
      <c r="GZX12" s="41"/>
      <c r="GZY12" s="41"/>
      <c r="GZZ12" s="41"/>
      <c r="HAA12" s="41"/>
      <c r="HAB12" s="41"/>
      <c r="HAC12" s="41"/>
      <c r="HAD12" s="41"/>
      <c r="HAE12" s="41"/>
      <c r="HAF12" s="41"/>
      <c r="HAG12" s="41"/>
      <c r="HAH12" s="41"/>
      <c r="HAI12" s="41"/>
      <c r="HAJ12" s="41"/>
      <c r="HAK12" s="41"/>
      <c r="HAL12" s="41"/>
      <c r="HAM12" s="41"/>
      <c r="HAN12" s="41"/>
      <c r="HAO12" s="41"/>
      <c r="HAP12" s="41"/>
      <c r="HAQ12" s="41"/>
      <c r="HAR12" s="41"/>
      <c r="HAS12" s="41"/>
      <c r="HAT12" s="41"/>
      <c r="HAU12" s="41"/>
      <c r="HAV12" s="41"/>
      <c r="HAW12" s="41"/>
      <c r="HAX12" s="41"/>
      <c r="HAY12" s="41"/>
      <c r="HAZ12" s="41"/>
      <c r="HBA12" s="41"/>
      <c r="HBB12" s="41"/>
      <c r="HBC12" s="41"/>
      <c r="HBD12" s="41"/>
      <c r="HBE12" s="41"/>
      <c r="HBF12" s="41"/>
      <c r="HBG12" s="41"/>
      <c r="HBH12" s="41"/>
      <c r="HBI12" s="41"/>
      <c r="HBJ12" s="41"/>
      <c r="HBK12" s="41"/>
      <c r="HBL12" s="41"/>
      <c r="HBM12" s="41"/>
      <c r="HBN12" s="41"/>
      <c r="HBO12" s="41"/>
      <c r="HBP12" s="41"/>
      <c r="HBQ12" s="41"/>
      <c r="HBR12" s="41"/>
      <c r="HBS12" s="41"/>
      <c r="HBT12" s="41"/>
      <c r="HBU12" s="41"/>
      <c r="HBV12" s="41"/>
      <c r="HBW12" s="41"/>
      <c r="HBX12" s="41"/>
      <c r="HBY12" s="41"/>
      <c r="HBZ12" s="41"/>
      <c r="HCA12" s="41"/>
      <c r="HCB12" s="41"/>
      <c r="HCC12" s="41"/>
      <c r="HCD12" s="41"/>
      <c r="HCE12" s="41"/>
      <c r="HCF12" s="41"/>
      <c r="HCG12" s="41"/>
      <c r="HCH12" s="41"/>
      <c r="HCI12" s="41"/>
      <c r="HCJ12" s="41"/>
      <c r="HCK12" s="41"/>
      <c r="HCL12" s="41"/>
      <c r="HCM12" s="41"/>
      <c r="HCN12" s="41"/>
      <c r="HCO12" s="41"/>
      <c r="HCP12" s="41"/>
      <c r="HCQ12" s="41"/>
      <c r="HCR12" s="41"/>
      <c r="HCS12" s="41"/>
      <c r="HCT12" s="41"/>
      <c r="HCU12" s="41"/>
      <c r="HCV12" s="41"/>
      <c r="HCW12" s="41"/>
      <c r="HCX12" s="41"/>
      <c r="HCY12" s="41"/>
      <c r="HCZ12" s="41"/>
      <c r="HDA12" s="41"/>
      <c r="HDB12" s="41"/>
      <c r="HDC12" s="41"/>
      <c r="HDD12" s="41"/>
      <c r="HDE12" s="41"/>
      <c r="HDF12" s="41"/>
      <c r="HDG12" s="41"/>
      <c r="HDH12" s="41"/>
      <c r="HDI12" s="41"/>
      <c r="HDJ12" s="41"/>
      <c r="HDK12" s="41"/>
      <c r="HDL12" s="41"/>
      <c r="HDM12" s="41"/>
      <c r="HDN12" s="41"/>
      <c r="HDO12" s="41"/>
      <c r="HDP12" s="41"/>
      <c r="HDQ12" s="41"/>
      <c r="HDR12" s="41"/>
      <c r="HDS12" s="41"/>
      <c r="HDT12" s="41"/>
      <c r="HDU12" s="41"/>
      <c r="HDV12" s="41"/>
      <c r="HDW12" s="41"/>
      <c r="HDX12" s="41"/>
      <c r="HDY12" s="41"/>
      <c r="HDZ12" s="41"/>
      <c r="HEA12" s="41"/>
      <c r="HEB12" s="41"/>
      <c r="HEC12" s="41"/>
      <c r="HED12" s="41"/>
      <c r="HEE12" s="41"/>
      <c r="HEF12" s="41"/>
      <c r="HEG12" s="41"/>
      <c r="HEH12" s="41"/>
      <c r="HEI12" s="41"/>
      <c r="HEJ12" s="41"/>
      <c r="HEK12" s="41"/>
      <c r="HEL12" s="41"/>
      <c r="HEM12" s="41"/>
      <c r="HEN12" s="41"/>
      <c r="HEO12" s="41"/>
      <c r="HEP12" s="41"/>
      <c r="HEQ12" s="41"/>
      <c r="HER12" s="41"/>
      <c r="HES12" s="41"/>
      <c r="HET12" s="41"/>
      <c r="HEU12" s="41"/>
      <c r="HEV12" s="41"/>
      <c r="HEW12" s="41"/>
      <c r="HEX12" s="41"/>
      <c r="HEY12" s="41"/>
      <c r="HEZ12" s="41"/>
      <c r="HFA12" s="41"/>
      <c r="HFB12" s="41"/>
      <c r="HFC12" s="41"/>
      <c r="HFD12" s="41"/>
      <c r="HFE12" s="41"/>
      <c r="HFF12" s="41"/>
      <c r="HFG12" s="41"/>
      <c r="HFH12" s="41"/>
      <c r="HFI12" s="41"/>
      <c r="HFJ12" s="41"/>
      <c r="HFK12" s="41"/>
      <c r="HFL12" s="41"/>
      <c r="HFM12" s="41"/>
      <c r="HFN12" s="41"/>
      <c r="HFO12" s="41"/>
      <c r="HFP12" s="41"/>
      <c r="HFQ12" s="41"/>
      <c r="HFR12" s="41"/>
      <c r="HFS12" s="41"/>
      <c r="HFT12" s="41"/>
      <c r="HFU12" s="41"/>
      <c r="HFV12" s="41"/>
      <c r="HFW12" s="41"/>
      <c r="HFX12" s="41"/>
      <c r="HFY12" s="41"/>
      <c r="HFZ12" s="41"/>
      <c r="HGA12" s="41"/>
      <c r="HGB12" s="41"/>
      <c r="HGC12" s="41"/>
      <c r="HGD12" s="41"/>
      <c r="HGE12" s="41"/>
      <c r="HGF12" s="41"/>
      <c r="HGG12" s="41"/>
      <c r="HGH12" s="41"/>
      <c r="HGI12" s="41"/>
      <c r="HGJ12" s="41"/>
      <c r="HGK12" s="41"/>
      <c r="HGL12" s="41"/>
      <c r="HGM12" s="41"/>
      <c r="HGN12" s="41"/>
      <c r="HGO12" s="41"/>
      <c r="HGP12" s="41"/>
      <c r="HGQ12" s="41"/>
      <c r="HGR12" s="41"/>
      <c r="HGS12" s="41"/>
      <c r="HGT12" s="41"/>
      <c r="HGU12" s="41"/>
      <c r="HGV12" s="41"/>
      <c r="HGW12" s="41"/>
      <c r="HGX12" s="41"/>
      <c r="HGY12" s="41"/>
      <c r="HGZ12" s="41"/>
      <c r="HHA12" s="41"/>
      <c r="HHB12" s="41"/>
      <c r="HHC12" s="41"/>
      <c r="HHD12" s="41"/>
      <c r="HHE12" s="41"/>
      <c r="HHF12" s="41"/>
      <c r="HHG12" s="41"/>
      <c r="HHH12" s="41"/>
      <c r="HHI12" s="41"/>
      <c r="HHJ12" s="41"/>
      <c r="HHK12" s="41"/>
      <c r="HHL12" s="41"/>
      <c r="HHM12" s="41"/>
      <c r="HHN12" s="41"/>
      <c r="HHO12" s="41"/>
      <c r="HHP12" s="41"/>
      <c r="HHQ12" s="41"/>
      <c r="HHR12" s="41"/>
      <c r="HHS12" s="41"/>
      <c r="HHT12" s="41"/>
      <c r="HHU12" s="41"/>
      <c r="HHV12" s="41"/>
      <c r="HHW12" s="41"/>
      <c r="HHX12" s="41"/>
      <c r="HHY12" s="41"/>
      <c r="HHZ12" s="41"/>
      <c r="HIA12" s="41"/>
      <c r="HIB12" s="41"/>
      <c r="HIC12" s="41"/>
      <c r="HID12" s="41"/>
      <c r="HIE12" s="41"/>
      <c r="HIF12" s="41"/>
      <c r="HIG12" s="41"/>
      <c r="HIH12" s="41"/>
      <c r="HII12" s="41"/>
      <c r="HIJ12" s="41"/>
      <c r="HIK12" s="41"/>
      <c r="HIL12" s="41"/>
      <c r="HIM12" s="41"/>
      <c r="HIN12" s="41"/>
      <c r="HIO12" s="41"/>
      <c r="HIP12" s="41"/>
      <c r="HIQ12" s="41"/>
      <c r="HIR12" s="41"/>
      <c r="HIS12" s="41"/>
      <c r="HIT12" s="41"/>
      <c r="HIU12" s="41"/>
      <c r="HIV12" s="41"/>
      <c r="HIW12" s="41"/>
      <c r="HIX12" s="41"/>
      <c r="HIY12" s="41"/>
      <c r="HIZ12" s="41"/>
      <c r="HJA12" s="41"/>
      <c r="HJB12" s="41"/>
      <c r="HJC12" s="41"/>
      <c r="HJD12" s="41"/>
      <c r="HJE12" s="41"/>
      <c r="HJF12" s="41"/>
      <c r="HJG12" s="41"/>
      <c r="HJH12" s="41"/>
      <c r="HJI12" s="41"/>
      <c r="HJJ12" s="41"/>
      <c r="HJK12" s="41"/>
      <c r="HJL12" s="41"/>
      <c r="HJM12" s="41"/>
      <c r="HJN12" s="41"/>
      <c r="HJO12" s="41"/>
      <c r="HJP12" s="41"/>
      <c r="HJQ12" s="41"/>
      <c r="HJR12" s="41"/>
      <c r="HJS12" s="41"/>
      <c r="HJT12" s="41"/>
      <c r="HJU12" s="41"/>
      <c r="HJV12" s="41"/>
      <c r="HJW12" s="41"/>
      <c r="HJX12" s="41"/>
      <c r="HJY12" s="41"/>
      <c r="HJZ12" s="41"/>
      <c r="HKA12" s="41"/>
      <c r="HKB12" s="41"/>
      <c r="HKC12" s="41"/>
      <c r="HKD12" s="41"/>
      <c r="HKE12" s="41"/>
      <c r="HKF12" s="41"/>
      <c r="HKG12" s="41"/>
      <c r="HKH12" s="41"/>
      <c r="HKI12" s="41"/>
      <c r="HKJ12" s="41"/>
      <c r="HKK12" s="41"/>
      <c r="HKL12" s="41"/>
      <c r="HKM12" s="41"/>
      <c r="HKN12" s="41"/>
      <c r="HKO12" s="41"/>
      <c r="HKP12" s="41"/>
      <c r="HKQ12" s="41"/>
      <c r="HKR12" s="41"/>
      <c r="HKS12" s="41"/>
      <c r="HKT12" s="41"/>
      <c r="HKU12" s="41"/>
      <c r="HKV12" s="41"/>
      <c r="HKW12" s="41"/>
      <c r="HKX12" s="41"/>
      <c r="HKY12" s="41"/>
      <c r="HKZ12" s="41"/>
      <c r="HLA12" s="41"/>
      <c r="HLB12" s="41"/>
      <c r="HLC12" s="41"/>
      <c r="HLD12" s="41"/>
      <c r="HLE12" s="41"/>
      <c r="HLF12" s="41"/>
      <c r="HLG12" s="41"/>
      <c r="HLH12" s="41"/>
      <c r="HLI12" s="41"/>
      <c r="HLJ12" s="41"/>
      <c r="HLK12" s="41"/>
      <c r="HLL12" s="41"/>
      <c r="HLM12" s="41"/>
      <c r="HLN12" s="41"/>
      <c r="HLO12" s="41"/>
      <c r="HLP12" s="41"/>
      <c r="HLQ12" s="41"/>
      <c r="HLR12" s="41"/>
      <c r="HLS12" s="41"/>
      <c r="HLT12" s="41"/>
      <c r="HLU12" s="41"/>
      <c r="HLV12" s="41"/>
      <c r="HLW12" s="41"/>
      <c r="HLX12" s="41"/>
      <c r="HLY12" s="41"/>
      <c r="HLZ12" s="41"/>
      <c r="HMA12" s="41"/>
      <c r="HMB12" s="41"/>
      <c r="HMC12" s="41"/>
      <c r="HMD12" s="41"/>
      <c r="HME12" s="41"/>
      <c r="HMF12" s="41"/>
      <c r="HMG12" s="41"/>
      <c r="HMH12" s="41"/>
      <c r="HMI12" s="41"/>
      <c r="HMJ12" s="41"/>
      <c r="HMK12" s="41"/>
      <c r="HML12" s="41"/>
      <c r="HMM12" s="41"/>
      <c r="HMN12" s="41"/>
      <c r="HMO12" s="41"/>
      <c r="HMP12" s="41"/>
      <c r="HMQ12" s="41"/>
      <c r="HMR12" s="41"/>
      <c r="HMS12" s="41"/>
      <c r="HMT12" s="41"/>
      <c r="HMU12" s="41"/>
      <c r="HMV12" s="41"/>
      <c r="HMW12" s="41"/>
      <c r="HMX12" s="41"/>
      <c r="HMY12" s="41"/>
      <c r="HMZ12" s="41"/>
      <c r="HNA12" s="41"/>
      <c r="HNB12" s="41"/>
      <c r="HNC12" s="41"/>
      <c r="HND12" s="41"/>
      <c r="HNE12" s="41"/>
      <c r="HNF12" s="41"/>
      <c r="HNG12" s="41"/>
      <c r="HNH12" s="41"/>
      <c r="HNI12" s="41"/>
      <c r="HNJ12" s="41"/>
      <c r="HNK12" s="41"/>
      <c r="HNL12" s="41"/>
      <c r="HNM12" s="41"/>
      <c r="HNN12" s="41"/>
      <c r="HNO12" s="41"/>
      <c r="HNP12" s="41"/>
      <c r="HNQ12" s="41"/>
      <c r="HNR12" s="41"/>
      <c r="HNS12" s="41"/>
      <c r="HNT12" s="41"/>
      <c r="HNU12" s="41"/>
      <c r="HNV12" s="41"/>
      <c r="HNW12" s="41"/>
      <c r="HNX12" s="41"/>
      <c r="HNY12" s="41"/>
      <c r="HNZ12" s="41"/>
      <c r="HOA12" s="41"/>
      <c r="HOB12" s="41"/>
      <c r="HOC12" s="41"/>
      <c r="HOD12" s="41"/>
      <c r="HOE12" s="41"/>
      <c r="HOF12" s="41"/>
      <c r="HOG12" s="41"/>
      <c r="HOH12" s="41"/>
      <c r="HOI12" s="41"/>
      <c r="HOJ12" s="41"/>
      <c r="HOK12" s="41"/>
      <c r="HOL12" s="41"/>
      <c r="HOM12" s="41"/>
      <c r="HON12" s="41"/>
      <c r="HOO12" s="41"/>
      <c r="HOP12" s="41"/>
      <c r="HOQ12" s="41"/>
      <c r="HOR12" s="41"/>
      <c r="HOS12" s="41"/>
      <c r="HOT12" s="41"/>
      <c r="HOU12" s="41"/>
      <c r="HOV12" s="41"/>
      <c r="HOW12" s="41"/>
      <c r="HOX12" s="41"/>
      <c r="HOY12" s="41"/>
      <c r="HOZ12" s="41"/>
      <c r="HPA12" s="41"/>
      <c r="HPB12" s="41"/>
      <c r="HPC12" s="41"/>
      <c r="HPD12" s="41"/>
      <c r="HPE12" s="41"/>
      <c r="HPF12" s="41"/>
      <c r="HPG12" s="41"/>
      <c r="HPH12" s="41"/>
      <c r="HPI12" s="41"/>
      <c r="HPJ12" s="41"/>
      <c r="HPK12" s="41"/>
      <c r="HPL12" s="41"/>
      <c r="HPM12" s="41"/>
      <c r="HPN12" s="41"/>
      <c r="HPO12" s="41"/>
      <c r="HPP12" s="41"/>
      <c r="HPQ12" s="41"/>
      <c r="HPR12" s="41"/>
      <c r="HPS12" s="41"/>
      <c r="HPT12" s="41"/>
      <c r="HPU12" s="41"/>
      <c r="HPV12" s="41"/>
      <c r="HPW12" s="41"/>
      <c r="HPX12" s="41"/>
      <c r="HPY12" s="41"/>
      <c r="HPZ12" s="41"/>
      <c r="HQA12" s="41"/>
      <c r="HQB12" s="41"/>
      <c r="HQC12" s="41"/>
      <c r="HQD12" s="41"/>
      <c r="HQE12" s="41"/>
      <c r="HQF12" s="41"/>
      <c r="HQG12" s="41"/>
      <c r="HQH12" s="41"/>
      <c r="HQI12" s="41"/>
      <c r="HQJ12" s="41"/>
      <c r="HQK12" s="41"/>
      <c r="HQL12" s="41"/>
      <c r="HQM12" s="41"/>
      <c r="HQN12" s="41"/>
      <c r="HQO12" s="41"/>
      <c r="HQP12" s="41"/>
      <c r="HQQ12" s="41"/>
      <c r="HQR12" s="41"/>
      <c r="HQS12" s="41"/>
      <c r="HQT12" s="41"/>
      <c r="HQU12" s="41"/>
      <c r="HQV12" s="41"/>
      <c r="HQW12" s="41"/>
      <c r="HQX12" s="41"/>
      <c r="HQY12" s="41"/>
      <c r="HQZ12" s="41"/>
      <c r="HRA12" s="41"/>
      <c r="HRB12" s="41"/>
      <c r="HRC12" s="41"/>
      <c r="HRD12" s="41"/>
      <c r="HRE12" s="41"/>
      <c r="HRF12" s="41"/>
      <c r="HRG12" s="41"/>
      <c r="HRH12" s="41"/>
      <c r="HRI12" s="41"/>
      <c r="HRJ12" s="41"/>
      <c r="HRK12" s="41"/>
      <c r="HRL12" s="41"/>
      <c r="HRM12" s="41"/>
      <c r="HRN12" s="41"/>
      <c r="HRO12" s="41"/>
      <c r="HRP12" s="41"/>
      <c r="HRQ12" s="41"/>
      <c r="HRR12" s="41"/>
      <c r="HRS12" s="41"/>
      <c r="HRT12" s="41"/>
      <c r="HRU12" s="41"/>
      <c r="HRV12" s="41"/>
      <c r="HRW12" s="41"/>
      <c r="HRX12" s="41"/>
      <c r="HRY12" s="41"/>
      <c r="HRZ12" s="41"/>
      <c r="HSA12" s="41"/>
      <c r="HSB12" s="41"/>
      <c r="HSC12" s="41"/>
      <c r="HSD12" s="41"/>
      <c r="HSE12" s="41"/>
      <c r="HSF12" s="41"/>
      <c r="HSG12" s="41"/>
      <c r="HSH12" s="41"/>
      <c r="HSI12" s="41"/>
      <c r="HSJ12" s="41"/>
      <c r="HSK12" s="41"/>
      <c r="HSL12" s="41"/>
      <c r="HSM12" s="41"/>
      <c r="HSN12" s="41"/>
      <c r="HSO12" s="41"/>
      <c r="HSP12" s="41"/>
      <c r="HSQ12" s="41"/>
      <c r="HSR12" s="41"/>
      <c r="HSS12" s="41"/>
      <c r="HST12" s="41"/>
      <c r="HSU12" s="41"/>
      <c r="HSV12" s="41"/>
      <c r="HSW12" s="41"/>
      <c r="HSX12" s="41"/>
      <c r="HSY12" s="41"/>
      <c r="HSZ12" s="41"/>
      <c r="HTA12" s="41"/>
      <c r="HTB12" s="41"/>
      <c r="HTC12" s="41"/>
      <c r="HTD12" s="41"/>
      <c r="HTE12" s="41"/>
      <c r="HTF12" s="41"/>
      <c r="HTG12" s="41"/>
      <c r="HTH12" s="41"/>
      <c r="HTI12" s="41"/>
      <c r="HTJ12" s="41"/>
      <c r="HTK12" s="41"/>
      <c r="HTL12" s="41"/>
      <c r="HTM12" s="41"/>
      <c r="HTN12" s="41"/>
      <c r="HTO12" s="41"/>
      <c r="HTP12" s="41"/>
      <c r="HTQ12" s="41"/>
      <c r="HTR12" s="41"/>
      <c r="HTS12" s="41"/>
      <c r="HTT12" s="41"/>
      <c r="HTU12" s="41"/>
      <c r="HTV12" s="41"/>
      <c r="HTW12" s="41"/>
      <c r="HTX12" s="41"/>
      <c r="HTY12" s="41"/>
      <c r="HTZ12" s="41"/>
      <c r="HUA12" s="41"/>
      <c r="HUB12" s="41"/>
      <c r="HUC12" s="41"/>
      <c r="HUD12" s="41"/>
      <c r="HUE12" s="41"/>
      <c r="HUF12" s="41"/>
      <c r="HUG12" s="41"/>
      <c r="HUH12" s="41"/>
      <c r="HUI12" s="41"/>
      <c r="HUJ12" s="41"/>
      <c r="HUK12" s="41"/>
      <c r="HUL12" s="41"/>
      <c r="HUM12" s="41"/>
      <c r="HUN12" s="41"/>
      <c r="HUO12" s="41"/>
      <c r="HUP12" s="41"/>
      <c r="HUQ12" s="41"/>
      <c r="HUR12" s="41"/>
      <c r="HUS12" s="41"/>
      <c r="HUT12" s="41"/>
      <c r="HUU12" s="41"/>
      <c r="HUV12" s="41"/>
      <c r="HUW12" s="41"/>
      <c r="HUX12" s="41"/>
      <c r="HUY12" s="41"/>
      <c r="HUZ12" s="41"/>
      <c r="HVA12" s="41"/>
      <c r="HVB12" s="41"/>
      <c r="HVC12" s="41"/>
      <c r="HVD12" s="41"/>
      <c r="HVE12" s="41"/>
      <c r="HVF12" s="41"/>
      <c r="HVG12" s="41"/>
      <c r="HVH12" s="41"/>
      <c r="HVI12" s="41"/>
      <c r="HVJ12" s="41"/>
      <c r="HVK12" s="41"/>
      <c r="HVL12" s="41"/>
      <c r="HVM12" s="41"/>
      <c r="HVN12" s="41"/>
      <c r="HVO12" s="41"/>
      <c r="HVP12" s="41"/>
      <c r="HVQ12" s="41"/>
      <c r="HVR12" s="41"/>
      <c r="HVS12" s="41"/>
      <c r="HVT12" s="41"/>
      <c r="HVU12" s="41"/>
      <c r="HVV12" s="41"/>
      <c r="HVW12" s="41"/>
      <c r="HVX12" s="41"/>
      <c r="HVY12" s="41"/>
      <c r="HVZ12" s="41"/>
      <c r="HWA12" s="41"/>
      <c r="HWB12" s="41"/>
      <c r="HWC12" s="41"/>
      <c r="HWD12" s="41"/>
      <c r="HWE12" s="41"/>
      <c r="HWF12" s="41"/>
      <c r="HWG12" s="41"/>
      <c r="HWH12" s="41"/>
      <c r="HWI12" s="41"/>
      <c r="HWJ12" s="41"/>
      <c r="HWK12" s="41"/>
      <c r="HWL12" s="41"/>
      <c r="HWM12" s="41"/>
      <c r="HWN12" s="41"/>
      <c r="HWO12" s="41"/>
      <c r="HWP12" s="41"/>
      <c r="HWQ12" s="41"/>
      <c r="HWR12" s="41"/>
      <c r="HWS12" s="41"/>
      <c r="HWT12" s="41"/>
      <c r="HWU12" s="41"/>
      <c r="HWV12" s="41"/>
      <c r="HWW12" s="41"/>
      <c r="HWX12" s="41"/>
      <c r="HWY12" s="41"/>
      <c r="HWZ12" s="41"/>
      <c r="HXA12" s="41"/>
      <c r="HXB12" s="41"/>
      <c r="HXC12" s="41"/>
      <c r="HXD12" s="41"/>
      <c r="HXE12" s="41"/>
      <c r="HXF12" s="41"/>
      <c r="HXG12" s="41"/>
      <c r="HXH12" s="41"/>
      <c r="HXI12" s="41"/>
      <c r="HXJ12" s="41"/>
      <c r="HXK12" s="41"/>
      <c r="HXL12" s="41"/>
      <c r="HXM12" s="41"/>
      <c r="HXN12" s="41"/>
      <c r="HXO12" s="41"/>
      <c r="HXP12" s="41"/>
      <c r="HXQ12" s="41"/>
      <c r="HXR12" s="41"/>
      <c r="HXS12" s="41"/>
      <c r="HXT12" s="41"/>
      <c r="HXU12" s="41"/>
      <c r="HXV12" s="41"/>
      <c r="HXW12" s="41"/>
      <c r="HXX12" s="41"/>
      <c r="HXY12" s="41"/>
      <c r="HXZ12" s="41"/>
      <c r="HYA12" s="41"/>
      <c r="HYB12" s="41"/>
      <c r="HYC12" s="41"/>
      <c r="HYD12" s="41"/>
      <c r="HYE12" s="41"/>
      <c r="HYF12" s="41"/>
      <c r="HYG12" s="41"/>
      <c r="HYH12" s="41"/>
      <c r="HYI12" s="41"/>
      <c r="HYJ12" s="41"/>
      <c r="HYK12" s="41"/>
      <c r="HYL12" s="41"/>
      <c r="HYM12" s="41"/>
      <c r="HYN12" s="41"/>
      <c r="HYO12" s="41"/>
      <c r="HYP12" s="41"/>
      <c r="HYQ12" s="41"/>
      <c r="HYR12" s="41"/>
      <c r="HYS12" s="41"/>
      <c r="HYT12" s="41"/>
      <c r="HYU12" s="41"/>
      <c r="HYV12" s="41"/>
      <c r="HYW12" s="41"/>
      <c r="HYX12" s="41"/>
      <c r="HYY12" s="41"/>
      <c r="HYZ12" s="41"/>
      <c r="HZA12" s="41"/>
      <c r="HZB12" s="41"/>
      <c r="HZC12" s="41"/>
      <c r="HZD12" s="41"/>
      <c r="HZE12" s="41"/>
      <c r="HZF12" s="41"/>
      <c r="HZG12" s="41"/>
      <c r="HZH12" s="41"/>
      <c r="HZI12" s="41"/>
      <c r="HZJ12" s="41"/>
      <c r="HZK12" s="41"/>
      <c r="HZL12" s="41"/>
      <c r="HZM12" s="41"/>
      <c r="HZN12" s="41"/>
      <c r="HZO12" s="41"/>
      <c r="HZP12" s="41"/>
      <c r="HZQ12" s="41"/>
      <c r="HZR12" s="41"/>
      <c r="HZS12" s="41"/>
      <c r="HZT12" s="41"/>
      <c r="HZU12" s="41"/>
      <c r="HZV12" s="41"/>
      <c r="HZW12" s="41"/>
      <c r="HZX12" s="41"/>
      <c r="HZY12" s="41"/>
      <c r="HZZ12" s="41"/>
      <c r="IAA12" s="41"/>
      <c r="IAB12" s="41"/>
      <c r="IAC12" s="41"/>
      <c r="IAD12" s="41"/>
      <c r="IAE12" s="41"/>
      <c r="IAF12" s="41"/>
      <c r="IAG12" s="41"/>
      <c r="IAH12" s="41"/>
      <c r="IAI12" s="41"/>
      <c r="IAJ12" s="41"/>
      <c r="IAK12" s="41"/>
      <c r="IAL12" s="41"/>
      <c r="IAM12" s="41"/>
      <c r="IAN12" s="41"/>
      <c r="IAO12" s="41"/>
      <c r="IAP12" s="41"/>
      <c r="IAQ12" s="41"/>
      <c r="IAR12" s="41"/>
      <c r="IAS12" s="41"/>
      <c r="IAT12" s="41"/>
      <c r="IAU12" s="41"/>
      <c r="IAV12" s="41"/>
      <c r="IAW12" s="41"/>
      <c r="IAX12" s="41"/>
      <c r="IAY12" s="41"/>
      <c r="IAZ12" s="41"/>
      <c r="IBA12" s="41"/>
      <c r="IBB12" s="41"/>
      <c r="IBC12" s="41"/>
      <c r="IBD12" s="41"/>
      <c r="IBE12" s="41"/>
      <c r="IBF12" s="41"/>
      <c r="IBG12" s="41"/>
      <c r="IBH12" s="41"/>
      <c r="IBI12" s="41"/>
      <c r="IBJ12" s="41"/>
      <c r="IBK12" s="41"/>
      <c r="IBL12" s="41"/>
      <c r="IBM12" s="41"/>
      <c r="IBN12" s="41"/>
      <c r="IBO12" s="41"/>
      <c r="IBP12" s="41"/>
      <c r="IBQ12" s="41"/>
      <c r="IBR12" s="41"/>
      <c r="IBS12" s="41"/>
      <c r="IBT12" s="41"/>
      <c r="IBU12" s="41"/>
      <c r="IBV12" s="41"/>
      <c r="IBW12" s="41"/>
      <c r="IBX12" s="41"/>
      <c r="IBY12" s="41"/>
      <c r="IBZ12" s="41"/>
      <c r="ICA12" s="41"/>
      <c r="ICB12" s="41"/>
      <c r="ICC12" s="41"/>
      <c r="ICD12" s="41"/>
      <c r="ICE12" s="41"/>
      <c r="ICF12" s="41"/>
      <c r="ICG12" s="41"/>
      <c r="ICH12" s="41"/>
      <c r="ICI12" s="41"/>
      <c r="ICJ12" s="41"/>
      <c r="ICK12" s="41"/>
      <c r="ICL12" s="41"/>
      <c r="ICM12" s="41"/>
      <c r="ICN12" s="41"/>
      <c r="ICO12" s="41"/>
      <c r="ICP12" s="41"/>
      <c r="ICQ12" s="41"/>
      <c r="ICR12" s="41"/>
      <c r="ICS12" s="41"/>
      <c r="ICT12" s="41"/>
      <c r="ICU12" s="41"/>
      <c r="ICV12" s="41"/>
      <c r="ICW12" s="41"/>
      <c r="ICX12" s="41"/>
      <c r="ICY12" s="41"/>
      <c r="ICZ12" s="41"/>
      <c r="IDA12" s="41"/>
      <c r="IDB12" s="41"/>
      <c r="IDC12" s="41"/>
      <c r="IDD12" s="41"/>
      <c r="IDE12" s="41"/>
      <c r="IDF12" s="41"/>
      <c r="IDG12" s="41"/>
      <c r="IDH12" s="41"/>
      <c r="IDI12" s="41"/>
      <c r="IDJ12" s="41"/>
      <c r="IDK12" s="41"/>
      <c r="IDL12" s="41"/>
      <c r="IDM12" s="41"/>
      <c r="IDN12" s="41"/>
      <c r="IDO12" s="41"/>
      <c r="IDP12" s="41"/>
      <c r="IDQ12" s="41"/>
      <c r="IDR12" s="41"/>
      <c r="IDS12" s="41"/>
      <c r="IDT12" s="41"/>
      <c r="IDU12" s="41"/>
      <c r="IDV12" s="41"/>
      <c r="IDW12" s="41"/>
      <c r="IDX12" s="41"/>
      <c r="IDY12" s="41"/>
      <c r="IDZ12" s="41"/>
      <c r="IEA12" s="41"/>
      <c r="IEB12" s="41"/>
      <c r="IEC12" s="41"/>
      <c r="IED12" s="41"/>
      <c r="IEE12" s="41"/>
      <c r="IEF12" s="41"/>
      <c r="IEG12" s="41"/>
      <c r="IEH12" s="41"/>
      <c r="IEI12" s="41"/>
      <c r="IEJ12" s="41"/>
      <c r="IEK12" s="41"/>
      <c r="IEL12" s="41"/>
      <c r="IEM12" s="41"/>
      <c r="IEN12" s="41"/>
      <c r="IEO12" s="41"/>
      <c r="IEP12" s="41"/>
      <c r="IEQ12" s="41"/>
      <c r="IER12" s="41"/>
      <c r="IES12" s="41"/>
      <c r="IET12" s="41"/>
      <c r="IEU12" s="41"/>
      <c r="IEV12" s="41"/>
      <c r="IEW12" s="41"/>
      <c r="IEX12" s="41"/>
      <c r="IEY12" s="41"/>
      <c r="IEZ12" s="41"/>
      <c r="IFA12" s="41"/>
      <c r="IFB12" s="41"/>
      <c r="IFC12" s="41"/>
      <c r="IFD12" s="41"/>
      <c r="IFE12" s="41"/>
      <c r="IFF12" s="41"/>
      <c r="IFG12" s="41"/>
      <c r="IFH12" s="41"/>
      <c r="IFI12" s="41"/>
      <c r="IFJ12" s="41"/>
      <c r="IFK12" s="41"/>
      <c r="IFL12" s="41"/>
      <c r="IFM12" s="41"/>
      <c r="IFN12" s="41"/>
      <c r="IFO12" s="41"/>
      <c r="IFP12" s="41"/>
      <c r="IFQ12" s="41"/>
      <c r="IFR12" s="41"/>
      <c r="IFS12" s="41"/>
      <c r="IFT12" s="41"/>
      <c r="IFU12" s="41"/>
      <c r="IFV12" s="41"/>
      <c r="IFW12" s="41"/>
      <c r="IFX12" s="41"/>
      <c r="IFY12" s="41"/>
      <c r="IFZ12" s="41"/>
      <c r="IGA12" s="41"/>
      <c r="IGB12" s="41"/>
      <c r="IGC12" s="41"/>
      <c r="IGD12" s="41"/>
      <c r="IGE12" s="41"/>
      <c r="IGF12" s="41"/>
      <c r="IGG12" s="41"/>
      <c r="IGH12" s="41"/>
      <c r="IGI12" s="41"/>
      <c r="IGJ12" s="41"/>
      <c r="IGK12" s="41"/>
      <c r="IGL12" s="41"/>
      <c r="IGM12" s="41"/>
      <c r="IGN12" s="41"/>
      <c r="IGO12" s="41"/>
      <c r="IGP12" s="41"/>
      <c r="IGQ12" s="41"/>
      <c r="IGR12" s="41"/>
      <c r="IGS12" s="41"/>
      <c r="IGT12" s="41"/>
      <c r="IGU12" s="41"/>
      <c r="IGV12" s="41"/>
      <c r="IGW12" s="41"/>
      <c r="IGX12" s="41"/>
      <c r="IGY12" s="41"/>
      <c r="IGZ12" s="41"/>
      <c r="IHA12" s="41"/>
      <c r="IHB12" s="41"/>
      <c r="IHC12" s="41"/>
      <c r="IHD12" s="41"/>
      <c r="IHE12" s="41"/>
      <c r="IHF12" s="41"/>
      <c r="IHG12" s="41"/>
      <c r="IHH12" s="41"/>
      <c r="IHI12" s="41"/>
      <c r="IHJ12" s="41"/>
      <c r="IHK12" s="41"/>
      <c r="IHL12" s="41"/>
      <c r="IHM12" s="41"/>
      <c r="IHN12" s="41"/>
      <c r="IHO12" s="41"/>
      <c r="IHP12" s="41"/>
      <c r="IHQ12" s="41"/>
      <c r="IHR12" s="41"/>
      <c r="IHS12" s="41"/>
      <c r="IHT12" s="41"/>
      <c r="IHU12" s="41"/>
      <c r="IHV12" s="41"/>
      <c r="IHW12" s="41"/>
      <c r="IHX12" s="41"/>
      <c r="IHY12" s="41"/>
      <c r="IHZ12" s="41"/>
      <c r="IIA12" s="41"/>
      <c r="IIB12" s="41"/>
      <c r="IIC12" s="41"/>
      <c r="IID12" s="41"/>
      <c r="IIE12" s="41"/>
      <c r="IIF12" s="41"/>
      <c r="IIG12" s="41"/>
      <c r="IIH12" s="41"/>
      <c r="III12" s="41"/>
      <c r="IIJ12" s="41"/>
      <c r="IIK12" s="41"/>
      <c r="IIL12" s="41"/>
      <c r="IIM12" s="41"/>
      <c r="IIN12" s="41"/>
      <c r="IIO12" s="41"/>
      <c r="IIP12" s="41"/>
      <c r="IIQ12" s="41"/>
      <c r="IIR12" s="41"/>
      <c r="IIS12" s="41"/>
      <c r="IIT12" s="41"/>
      <c r="IIU12" s="41"/>
      <c r="IIV12" s="41"/>
      <c r="IIW12" s="41"/>
      <c r="IIX12" s="41"/>
      <c r="IIY12" s="41"/>
      <c r="IIZ12" s="41"/>
      <c r="IJA12" s="41"/>
      <c r="IJB12" s="41"/>
      <c r="IJC12" s="41"/>
      <c r="IJD12" s="41"/>
      <c r="IJE12" s="41"/>
      <c r="IJF12" s="41"/>
      <c r="IJG12" s="41"/>
      <c r="IJH12" s="41"/>
      <c r="IJI12" s="41"/>
      <c r="IJJ12" s="41"/>
      <c r="IJK12" s="41"/>
      <c r="IJL12" s="41"/>
      <c r="IJM12" s="41"/>
      <c r="IJN12" s="41"/>
      <c r="IJO12" s="41"/>
      <c r="IJP12" s="41"/>
      <c r="IJQ12" s="41"/>
      <c r="IJR12" s="41"/>
      <c r="IJS12" s="41"/>
      <c r="IJT12" s="41"/>
      <c r="IJU12" s="41"/>
      <c r="IJV12" s="41"/>
      <c r="IJW12" s="41"/>
      <c r="IJX12" s="41"/>
      <c r="IJY12" s="41"/>
      <c r="IJZ12" s="41"/>
      <c r="IKA12" s="41"/>
      <c r="IKB12" s="41"/>
      <c r="IKC12" s="41"/>
      <c r="IKD12" s="41"/>
      <c r="IKE12" s="41"/>
      <c r="IKF12" s="41"/>
      <c r="IKG12" s="41"/>
      <c r="IKH12" s="41"/>
      <c r="IKI12" s="41"/>
      <c r="IKJ12" s="41"/>
      <c r="IKK12" s="41"/>
      <c r="IKL12" s="41"/>
      <c r="IKM12" s="41"/>
      <c r="IKN12" s="41"/>
      <c r="IKO12" s="41"/>
      <c r="IKP12" s="41"/>
      <c r="IKQ12" s="41"/>
      <c r="IKR12" s="41"/>
      <c r="IKS12" s="41"/>
      <c r="IKT12" s="41"/>
      <c r="IKU12" s="41"/>
      <c r="IKV12" s="41"/>
      <c r="IKW12" s="41"/>
      <c r="IKX12" s="41"/>
      <c r="IKY12" s="41"/>
      <c r="IKZ12" s="41"/>
      <c r="ILA12" s="41"/>
      <c r="ILB12" s="41"/>
      <c r="ILC12" s="41"/>
      <c r="ILD12" s="41"/>
      <c r="ILE12" s="41"/>
      <c r="ILF12" s="41"/>
      <c r="ILG12" s="41"/>
      <c r="ILH12" s="41"/>
      <c r="ILI12" s="41"/>
      <c r="ILJ12" s="41"/>
      <c r="ILK12" s="41"/>
      <c r="ILL12" s="41"/>
      <c r="ILM12" s="41"/>
      <c r="ILN12" s="41"/>
      <c r="ILO12" s="41"/>
      <c r="ILP12" s="41"/>
      <c r="ILQ12" s="41"/>
      <c r="ILR12" s="41"/>
      <c r="ILS12" s="41"/>
      <c r="ILT12" s="41"/>
      <c r="ILU12" s="41"/>
      <c r="ILV12" s="41"/>
      <c r="ILW12" s="41"/>
      <c r="ILX12" s="41"/>
      <c r="ILY12" s="41"/>
      <c r="ILZ12" s="41"/>
      <c r="IMA12" s="41"/>
      <c r="IMB12" s="41"/>
      <c r="IMC12" s="41"/>
      <c r="IMD12" s="41"/>
      <c r="IME12" s="41"/>
      <c r="IMF12" s="41"/>
      <c r="IMG12" s="41"/>
      <c r="IMH12" s="41"/>
      <c r="IMI12" s="41"/>
      <c r="IMJ12" s="41"/>
      <c r="IMK12" s="41"/>
      <c r="IML12" s="41"/>
      <c r="IMM12" s="41"/>
      <c r="IMN12" s="41"/>
      <c r="IMO12" s="41"/>
      <c r="IMP12" s="41"/>
      <c r="IMQ12" s="41"/>
      <c r="IMR12" s="41"/>
      <c r="IMS12" s="41"/>
      <c r="IMT12" s="41"/>
      <c r="IMU12" s="41"/>
      <c r="IMV12" s="41"/>
      <c r="IMW12" s="41"/>
      <c r="IMX12" s="41"/>
      <c r="IMY12" s="41"/>
      <c r="IMZ12" s="41"/>
      <c r="INA12" s="41"/>
      <c r="INB12" s="41"/>
      <c r="INC12" s="41"/>
      <c r="IND12" s="41"/>
      <c r="INE12" s="41"/>
      <c r="INF12" s="41"/>
      <c r="ING12" s="41"/>
      <c r="INH12" s="41"/>
      <c r="INI12" s="41"/>
      <c r="INJ12" s="41"/>
      <c r="INK12" s="41"/>
      <c r="INL12" s="41"/>
      <c r="INM12" s="41"/>
      <c r="INN12" s="41"/>
      <c r="INO12" s="41"/>
      <c r="INP12" s="41"/>
      <c r="INQ12" s="41"/>
      <c r="INR12" s="41"/>
      <c r="INS12" s="41"/>
      <c r="INT12" s="41"/>
      <c r="INU12" s="41"/>
      <c r="INV12" s="41"/>
      <c r="INW12" s="41"/>
      <c r="INX12" s="41"/>
      <c r="INY12" s="41"/>
      <c r="INZ12" s="41"/>
      <c r="IOA12" s="41"/>
      <c r="IOB12" s="41"/>
      <c r="IOC12" s="41"/>
      <c r="IOD12" s="41"/>
      <c r="IOE12" s="41"/>
      <c r="IOF12" s="41"/>
      <c r="IOG12" s="41"/>
      <c r="IOH12" s="41"/>
      <c r="IOI12" s="41"/>
      <c r="IOJ12" s="41"/>
      <c r="IOK12" s="41"/>
      <c r="IOL12" s="41"/>
      <c r="IOM12" s="41"/>
      <c r="ION12" s="41"/>
      <c r="IOO12" s="41"/>
      <c r="IOP12" s="41"/>
      <c r="IOQ12" s="41"/>
      <c r="IOR12" s="41"/>
      <c r="IOS12" s="41"/>
      <c r="IOT12" s="41"/>
      <c r="IOU12" s="41"/>
      <c r="IOV12" s="41"/>
      <c r="IOW12" s="41"/>
      <c r="IOX12" s="41"/>
      <c r="IOY12" s="41"/>
      <c r="IOZ12" s="41"/>
      <c r="IPA12" s="41"/>
      <c r="IPB12" s="41"/>
      <c r="IPC12" s="41"/>
      <c r="IPD12" s="41"/>
      <c r="IPE12" s="41"/>
      <c r="IPF12" s="41"/>
      <c r="IPG12" s="41"/>
      <c r="IPH12" s="41"/>
      <c r="IPI12" s="41"/>
      <c r="IPJ12" s="41"/>
      <c r="IPK12" s="41"/>
      <c r="IPL12" s="41"/>
      <c r="IPM12" s="41"/>
      <c r="IPN12" s="41"/>
      <c r="IPO12" s="41"/>
      <c r="IPP12" s="41"/>
      <c r="IPQ12" s="41"/>
      <c r="IPR12" s="41"/>
      <c r="IPS12" s="41"/>
      <c r="IPT12" s="41"/>
      <c r="IPU12" s="41"/>
      <c r="IPV12" s="41"/>
      <c r="IPW12" s="41"/>
      <c r="IPX12" s="41"/>
      <c r="IPY12" s="41"/>
      <c r="IPZ12" s="41"/>
      <c r="IQA12" s="41"/>
      <c r="IQB12" s="41"/>
      <c r="IQC12" s="41"/>
      <c r="IQD12" s="41"/>
      <c r="IQE12" s="41"/>
      <c r="IQF12" s="41"/>
      <c r="IQG12" s="41"/>
      <c r="IQH12" s="41"/>
      <c r="IQI12" s="41"/>
      <c r="IQJ12" s="41"/>
      <c r="IQK12" s="41"/>
      <c r="IQL12" s="41"/>
      <c r="IQM12" s="41"/>
      <c r="IQN12" s="41"/>
      <c r="IQO12" s="41"/>
      <c r="IQP12" s="41"/>
      <c r="IQQ12" s="41"/>
      <c r="IQR12" s="41"/>
      <c r="IQS12" s="41"/>
      <c r="IQT12" s="41"/>
      <c r="IQU12" s="41"/>
      <c r="IQV12" s="41"/>
      <c r="IQW12" s="41"/>
      <c r="IQX12" s="41"/>
      <c r="IQY12" s="41"/>
      <c r="IQZ12" s="41"/>
      <c r="IRA12" s="41"/>
      <c r="IRB12" s="41"/>
      <c r="IRC12" s="41"/>
      <c r="IRD12" s="41"/>
      <c r="IRE12" s="41"/>
      <c r="IRF12" s="41"/>
      <c r="IRG12" s="41"/>
      <c r="IRH12" s="41"/>
      <c r="IRI12" s="41"/>
      <c r="IRJ12" s="41"/>
      <c r="IRK12" s="41"/>
      <c r="IRL12" s="41"/>
      <c r="IRM12" s="41"/>
      <c r="IRN12" s="41"/>
      <c r="IRO12" s="41"/>
      <c r="IRP12" s="41"/>
      <c r="IRQ12" s="41"/>
      <c r="IRR12" s="41"/>
      <c r="IRS12" s="41"/>
      <c r="IRT12" s="41"/>
      <c r="IRU12" s="41"/>
      <c r="IRV12" s="41"/>
      <c r="IRW12" s="41"/>
      <c r="IRX12" s="41"/>
      <c r="IRY12" s="41"/>
      <c r="IRZ12" s="41"/>
      <c r="ISA12" s="41"/>
      <c r="ISB12" s="41"/>
      <c r="ISC12" s="41"/>
      <c r="ISD12" s="41"/>
      <c r="ISE12" s="41"/>
      <c r="ISF12" s="41"/>
      <c r="ISG12" s="41"/>
      <c r="ISH12" s="41"/>
      <c r="ISI12" s="41"/>
      <c r="ISJ12" s="41"/>
      <c r="ISK12" s="41"/>
      <c r="ISL12" s="41"/>
      <c r="ISM12" s="41"/>
      <c r="ISN12" s="41"/>
      <c r="ISO12" s="41"/>
      <c r="ISP12" s="41"/>
      <c r="ISQ12" s="41"/>
      <c r="ISR12" s="41"/>
      <c r="ISS12" s="41"/>
      <c r="IST12" s="41"/>
      <c r="ISU12" s="41"/>
      <c r="ISV12" s="41"/>
      <c r="ISW12" s="41"/>
      <c r="ISX12" s="41"/>
      <c r="ISY12" s="41"/>
      <c r="ISZ12" s="41"/>
      <c r="ITA12" s="41"/>
      <c r="ITB12" s="41"/>
      <c r="ITC12" s="41"/>
      <c r="ITD12" s="41"/>
      <c r="ITE12" s="41"/>
      <c r="ITF12" s="41"/>
      <c r="ITG12" s="41"/>
      <c r="ITH12" s="41"/>
      <c r="ITI12" s="41"/>
      <c r="ITJ12" s="41"/>
      <c r="ITK12" s="41"/>
      <c r="ITL12" s="41"/>
      <c r="ITM12" s="41"/>
      <c r="ITN12" s="41"/>
      <c r="ITO12" s="41"/>
      <c r="ITP12" s="41"/>
      <c r="ITQ12" s="41"/>
      <c r="ITR12" s="41"/>
      <c r="ITS12" s="41"/>
      <c r="ITT12" s="41"/>
      <c r="ITU12" s="41"/>
      <c r="ITV12" s="41"/>
      <c r="ITW12" s="41"/>
      <c r="ITX12" s="41"/>
      <c r="ITY12" s="41"/>
      <c r="ITZ12" s="41"/>
      <c r="IUA12" s="41"/>
      <c r="IUB12" s="41"/>
      <c r="IUC12" s="41"/>
      <c r="IUD12" s="41"/>
      <c r="IUE12" s="41"/>
      <c r="IUF12" s="41"/>
      <c r="IUG12" s="41"/>
      <c r="IUH12" s="41"/>
      <c r="IUI12" s="41"/>
      <c r="IUJ12" s="41"/>
      <c r="IUK12" s="41"/>
      <c r="IUL12" s="41"/>
      <c r="IUM12" s="41"/>
      <c r="IUN12" s="41"/>
      <c r="IUO12" s="41"/>
      <c r="IUP12" s="41"/>
      <c r="IUQ12" s="41"/>
      <c r="IUR12" s="41"/>
      <c r="IUS12" s="41"/>
      <c r="IUT12" s="41"/>
      <c r="IUU12" s="41"/>
      <c r="IUV12" s="41"/>
      <c r="IUW12" s="41"/>
      <c r="IUX12" s="41"/>
      <c r="IUY12" s="41"/>
      <c r="IUZ12" s="41"/>
      <c r="IVA12" s="41"/>
      <c r="IVB12" s="41"/>
      <c r="IVC12" s="41"/>
      <c r="IVD12" s="41"/>
      <c r="IVE12" s="41"/>
      <c r="IVF12" s="41"/>
      <c r="IVG12" s="41"/>
      <c r="IVH12" s="41"/>
      <c r="IVI12" s="41"/>
      <c r="IVJ12" s="41"/>
      <c r="IVK12" s="41"/>
      <c r="IVL12" s="41"/>
      <c r="IVM12" s="41"/>
      <c r="IVN12" s="41"/>
      <c r="IVO12" s="41"/>
      <c r="IVP12" s="41"/>
      <c r="IVQ12" s="41"/>
      <c r="IVR12" s="41"/>
      <c r="IVS12" s="41"/>
      <c r="IVT12" s="41"/>
      <c r="IVU12" s="41"/>
      <c r="IVV12" s="41"/>
      <c r="IVW12" s="41"/>
      <c r="IVX12" s="41"/>
      <c r="IVY12" s="41"/>
      <c r="IVZ12" s="41"/>
      <c r="IWA12" s="41"/>
      <c r="IWB12" s="41"/>
      <c r="IWC12" s="41"/>
      <c r="IWD12" s="41"/>
      <c r="IWE12" s="41"/>
      <c r="IWF12" s="41"/>
      <c r="IWG12" s="41"/>
      <c r="IWH12" s="41"/>
      <c r="IWI12" s="41"/>
      <c r="IWJ12" s="41"/>
      <c r="IWK12" s="41"/>
      <c r="IWL12" s="41"/>
      <c r="IWM12" s="41"/>
      <c r="IWN12" s="41"/>
      <c r="IWO12" s="41"/>
      <c r="IWP12" s="41"/>
      <c r="IWQ12" s="41"/>
      <c r="IWR12" s="41"/>
      <c r="IWS12" s="41"/>
      <c r="IWT12" s="41"/>
      <c r="IWU12" s="41"/>
      <c r="IWV12" s="41"/>
      <c r="IWW12" s="41"/>
      <c r="IWX12" s="41"/>
      <c r="IWY12" s="41"/>
      <c r="IWZ12" s="41"/>
      <c r="IXA12" s="41"/>
      <c r="IXB12" s="41"/>
      <c r="IXC12" s="41"/>
      <c r="IXD12" s="41"/>
      <c r="IXE12" s="41"/>
      <c r="IXF12" s="41"/>
      <c r="IXG12" s="41"/>
      <c r="IXH12" s="41"/>
      <c r="IXI12" s="41"/>
      <c r="IXJ12" s="41"/>
      <c r="IXK12" s="41"/>
      <c r="IXL12" s="41"/>
      <c r="IXM12" s="41"/>
      <c r="IXN12" s="41"/>
      <c r="IXO12" s="41"/>
      <c r="IXP12" s="41"/>
      <c r="IXQ12" s="41"/>
      <c r="IXR12" s="41"/>
      <c r="IXS12" s="41"/>
      <c r="IXT12" s="41"/>
      <c r="IXU12" s="41"/>
      <c r="IXV12" s="41"/>
      <c r="IXW12" s="41"/>
      <c r="IXX12" s="41"/>
      <c r="IXY12" s="41"/>
      <c r="IXZ12" s="41"/>
      <c r="IYA12" s="41"/>
      <c r="IYB12" s="41"/>
      <c r="IYC12" s="41"/>
      <c r="IYD12" s="41"/>
      <c r="IYE12" s="41"/>
      <c r="IYF12" s="41"/>
      <c r="IYG12" s="41"/>
      <c r="IYH12" s="41"/>
      <c r="IYI12" s="41"/>
      <c r="IYJ12" s="41"/>
      <c r="IYK12" s="41"/>
      <c r="IYL12" s="41"/>
      <c r="IYM12" s="41"/>
      <c r="IYN12" s="41"/>
      <c r="IYO12" s="41"/>
      <c r="IYP12" s="41"/>
      <c r="IYQ12" s="41"/>
      <c r="IYR12" s="41"/>
      <c r="IYS12" s="41"/>
      <c r="IYT12" s="41"/>
      <c r="IYU12" s="41"/>
      <c r="IYV12" s="41"/>
      <c r="IYW12" s="41"/>
      <c r="IYX12" s="41"/>
      <c r="IYY12" s="41"/>
      <c r="IYZ12" s="41"/>
      <c r="IZA12" s="41"/>
      <c r="IZB12" s="41"/>
      <c r="IZC12" s="41"/>
      <c r="IZD12" s="41"/>
      <c r="IZE12" s="41"/>
      <c r="IZF12" s="41"/>
      <c r="IZG12" s="41"/>
      <c r="IZH12" s="41"/>
      <c r="IZI12" s="41"/>
      <c r="IZJ12" s="41"/>
      <c r="IZK12" s="41"/>
      <c r="IZL12" s="41"/>
      <c r="IZM12" s="41"/>
      <c r="IZN12" s="41"/>
      <c r="IZO12" s="41"/>
      <c r="IZP12" s="41"/>
      <c r="IZQ12" s="41"/>
      <c r="IZR12" s="41"/>
      <c r="IZS12" s="41"/>
      <c r="IZT12" s="41"/>
      <c r="IZU12" s="41"/>
      <c r="IZV12" s="41"/>
      <c r="IZW12" s="41"/>
      <c r="IZX12" s="41"/>
      <c r="IZY12" s="41"/>
      <c r="IZZ12" s="41"/>
      <c r="JAA12" s="41"/>
      <c r="JAB12" s="41"/>
      <c r="JAC12" s="41"/>
      <c r="JAD12" s="41"/>
      <c r="JAE12" s="41"/>
      <c r="JAF12" s="41"/>
      <c r="JAG12" s="41"/>
      <c r="JAH12" s="41"/>
      <c r="JAI12" s="41"/>
      <c r="JAJ12" s="41"/>
      <c r="JAK12" s="41"/>
      <c r="JAL12" s="41"/>
      <c r="JAM12" s="41"/>
      <c r="JAN12" s="41"/>
      <c r="JAO12" s="41"/>
      <c r="JAP12" s="41"/>
      <c r="JAQ12" s="41"/>
      <c r="JAR12" s="41"/>
      <c r="JAS12" s="41"/>
      <c r="JAT12" s="41"/>
      <c r="JAU12" s="41"/>
      <c r="JAV12" s="41"/>
      <c r="JAW12" s="41"/>
      <c r="JAX12" s="41"/>
      <c r="JAY12" s="41"/>
      <c r="JAZ12" s="41"/>
      <c r="JBA12" s="41"/>
      <c r="JBB12" s="41"/>
      <c r="JBC12" s="41"/>
      <c r="JBD12" s="41"/>
      <c r="JBE12" s="41"/>
      <c r="JBF12" s="41"/>
      <c r="JBG12" s="41"/>
      <c r="JBH12" s="41"/>
      <c r="JBI12" s="41"/>
      <c r="JBJ12" s="41"/>
      <c r="JBK12" s="41"/>
      <c r="JBL12" s="41"/>
      <c r="JBM12" s="41"/>
      <c r="JBN12" s="41"/>
      <c r="JBO12" s="41"/>
      <c r="JBP12" s="41"/>
      <c r="JBQ12" s="41"/>
      <c r="JBR12" s="41"/>
      <c r="JBS12" s="41"/>
      <c r="JBT12" s="41"/>
      <c r="JBU12" s="41"/>
      <c r="JBV12" s="41"/>
      <c r="JBW12" s="41"/>
      <c r="JBX12" s="41"/>
      <c r="JBY12" s="41"/>
      <c r="JBZ12" s="41"/>
      <c r="JCA12" s="41"/>
      <c r="JCB12" s="41"/>
      <c r="JCC12" s="41"/>
      <c r="JCD12" s="41"/>
      <c r="JCE12" s="41"/>
      <c r="JCF12" s="41"/>
      <c r="JCG12" s="41"/>
      <c r="JCH12" s="41"/>
      <c r="JCI12" s="41"/>
      <c r="JCJ12" s="41"/>
      <c r="JCK12" s="41"/>
      <c r="JCL12" s="41"/>
      <c r="JCM12" s="41"/>
      <c r="JCN12" s="41"/>
      <c r="JCO12" s="41"/>
      <c r="JCP12" s="41"/>
      <c r="JCQ12" s="41"/>
      <c r="JCR12" s="41"/>
      <c r="JCS12" s="41"/>
      <c r="JCT12" s="41"/>
      <c r="JCU12" s="41"/>
      <c r="JCV12" s="41"/>
      <c r="JCW12" s="41"/>
      <c r="JCX12" s="41"/>
      <c r="JCY12" s="41"/>
      <c r="JCZ12" s="41"/>
      <c r="JDA12" s="41"/>
      <c r="JDB12" s="41"/>
      <c r="JDC12" s="41"/>
      <c r="JDD12" s="41"/>
      <c r="JDE12" s="41"/>
      <c r="JDF12" s="41"/>
      <c r="JDG12" s="41"/>
      <c r="JDH12" s="41"/>
      <c r="JDI12" s="41"/>
      <c r="JDJ12" s="41"/>
      <c r="JDK12" s="41"/>
      <c r="JDL12" s="41"/>
      <c r="JDM12" s="41"/>
      <c r="JDN12" s="41"/>
      <c r="JDO12" s="41"/>
      <c r="JDP12" s="41"/>
      <c r="JDQ12" s="41"/>
      <c r="JDR12" s="41"/>
      <c r="JDS12" s="41"/>
      <c r="JDT12" s="41"/>
      <c r="JDU12" s="41"/>
      <c r="JDV12" s="41"/>
      <c r="JDW12" s="41"/>
      <c r="JDX12" s="41"/>
      <c r="JDY12" s="41"/>
      <c r="JDZ12" s="41"/>
      <c r="JEA12" s="41"/>
      <c r="JEB12" s="41"/>
      <c r="JEC12" s="41"/>
      <c r="JED12" s="41"/>
      <c r="JEE12" s="41"/>
      <c r="JEF12" s="41"/>
      <c r="JEG12" s="41"/>
      <c r="JEH12" s="41"/>
      <c r="JEI12" s="41"/>
      <c r="JEJ12" s="41"/>
      <c r="JEK12" s="41"/>
      <c r="JEL12" s="41"/>
      <c r="JEM12" s="41"/>
      <c r="JEN12" s="41"/>
      <c r="JEO12" s="41"/>
      <c r="JEP12" s="41"/>
      <c r="JEQ12" s="41"/>
      <c r="JER12" s="41"/>
      <c r="JES12" s="41"/>
      <c r="JET12" s="41"/>
      <c r="JEU12" s="41"/>
      <c r="JEV12" s="41"/>
      <c r="JEW12" s="41"/>
      <c r="JEX12" s="41"/>
      <c r="JEY12" s="41"/>
      <c r="JEZ12" s="41"/>
      <c r="JFA12" s="41"/>
      <c r="JFB12" s="41"/>
      <c r="JFC12" s="41"/>
      <c r="JFD12" s="41"/>
      <c r="JFE12" s="41"/>
      <c r="JFF12" s="41"/>
      <c r="JFG12" s="41"/>
      <c r="JFH12" s="41"/>
      <c r="JFI12" s="41"/>
      <c r="JFJ12" s="41"/>
      <c r="JFK12" s="41"/>
      <c r="JFL12" s="41"/>
      <c r="JFM12" s="41"/>
      <c r="JFN12" s="41"/>
      <c r="JFO12" s="41"/>
      <c r="JFP12" s="41"/>
      <c r="JFQ12" s="41"/>
      <c r="JFR12" s="41"/>
      <c r="JFS12" s="41"/>
      <c r="JFT12" s="41"/>
      <c r="JFU12" s="41"/>
      <c r="JFV12" s="41"/>
      <c r="JFW12" s="41"/>
      <c r="JFX12" s="41"/>
      <c r="JFY12" s="41"/>
      <c r="JFZ12" s="41"/>
      <c r="JGA12" s="41"/>
      <c r="JGB12" s="41"/>
      <c r="JGC12" s="41"/>
      <c r="JGD12" s="41"/>
      <c r="JGE12" s="41"/>
      <c r="JGF12" s="41"/>
      <c r="JGG12" s="41"/>
      <c r="JGH12" s="41"/>
      <c r="JGI12" s="41"/>
      <c r="JGJ12" s="41"/>
      <c r="JGK12" s="41"/>
      <c r="JGL12" s="41"/>
      <c r="JGM12" s="41"/>
      <c r="JGN12" s="41"/>
      <c r="JGO12" s="41"/>
      <c r="JGP12" s="41"/>
      <c r="JGQ12" s="41"/>
      <c r="JGR12" s="41"/>
      <c r="JGS12" s="41"/>
      <c r="JGT12" s="41"/>
      <c r="JGU12" s="41"/>
      <c r="JGV12" s="41"/>
      <c r="JGW12" s="41"/>
      <c r="JGX12" s="41"/>
      <c r="JGY12" s="41"/>
      <c r="JGZ12" s="41"/>
      <c r="JHA12" s="41"/>
      <c r="JHB12" s="41"/>
      <c r="JHC12" s="41"/>
      <c r="JHD12" s="41"/>
      <c r="JHE12" s="41"/>
      <c r="JHF12" s="41"/>
      <c r="JHG12" s="41"/>
      <c r="JHH12" s="41"/>
      <c r="JHI12" s="41"/>
      <c r="JHJ12" s="41"/>
      <c r="JHK12" s="41"/>
      <c r="JHL12" s="41"/>
      <c r="JHM12" s="41"/>
      <c r="JHN12" s="41"/>
      <c r="JHO12" s="41"/>
      <c r="JHP12" s="41"/>
      <c r="JHQ12" s="41"/>
      <c r="JHR12" s="41"/>
      <c r="JHS12" s="41"/>
      <c r="JHT12" s="41"/>
      <c r="JHU12" s="41"/>
      <c r="JHV12" s="41"/>
      <c r="JHW12" s="41"/>
      <c r="JHX12" s="41"/>
      <c r="JHY12" s="41"/>
      <c r="JHZ12" s="41"/>
      <c r="JIA12" s="41"/>
      <c r="JIB12" s="41"/>
      <c r="JIC12" s="41"/>
      <c r="JID12" s="41"/>
      <c r="JIE12" s="41"/>
      <c r="JIF12" s="41"/>
      <c r="JIG12" s="41"/>
      <c r="JIH12" s="41"/>
      <c r="JII12" s="41"/>
      <c r="JIJ12" s="41"/>
      <c r="JIK12" s="41"/>
      <c r="JIL12" s="41"/>
      <c r="JIM12" s="41"/>
      <c r="JIN12" s="41"/>
      <c r="JIO12" s="41"/>
      <c r="JIP12" s="41"/>
      <c r="JIQ12" s="41"/>
      <c r="JIR12" s="41"/>
      <c r="JIS12" s="41"/>
      <c r="JIT12" s="41"/>
      <c r="JIU12" s="41"/>
      <c r="JIV12" s="41"/>
      <c r="JIW12" s="41"/>
      <c r="JIX12" s="41"/>
      <c r="JIY12" s="41"/>
      <c r="JIZ12" s="41"/>
      <c r="JJA12" s="41"/>
      <c r="JJB12" s="41"/>
      <c r="JJC12" s="41"/>
      <c r="JJD12" s="41"/>
      <c r="JJE12" s="41"/>
      <c r="JJF12" s="41"/>
      <c r="JJG12" s="41"/>
      <c r="JJH12" s="41"/>
      <c r="JJI12" s="41"/>
      <c r="JJJ12" s="41"/>
      <c r="JJK12" s="41"/>
      <c r="JJL12" s="41"/>
      <c r="JJM12" s="41"/>
      <c r="JJN12" s="41"/>
      <c r="JJO12" s="41"/>
      <c r="JJP12" s="41"/>
      <c r="JJQ12" s="41"/>
      <c r="JJR12" s="41"/>
      <c r="JJS12" s="41"/>
      <c r="JJT12" s="41"/>
      <c r="JJU12" s="41"/>
      <c r="JJV12" s="41"/>
      <c r="JJW12" s="41"/>
      <c r="JJX12" s="41"/>
      <c r="JJY12" s="41"/>
      <c r="JJZ12" s="41"/>
      <c r="JKA12" s="41"/>
      <c r="JKB12" s="41"/>
      <c r="JKC12" s="41"/>
      <c r="JKD12" s="41"/>
      <c r="JKE12" s="41"/>
      <c r="JKF12" s="41"/>
      <c r="JKG12" s="41"/>
      <c r="JKH12" s="41"/>
      <c r="JKI12" s="41"/>
      <c r="JKJ12" s="41"/>
      <c r="JKK12" s="41"/>
      <c r="JKL12" s="41"/>
      <c r="JKM12" s="41"/>
      <c r="JKN12" s="41"/>
      <c r="JKO12" s="41"/>
      <c r="JKP12" s="41"/>
      <c r="JKQ12" s="41"/>
      <c r="JKR12" s="41"/>
      <c r="JKS12" s="41"/>
      <c r="JKT12" s="41"/>
      <c r="JKU12" s="41"/>
      <c r="JKV12" s="41"/>
      <c r="JKW12" s="41"/>
      <c r="JKX12" s="41"/>
      <c r="JKY12" s="41"/>
      <c r="JKZ12" s="41"/>
      <c r="JLA12" s="41"/>
      <c r="JLB12" s="41"/>
      <c r="JLC12" s="41"/>
      <c r="JLD12" s="41"/>
      <c r="JLE12" s="41"/>
      <c r="JLF12" s="41"/>
      <c r="JLG12" s="41"/>
      <c r="JLH12" s="41"/>
      <c r="JLI12" s="41"/>
      <c r="JLJ12" s="41"/>
      <c r="JLK12" s="41"/>
      <c r="JLL12" s="41"/>
      <c r="JLM12" s="41"/>
      <c r="JLN12" s="41"/>
      <c r="JLO12" s="41"/>
      <c r="JLP12" s="41"/>
      <c r="JLQ12" s="41"/>
      <c r="JLR12" s="41"/>
      <c r="JLS12" s="41"/>
      <c r="JLT12" s="41"/>
      <c r="JLU12" s="41"/>
      <c r="JLV12" s="41"/>
      <c r="JLW12" s="41"/>
      <c r="JLX12" s="41"/>
      <c r="JLY12" s="41"/>
      <c r="JLZ12" s="41"/>
      <c r="JMA12" s="41"/>
      <c r="JMB12" s="41"/>
      <c r="JMC12" s="41"/>
      <c r="JMD12" s="41"/>
      <c r="JME12" s="41"/>
      <c r="JMF12" s="41"/>
      <c r="JMG12" s="41"/>
      <c r="JMH12" s="41"/>
      <c r="JMI12" s="41"/>
      <c r="JMJ12" s="41"/>
      <c r="JMK12" s="41"/>
      <c r="JML12" s="41"/>
      <c r="JMM12" s="41"/>
      <c r="JMN12" s="41"/>
      <c r="JMO12" s="41"/>
      <c r="JMP12" s="41"/>
      <c r="JMQ12" s="41"/>
      <c r="JMR12" s="41"/>
      <c r="JMS12" s="41"/>
      <c r="JMT12" s="41"/>
      <c r="JMU12" s="41"/>
      <c r="JMV12" s="41"/>
      <c r="JMW12" s="41"/>
      <c r="JMX12" s="41"/>
      <c r="JMY12" s="41"/>
      <c r="JMZ12" s="41"/>
      <c r="JNA12" s="41"/>
      <c r="JNB12" s="41"/>
      <c r="JNC12" s="41"/>
      <c r="JND12" s="41"/>
      <c r="JNE12" s="41"/>
      <c r="JNF12" s="41"/>
      <c r="JNG12" s="41"/>
      <c r="JNH12" s="41"/>
      <c r="JNI12" s="41"/>
      <c r="JNJ12" s="41"/>
      <c r="JNK12" s="41"/>
      <c r="JNL12" s="41"/>
      <c r="JNM12" s="41"/>
      <c r="JNN12" s="41"/>
      <c r="JNO12" s="41"/>
      <c r="JNP12" s="41"/>
      <c r="JNQ12" s="41"/>
      <c r="JNR12" s="41"/>
      <c r="JNS12" s="41"/>
      <c r="JNT12" s="41"/>
      <c r="JNU12" s="41"/>
      <c r="JNV12" s="41"/>
      <c r="JNW12" s="41"/>
      <c r="JNX12" s="41"/>
      <c r="JNY12" s="41"/>
      <c r="JNZ12" s="41"/>
      <c r="JOA12" s="41"/>
      <c r="JOB12" s="41"/>
      <c r="JOC12" s="41"/>
      <c r="JOD12" s="41"/>
      <c r="JOE12" s="41"/>
      <c r="JOF12" s="41"/>
      <c r="JOG12" s="41"/>
      <c r="JOH12" s="41"/>
      <c r="JOI12" s="41"/>
      <c r="JOJ12" s="41"/>
      <c r="JOK12" s="41"/>
      <c r="JOL12" s="41"/>
      <c r="JOM12" s="41"/>
      <c r="JON12" s="41"/>
      <c r="JOO12" s="41"/>
      <c r="JOP12" s="41"/>
      <c r="JOQ12" s="41"/>
      <c r="JOR12" s="41"/>
      <c r="JOS12" s="41"/>
      <c r="JOT12" s="41"/>
      <c r="JOU12" s="41"/>
      <c r="JOV12" s="41"/>
      <c r="JOW12" s="41"/>
      <c r="JOX12" s="41"/>
      <c r="JOY12" s="41"/>
      <c r="JOZ12" s="41"/>
      <c r="JPA12" s="41"/>
      <c r="JPB12" s="41"/>
      <c r="JPC12" s="41"/>
      <c r="JPD12" s="41"/>
      <c r="JPE12" s="41"/>
      <c r="JPF12" s="41"/>
      <c r="JPG12" s="41"/>
      <c r="JPH12" s="41"/>
      <c r="JPI12" s="41"/>
      <c r="JPJ12" s="41"/>
      <c r="JPK12" s="41"/>
      <c r="JPL12" s="41"/>
      <c r="JPM12" s="41"/>
      <c r="JPN12" s="41"/>
      <c r="JPO12" s="41"/>
      <c r="JPP12" s="41"/>
      <c r="JPQ12" s="41"/>
      <c r="JPR12" s="41"/>
      <c r="JPS12" s="41"/>
      <c r="JPT12" s="41"/>
      <c r="JPU12" s="41"/>
      <c r="JPV12" s="41"/>
      <c r="JPW12" s="41"/>
      <c r="JPX12" s="41"/>
      <c r="JPY12" s="41"/>
      <c r="JPZ12" s="41"/>
      <c r="JQA12" s="41"/>
      <c r="JQB12" s="41"/>
      <c r="JQC12" s="41"/>
      <c r="JQD12" s="41"/>
      <c r="JQE12" s="41"/>
      <c r="JQF12" s="41"/>
      <c r="JQG12" s="41"/>
      <c r="JQH12" s="41"/>
      <c r="JQI12" s="41"/>
      <c r="JQJ12" s="41"/>
      <c r="JQK12" s="41"/>
      <c r="JQL12" s="41"/>
      <c r="JQM12" s="41"/>
      <c r="JQN12" s="41"/>
      <c r="JQO12" s="41"/>
      <c r="JQP12" s="41"/>
      <c r="JQQ12" s="41"/>
      <c r="JQR12" s="41"/>
      <c r="JQS12" s="41"/>
      <c r="JQT12" s="41"/>
      <c r="JQU12" s="41"/>
      <c r="JQV12" s="41"/>
      <c r="JQW12" s="41"/>
      <c r="JQX12" s="41"/>
      <c r="JQY12" s="41"/>
      <c r="JQZ12" s="41"/>
      <c r="JRA12" s="41"/>
      <c r="JRB12" s="41"/>
      <c r="JRC12" s="41"/>
      <c r="JRD12" s="41"/>
      <c r="JRE12" s="41"/>
      <c r="JRF12" s="41"/>
      <c r="JRG12" s="41"/>
      <c r="JRH12" s="41"/>
      <c r="JRI12" s="41"/>
      <c r="JRJ12" s="41"/>
      <c r="JRK12" s="41"/>
      <c r="JRL12" s="41"/>
      <c r="JRM12" s="41"/>
      <c r="JRN12" s="41"/>
      <c r="JRO12" s="41"/>
      <c r="JRP12" s="41"/>
      <c r="JRQ12" s="41"/>
      <c r="JRR12" s="41"/>
      <c r="JRS12" s="41"/>
      <c r="JRT12" s="41"/>
      <c r="JRU12" s="41"/>
      <c r="JRV12" s="41"/>
      <c r="JRW12" s="41"/>
      <c r="JRX12" s="41"/>
      <c r="JRY12" s="41"/>
      <c r="JRZ12" s="41"/>
      <c r="JSA12" s="41"/>
      <c r="JSB12" s="41"/>
      <c r="JSC12" s="41"/>
      <c r="JSD12" s="41"/>
      <c r="JSE12" s="41"/>
      <c r="JSF12" s="41"/>
      <c r="JSG12" s="41"/>
      <c r="JSH12" s="41"/>
      <c r="JSI12" s="41"/>
      <c r="JSJ12" s="41"/>
      <c r="JSK12" s="41"/>
      <c r="JSL12" s="41"/>
      <c r="JSM12" s="41"/>
      <c r="JSN12" s="41"/>
      <c r="JSO12" s="41"/>
      <c r="JSP12" s="41"/>
      <c r="JSQ12" s="41"/>
      <c r="JSR12" s="41"/>
      <c r="JSS12" s="41"/>
      <c r="JST12" s="41"/>
      <c r="JSU12" s="41"/>
      <c r="JSV12" s="41"/>
      <c r="JSW12" s="41"/>
      <c r="JSX12" s="41"/>
      <c r="JSY12" s="41"/>
      <c r="JSZ12" s="41"/>
      <c r="JTA12" s="41"/>
      <c r="JTB12" s="41"/>
      <c r="JTC12" s="41"/>
      <c r="JTD12" s="41"/>
      <c r="JTE12" s="41"/>
      <c r="JTF12" s="41"/>
      <c r="JTG12" s="41"/>
      <c r="JTH12" s="41"/>
      <c r="JTI12" s="41"/>
      <c r="JTJ12" s="41"/>
      <c r="JTK12" s="41"/>
      <c r="JTL12" s="41"/>
      <c r="JTM12" s="41"/>
      <c r="JTN12" s="41"/>
      <c r="JTO12" s="41"/>
      <c r="JTP12" s="41"/>
      <c r="JTQ12" s="41"/>
      <c r="JTR12" s="41"/>
      <c r="JTS12" s="41"/>
      <c r="JTT12" s="41"/>
      <c r="JTU12" s="41"/>
      <c r="JTV12" s="41"/>
      <c r="JTW12" s="41"/>
      <c r="JTX12" s="41"/>
      <c r="JTY12" s="41"/>
      <c r="JTZ12" s="41"/>
      <c r="JUA12" s="41"/>
      <c r="JUB12" s="41"/>
      <c r="JUC12" s="41"/>
      <c r="JUD12" s="41"/>
      <c r="JUE12" s="41"/>
      <c r="JUF12" s="41"/>
      <c r="JUG12" s="41"/>
      <c r="JUH12" s="41"/>
      <c r="JUI12" s="41"/>
      <c r="JUJ12" s="41"/>
      <c r="JUK12" s="41"/>
      <c r="JUL12" s="41"/>
      <c r="JUM12" s="41"/>
      <c r="JUN12" s="41"/>
      <c r="JUO12" s="41"/>
      <c r="JUP12" s="41"/>
      <c r="JUQ12" s="41"/>
      <c r="JUR12" s="41"/>
      <c r="JUS12" s="41"/>
      <c r="JUT12" s="41"/>
      <c r="JUU12" s="41"/>
      <c r="JUV12" s="41"/>
      <c r="JUW12" s="41"/>
      <c r="JUX12" s="41"/>
      <c r="JUY12" s="41"/>
      <c r="JUZ12" s="41"/>
      <c r="JVA12" s="41"/>
      <c r="JVB12" s="41"/>
      <c r="JVC12" s="41"/>
      <c r="JVD12" s="41"/>
      <c r="JVE12" s="41"/>
      <c r="JVF12" s="41"/>
      <c r="JVG12" s="41"/>
      <c r="JVH12" s="41"/>
      <c r="JVI12" s="41"/>
      <c r="JVJ12" s="41"/>
      <c r="JVK12" s="41"/>
      <c r="JVL12" s="41"/>
      <c r="JVM12" s="41"/>
      <c r="JVN12" s="41"/>
      <c r="JVO12" s="41"/>
      <c r="JVP12" s="41"/>
      <c r="JVQ12" s="41"/>
      <c r="JVR12" s="41"/>
      <c r="JVS12" s="41"/>
      <c r="JVT12" s="41"/>
      <c r="JVU12" s="41"/>
      <c r="JVV12" s="41"/>
      <c r="JVW12" s="41"/>
      <c r="JVX12" s="41"/>
      <c r="JVY12" s="41"/>
      <c r="JVZ12" s="41"/>
      <c r="JWA12" s="41"/>
      <c r="JWB12" s="41"/>
      <c r="JWC12" s="41"/>
      <c r="JWD12" s="41"/>
      <c r="JWE12" s="41"/>
      <c r="JWF12" s="41"/>
      <c r="JWG12" s="41"/>
      <c r="JWH12" s="41"/>
      <c r="JWI12" s="41"/>
      <c r="JWJ12" s="41"/>
      <c r="JWK12" s="41"/>
      <c r="JWL12" s="41"/>
      <c r="JWM12" s="41"/>
      <c r="JWN12" s="41"/>
      <c r="JWO12" s="41"/>
      <c r="JWP12" s="41"/>
      <c r="JWQ12" s="41"/>
      <c r="JWR12" s="41"/>
      <c r="JWS12" s="41"/>
      <c r="JWT12" s="41"/>
      <c r="JWU12" s="41"/>
      <c r="JWV12" s="41"/>
      <c r="JWW12" s="41"/>
      <c r="JWX12" s="41"/>
      <c r="JWY12" s="41"/>
      <c r="JWZ12" s="41"/>
      <c r="JXA12" s="41"/>
      <c r="JXB12" s="41"/>
      <c r="JXC12" s="41"/>
      <c r="JXD12" s="41"/>
      <c r="JXE12" s="41"/>
      <c r="JXF12" s="41"/>
      <c r="JXG12" s="41"/>
      <c r="JXH12" s="41"/>
      <c r="JXI12" s="41"/>
      <c r="JXJ12" s="41"/>
      <c r="JXK12" s="41"/>
      <c r="JXL12" s="41"/>
      <c r="JXM12" s="41"/>
      <c r="JXN12" s="41"/>
      <c r="JXO12" s="41"/>
      <c r="JXP12" s="41"/>
      <c r="JXQ12" s="41"/>
      <c r="JXR12" s="41"/>
      <c r="JXS12" s="41"/>
      <c r="JXT12" s="41"/>
      <c r="JXU12" s="41"/>
      <c r="JXV12" s="41"/>
      <c r="JXW12" s="41"/>
      <c r="JXX12" s="41"/>
      <c r="JXY12" s="41"/>
      <c r="JXZ12" s="41"/>
      <c r="JYA12" s="41"/>
      <c r="JYB12" s="41"/>
      <c r="JYC12" s="41"/>
      <c r="JYD12" s="41"/>
      <c r="JYE12" s="41"/>
      <c r="JYF12" s="41"/>
      <c r="JYG12" s="41"/>
      <c r="JYH12" s="41"/>
      <c r="JYI12" s="41"/>
      <c r="JYJ12" s="41"/>
      <c r="JYK12" s="41"/>
      <c r="JYL12" s="41"/>
      <c r="JYM12" s="41"/>
      <c r="JYN12" s="41"/>
      <c r="JYO12" s="41"/>
      <c r="JYP12" s="41"/>
      <c r="JYQ12" s="41"/>
      <c r="JYR12" s="41"/>
      <c r="JYS12" s="41"/>
      <c r="JYT12" s="41"/>
      <c r="JYU12" s="41"/>
      <c r="JYV12" s="41"/>
      <c r="JYW12" s="41"/>
      <c r="JYX12" s="41"/>
      <c r="JYY12" s="41"/>
      <c r="JYZ12" s="41"/>
      <c r="JZA12" s="41"/>
      <c r="JZB12" s="41"/>
      <c r="JZC12" s="41"/>
      <c r="JZD12" s="41"/>
      <c r="JZE12" s="41"/>
      <c r="JZF12" s="41"/>
      <c r="JZG12" s="41"/>
      <c r="JZH12" s="41"/>
      <c r="JZI12" s="41"/>
      <c r="JZJ12" s="41"/>
      <c r="JZK12" s="41"/>
      <c r="JZL12" s="41"/>
      <c r="JZM12" s="41"/>
      <c r="JZN12" s="41"/>
      <c r="JZO12" s="41"/>
      <c r="JZP12" s="41"/>
      <c r="JZQ12" s="41"/>
      <c r="JZR12" s="41"/>
      <c r="JZS12" s="41"/>
      <c r="JZT12" s="41"/>
      <c r="JZU12" s="41"/>
      <c r="JZV12" s="41"/>
      <c r="JZW12" s="41"/>
      <c r="JZX12" s="41"/>
      <c r="JZY12" s="41"/>
      <c r="JZZ12" s="41"/>
      <c r="KAA12" s="41"/>
      <c r="KAB12" s="41"/>
      <c r="KAC12" s="41"/>
      <c r="KAD12" s="41"/>
      <c r="KAE12" s="41"/>
      <c r="KAF12" s="41"/>
      <c r="KAG12" s="41"/>
      <c r="KAH12" s="41"/>
      <c r="KAI12" s="41"/>
      <c r="KAJ12" s="41"/>
      <c r="KAK12" s="41"/>
      <c r="KAL12" s="41"/>
      <c r="KAM12" s="41"/>
      <c r="KAN12" s="41"/>
      <c r="KAO12" s="41"/>
      <c r="KAP12" s="41"/>
      <c r="KAQ12" s="41"/>
      <c r="KAR12" s="41"/>
      <c r="KAS12" s="41"/>
      <c r="KAT12" s="41"/>
      <c r="KAU12" s="41"/>
      <c r="KAV12" s="41"/>
      <c r="KAW12" s="41"/>
      <c r="KAX12" s="41"/>
      <c r="KAY12" s="41"/>
      <c r="KAZ12" s="41"/>
      <c r="KBA12" s="41"/>
      <c r="KBB12" s="41"/>
      <c r="KBC12" s="41"/>
      <c r="KBD12" s="41"/>
      <c r="KBE12" s="41"/>
      <c r="KBF12" s="41"/>
      <c r="KBG12" s="41"/>
      <c r="KBH12" s="41"/>
      <c r="KBI12" s="41"/>
      <c r="KBJ12" s="41"/>
      <c r="KBK12" s="41"/>
      <c r="KBL12" s="41"/>
      <c r="KBM12" s="41"/>
      <c r="KBN12" s="41"/>
      <c r="KBO12" s="41"/>
      <c r="KBP12" s="41"/>
      <c r="KBQ12" s="41"/>
      <c r="KBR12" s="41"/>
      <c r="KBS12" s="41"/>
      <c r="KBT12" s="41"/>
      <c r="KBU12" s="41"/>
      <c r="KBV12" s="41"/>
      <c r="KBW12" s="41"/>
      <c r="KBX12" s="41"/>
      <c r="KBY12" s="41"/>
      <c r="KBZ12" s="41"/>
      <c r="KCA12" s="41"/>
      <c r="KCB12" s="41"/>
      <c r="KCC12" s="41"/>
      <c r="KCD12" s="41"/>
      <c r="KCE12" s="41"/>
      <c r="KCF12" s="41"/>
      <c r="KCG12" s="41"/>
      <c r="KCH12" s="41"/>
      <c r="KCI12" s="41"/>
      <c r="KCJ12" s="41"/>
      <c r="KCK12" s="41"/>
      <c r="KCL12" s="41"/>
      <c r="KCM12" s="41"/>
      <c r="KCN12" s="41"/>
      <c r="KCO12" s="41"/>
      <c r="KCP12" s="41"/>
      <c r="KCQ12" s="41"/>
      <c r="KCR12" s="41"/>
      <c r="KCS12" s="41"/>
      <c r="KCT12" s="41"/>
      <c r="KCU12" s="41"/>
      <c r="KCV12" s="41"/>
      <c r="KCW12" s="41"/>
      <c r="KCX12" s="41"/>
      <c r="KCY12" s="41"/>
      <c r="KCZ12" s="41"/>
      <c r="KDA12" s="41"/>
      <c r="KDB12" s="41"/>
      <c r="KDC12" s="41"/>
      <c r="KDD12" s="41"/>
      <c r="KDE12" s="41"/>
      <c r="KDF12" s="41"/>
      <c r="KDG12" s="41"/>
      <c r="KDH12" s="41"/>
      <c r="KDI12" s="41"/>
      <c r="KDJ12" s="41"/>
      <c r="KDK12" s="41"/>
      <c r="KDL12" s="41"/>
      <c r="KDM12" s="41"/>
      <c r="KDN12" s="41"/>
      <c r="KDO12" s="41"/>
      <c r="KDP12" s="41"/>
      <c r="KDQ12" s="41"/>
      <c r="KDR12" s="41"/>
      <c r="KDS12" s="41"/>
      <c r="KDT12" s="41"/>
      <c r="KDU12" s="41"/>
      <c r="KDV12" s="41"/>
      <c r="KDW12" s="41"/>
      <c r="KDX12" s="41"/>
      <c r="KDY12" s="41"/>
      <c r="KDZ12" s="41"/>
      <c r="KEA12" s="41"/>
      <c r="KEB12" s="41"/>
      <c r="KEC12" s="41"/>
      <c r="KED12" s="41"/>
      <c r="KEE12" s="41"/>
      <c r="KEF12" s="41"/>
      <c r="KEG12" s="41"/>
      <c r="KEH12" s="41"/>
      <c r="KEI12" s="41"/>
      <c r="KEJ12" s="41"/>
      <c r="KEK12" s="41"/>
      <c r="KEL12" s="41"/>
      <c r="KEM12" s="41"/>
      <c r="KEN12" s="41"/>
      <c r="KEO12" s="41"/>
      <c r="KEP12" s="41"/>
      <c r="KEQ12" s="41"/>
      <c r="KER12" s="41"/>
      <c r="KES12" s="41"/>
      <c r="KET12" s="41"/>
      <c r="KEU12" s="41"/>
      <c r="KEV12" s="41"/>
      <c r="KEW12" s="41"/>
      <c r="KEX12" s="41"/>
      <c r="KEY12" s="41"/>
      <c r="KEZ12" s="41"/>
      <c r="KFA12" s="41"/>
      <c r="KFB12" s="41"/>
      <c r="KFC12" s="41"/>
      <c r="KFD12" s="41"/>
      <c r="KFE12" s="41"/>
      <c r="KFF12" s="41"/>
      <c r="KFG12" s="41"/>
      <c r="KFH12" s="41"/>
      <c r="KFI12" s="41"/>
      <c r="KFJ12" s="41"/>
      <c r="KFK12" s="41"/>
      <c r="KFL12" s="41"/>
      <c r="KFM12" s="41"/>
      <c r="KFN12" s="41"/>
      <c r="KFO12" s="41"/>
      <c r="KFP12" s="41"/>
      <c r="KFQ12" s="41"/>
      <c r="KFR12" s="41"/>
      <c r="KFS12" s="41"/>
      <c r="KFT12" s="41"/>
      <c r="KFU12" s="41"/>
      <c r="KFV12" s="41"/>
      <c r="KFW12" s="41"/>
      <c r="KFX12" s="41"/>
      <c r="KFY12" s="41"/>
      <c r="KFZ12" s="41"/>
      <c r="KGA12" s="41"/>
      <c r="KGB12" s="41"/>
      <c r="KGC12" s="41"/>
      <c r="KGD12" s="41"/>
      <c r="KGE12" s="41"/>
      <c r="KGF12" s="41"/>
      <c r="KGG12" s="41"/>
      <c r="KGH12" s="41"/>
      <c r="KGI12" s="41"/>
      <c r="KGJ12" s="41"/>
      <c r="KGK12" s="41"/>
      <c r="KGL12" s="41"/>
      <c r="KGM12" s="41"/>
      <c r="KGN12" s="41"/>
      <c r="KGO12" s="41"/>
      <c r="KGP12" s="41"/>
      <c r="KGQ12" s="41"/>
      <c r="KGR12" s="41"/>
      <c r="KGS12" s="41"/>
      <c r="KGT12" s="41"/>
      <c r="KGU12" s="41"/>
      <c r="KGV12" s="41"/>
      <c r="KGW12" s="41"/>
      <c r="KGX12" s="41"/>
      <c r="KGY12" s="41"/>
      <c r="KGZ12" s="41"/>
      <c r="KHA12" s="41"/>
      <c r="KHB12" s="41"/>
      <c r="KHC12" s="41"/>
      <c r="KHD12" s="41"/>
      <c r="KHE12" s="41"/>
      <c r="KHF12" s="41"/>
      <c r="KHG12" s="41"/>
      <c r="KHH12" s="41"/>
      <c r="KHI12" s="41"/>
      <c r="KHJ12" s="41"/>
      <c r="KHK12" s="41"/>
      <c r="KHL12" s="41"/>
      <c r="KHM12" s="41"/>
      <c r="KHN12" s="41"/>
      <c r="KHO12" s="41"/>
      <c r="KHP12" s="41"/>
      <c r="KHQ12" s="41"/>
      <c r="KHR12" s="41"/>
      <c r="KHS12" s="41"/>
      <c r="KHT12" s="41"/>
      <c r="KHU12" s="41"/>
      <c r="KHV12" s="41"/>
      <c r="KHW12" s="41"/>
      <c r="KHX12" s="41"/>
      <c r="KHY12" s="41"/>
      <c r="KHZ12" s="41"/>
      <c r="KIA12" s="41"/>
      <c r="KIB12" s="41"/>
      <c r="KIC12" s="41"/>
      <c r="KID12" s="41"/>
      <c r="KIE12" s="41"/>
      <c r="KIF12" s="41"/>
      <c r="KIG12" s="41"/>
      <c r="KIH12" s="41"/>
      <c r="KII12" s="41"/>
      <c r="KIJ12" s="41"/>
      <c r="KIK12" s="41"/>
      <c r="KIL12" s="41"/>
      <c r="KIM12" s="41"/>
      <c r="KIN12" s="41"/>
      <c r="KIO12" s="41"/>
      <c r="KIP12" s="41"/>
      <c r="KIQ12" s="41"/>
      <c r="KIR12" s="41"/>
      <c r="KIS12" s="41"/>
      <c r="KIT12" s="41"/>
      <c r="KIU12" s="41"/>
      <c r="KIV12" s="41"/>
      <c r="KIW12" s="41"/>
      <c r="KIX12" s="41"/>
      <c r="KIY12" s="41"/>
      <c r="KIZ12" s="41"/>
      <c r="KJA12" s="41"/>
      <c r="KJB12" s="41"/>
      <c r="KJC12" s="41"/>
      <c r="KJD12" s="41"/>
      <c r="KJE12" s="41"/>
      <c r="KJF12" s="41"/>
      <c r="KJG12" s="41"/>
      <c r="KJH12" s="41"/>
      <c r="KJI12" s="41"/>
      <c r="KJJ12" s="41"/>
      <c r="KJK12" s="41"/>
      <c r="KJL12" s="41"/>
      <c r="KJM12" s="41"/>
      <c r="KJN12" s="41"/>
      <c r="KJO12" s="41"/>
      <c r="KJP12" s="41"/>
      <c r="KJQ12" s="41"/>
      <c r="KJR12" s="41"/>
      <c r="KJS12" s="41"/>
      <c r="KJT12" s="41"/>
      <c r="KJU12" s="41"/>
      <c r="KJV12" s="41"/>
      <c r="KJW12" s="41"/>
      <c r="KJX12" s="41"/>
      <c r="KJY12" s="41"/>
      <c r="KJZ12" s="41"/>
      <c r="KKA12" s="41"/>
      <c r="KKB12" s="41"/>
      <c r="KKC12" s="41"/>
      <c r="KKD12" s="41"/>
      <c r="KKE12" s="41"/>
      <c r="KKF12" s="41"/>
      <c r="KKG12" s="41"/>
      <c r="KKH12" s="41"/>
      <c r="KKI12" s="41"/>
      <c r="KKJ12" s="41"/>
      <c r="KKK12" s="41"/>
      <c r="KKL12" s="41"/>
      <c r="KKM12" s="41"/>
      <c r="KKN12" s="41"/>
      <c r="KKO12" s="41"/>
      <c r="KKP12" s="41"/>
      <c r="KKQ12" s="41"/>
      <c r="KKR12" s="41"/>
      <c r="KKS12" s="41"/>
      <c r="KKT12" s="41"/>
      <c r="KKU12" s="41"/>
      <c r="KKV12" s="41"/>
      <c r="KKW12" s="41"/>
      <c r="KKX12" s="41"/>
      <c r="KKY12" s="41"/>
      <c r="KKZ12" s="41"/>
      <c r="KLA12" s="41"/>
      <c r="KLB12" s="41"/>
      <c r="KLC12" s="41"/>
      <c r="KLD12" s="41"/>
      <c r="KLE12" s="41"/>
      <c r="KLF12" s="41"/>
      <c r="KLG12" s="41"/>
      <c r="KLH12" s="41"/>
      <c r="KLI12" s="41"/>
      <c r="KLJ12" s="41"/>
      <c r="KLK12" s="41"/>
      <c r="KLL12" s="41"/>
      <c r="KLM12" s="41"/>
      <c r="KLN12" s="41"/>
      <c r="KLO12" s="41"/>
      <c r="KLP12" s="41"/>
      <c r="KLQ12" s="41"/>
      <c r="KLR12" s="41"/>
      <c r="KLS12" s="41"/>
      <c r="KLT12" s="41"/>
      <c r="KLU12" s="41"/>
      <c r="KLV12" s="41"/>
      <c r="KLW12" s="41"/>
      <c r="KLX12" s="41"/>
      <c r="KLY12" s="41"/>
      <c r="KLZ12" s="41"/>
      <c r="KMA12" s="41"/>
      <c r="KMB12" s="41"/>
      <c r="KMC12" s="41"/>
      <c r="KMD12" s="41"/>
      <c r="KME12" s="41"/>
      <c r="KMF12" s="41"/>
      <c r="KMG12" s="41"/>
      <c r="KMH12" s="41"/>
      <c r="KMI12" s="41"/>
      <c r="KMJ12" s="41"/>
      <c r="KMK12" s="41"/>
      <c r="KML12" s="41"/>
      <c r="KMM12" s="41"/>
      <c r="KMN12" s="41"/>
      <c r="KMO12" s="41"/>
      <c r="KMP12" s="41"/>
      <c r="KMQ12" s="41"/>
      <c r="KMR12" s="41"/>
      <c r="KMS12" s="41"/>
      <c r="KMT12" s="41"/>
      <c r="KMU12" s="41"/>
      <c r="KMV12" s="41"/>
      <c r="KMW12" s="41"/>
      <c r="KMX12" s="41"/>
      <c r="KMY12" s="41"/>
      <c r="KMZ12" s="41"/>
      <c r="KNA12" s="41"/>
      <c r="KNB12" s="41"/>
      <c r="KNC12" s="41"/>
      <c r="KND12" s="41"/>
      <c r="KNE12" s="41"/>
      <c r="KNF12" s="41"/>
      <c r="KNG12" s="41"/>
      <c r="KNH12" s="41"/>
      <c r="KNI12" s="41"/>
      <c r="KNJ12" s="41"/>
      <c r="KNK12" s="41"/>
      <c r="KNL12" s="41"/>
      <c r="KNM12" s="41"/>
      <c r="KNN12" s="41"/>
      <c r="KNO12" s="41"/>
      <c r="KNP12" s="41"/>
      <c r="KNQ12" s="41"/>
      <c r="KNR12" s="41"/>
      <c r="KNS12" s="41"/>
      <c r="KNT12" s="41"/>
      <c r="KNU12" s="41"/>
      <c r="KNV12" s="41"/>
      <c r="KNW12" s="41"/>
      <c r="KNX12" s="41"/>
      <c r="KNY12" s="41"/>
      <c r="KNZ12" s="41"/>
      <c r="KOA12" s="41"/>
      <c r="KOB12" s="41"/>
      <c r="KOC12" s="41"/>
      <c r="KOD12" s="41"/>
      <c r="KOE12" s="41"/>
      <c r="KOF12" s="41"/>
      <c r="KOG12" s="41"/>
      <c r="KOH12" s="41"/>
      <c r="KOI12" s="41"/>
      <c r="KOJ12" s="41"/>
      <c r="KOK12" s="41"/>
      <c r="KOL12" s="41"/>
      <c r="KOM12" s="41"/>
      <c r="KON12" s="41"/>
      <c r="KOO12" s="41"/>
      <c r="KOP12" s="41"/>
      <c r="KOQ12" s="41"/>
      <c r="KOR12" s="41"/>
      <c r="KOS12" s="41"/>
      <c r="KOT12" s="41"/>
      <c r="KOU12" s="41"/>
      <c r="KOV12" s="41"/>
      <c r="KOW12" s="41"/>
      <c r="KOX12" s="41"/>
      <c r="KOY12" s="41"/>
      <c r="KOZ12" s="41"/>
      <c r="KPA12" s="41"/>
      <c r="KPB12" s="41"/>
      <c r="KPC12" s="41"/>
      <c r="KPD12" s="41"/>
      <c r="KPE12" s="41"/>
      <c r="KPF12" s="41"/>
      <c r="KPG12" s="41"/>
      <c r="KPH12" s="41"/>
      <c r="KPI12" s="41"/>
      <c r="KPJ12" s="41"/>
      <c r="KPK12" s="41"/>
      <c r="KPL12" s="41"/>
      <c r="KPM12" s="41"/>
      <c r="KPN12" s="41"/>
      <c r="KPO12" s="41"/>
      <c r="KPP12" s="41"/>
      <c r="KPQ12" s="41"/>
      <c r="KPR12" s="41"/>
      <c r="KPS12" s="41"/>
      <c r="KPT12" s="41"/>
      <c r="KPU12" s="41"/>
      <c r="KPV12" s="41"/>
      <c r="KPW12" s="41"/>
      <c r="KPX12" s="41"/>
      <c r="KPY12" s="41"/>
      <c r="KPZ12" s="41"/>
      <c r="KQA12" s="41"/>
      <c r="KQB12" s="41"/>
      <c r="KQC12" s="41"/>
      <c r="KQD12" s="41"/>
      <c r="KQE12" s="41"/>
      <c r="KQF12" s="41"/>
      <c r="KQG12" s="41"/>
      <c r="KQH12" s="41"/>
      <c r="KQI12" s="41"/>
      <c r="KQJ12" s="41"/>
      <c r="KQK12" s="41"/>
      <c r="KQL12" s="41"/>
      <c r="KQM12" s="41"/>
      <c r="KQN12" s="41"/>
      <c r="KQO12" s="41"/>
      <c r="KQP12" s="41"/>
      <c r="KQQ12" s="41"/>
      <c r="KQR12" s="41"/>
      <c r="KQS12" s="41"/>
      <c r="KQT12" s="41"/>
      <c r="KQU12" s="41"/>
      <c r="KQV12" s="41"/>
      <c r="KQW12" s="41"/>
      <c r="KQX12" s="41"/>
      <c r="KQY12" s="41"/>
      <c r="KQZ12" s="41"/>
      <c r="KRA12" s="41"/>
      <c r="KRB12" s="41"/>
      <c r="KRC12" s="41"/>
      <c r="KRD12" s="41"/>
      <c r="KRE12" s="41"/>
      <c r="KRF12" s="41"/>
      <c r="KRG12" s="41"/>
      <c r="KRH12" s="41"/>
      <c r="KRI12" s="41"/>
      <c r="KRJ12" s="41"/>
      <c r="KRK12" s="41"/>
      <c r="KRL12" s="41"/>
      <c r="KRM12" s="41"/>
      <c r="KRN12" s="41"/>
      <c r="KRO12" s="41"/>
      <c r="KRP12" s="41"/>
      <c r="KRQ12" s="41"/>
      <c r="KRR12" s="41"/>
      <c r="KRS12" s="41"/>
      <c r="KRT12" s="41"/>
      <c r="KRU12" s="41"/>
      <c r="KRV12" s="41"/>
      <c r="KRW12" s="41"/>
      <c r="KRX12" s="41"/>
      <c r="KRY12" s="41"/>
      <c r="KRZ12" s="41"/>
      <c r="KSA12" s="41"/>
      <c r="KSB12" s="41"/>
      <c r="KSC12" s="41"/>
      <c r="KSD12" s="41"/>
      <c r="KSE12" s="41"/>
      <c r="KSF12" s="41"/>
      <c r="KSG12" s="41"/>
      <c r="KSH12" s="41"/>
      <c r="KSI12" s="41"/>
      <c r="KSJ12" s="41"/>
      <c r="KSK12" s="41"/>
      <c r="KSL12" s="41"/>
      <c r="KSM12" s="41"/>
      <c r="KSN12" s="41"/>
      <c r="KSO12" s="41"/>
      <c r="KSP12" s="41"/>
      <c r="KSQ12" s="41"/>
      <c r="KSR12" s="41"/>
      <c r="KSS12" s="41"/>
      <c r="KST12" s="41"/>
      <c r="KSU12" s="41"/>
      <c r="KSV12" s="41"/>
      <c r="KSW12" s="41"/>
      <c r="KSX12" s="41"/>
      <c r="KSY12" s="41"/>
      <c r="KSZ12" s="41"/>
      <c r="KTA12" s="41"/>
      <c r="KTB12" s="41"/>
      <c r="KTC12" s="41"/>
      <c r="KTD12" s="41"/>
      <c r="KTE12" s="41"/>
      <c r="KTF12" s="41"/>
      <c r="KTG12" s="41"/>
      <c r="KTH12" s="41"/>
      <c r="KTI12" s="41"/>
      <c r="KTJ12" s="41"/>
      <c r="KTK12" s="41"/>
      <c r="KTL12" s="41"/>
      <c r="KTM12" s="41"/>
      <c r="KTN12" s="41"/>
      <c r="KTO12" s="41"/>
      <c r="KTP12" s="41"/>
      <c r="KTQ12" s="41"/>
      <c r="KTR12" s="41"/>
      <c r="KTS12" s="41"/>
      <c r="KTT12" s="41"/>
      <c r="KTU12" s="41"/>
      <c r="KTV12" s="41"/>
      <c r="KTW12" s="41"/>
      <c r="KTX12" s="41"/>
      <c r="KTY12" s="41"/>
      <c r="KTZ12" s="41"/>
      <c r="KUA12" s="41"/>
      <c r="KUB12" s="41"/>
      <c r="KUC12" s="41"/>
      <c r="KUD12" s="41"/>
      <c r="KUE12" s="41"/>
      <c r="KUF12" s="41"/>
      <c r="KUG12" s="41"/>
      <c r="KUH12" s="41"/>
      <c r="KUI12" s="41"/>
      <c r="KUJ12" s="41"/>
      <c r="KUK12" s="41"/>
      <c r="KUL12" s="41"/>
      <c r="KUM12" s="41"/>
      <c r="KUN12" s="41"/>
      <c r="KUO12" s="41"/>
      <c r="KUP12" s="41"/>
      <c r="KUQ12" s="41"/>
      <c r="KUR12" s="41"/>
      <c r="KUS12" s="41"/>
      <c r="KUT12" s="41"/>
      <c r="KUU12" s="41"/>
      <c r="KUV12" s="41"/>
      <c r="KUW12" s="41"/>
      <c r="KUX12" s="41"/>
      <c r="KUY12" s="41"/>
      <c r="KUZ12" s="41"/>
      <c r="KVA12" s="41"/>
      <c r="KVB12" s="41"/>
      <c r="KVC12" s="41"/>
      <c r="KVD12" s="41"/>
      <c r="KVE12" s="41"/>
      <c r="KVF12" s="41"/>
      <c r="KVG12" s="41"/>
      <c r="KVH12" s="41"/>
      <c r="KVI12" s="41"/>
      <c r="KVJ12" s="41"/>
      <c r="KVK12" s="41"/>
      <c r="KVL12" s="41"/>
      <c r="KVM12" s="41"/>
      <c r="KVN12" s="41"/>
      <c r="KVO12" s="41"/>
      <c r="KVP12" s="41"/>
      <c r="KVQ12" s="41"/>
      <c r="KVR12" s="41"/>
      <c r="KVS12" s="41"/>
      <c r="KVT12" s="41"/>
      <c r="KVU12" s="41"/>
      <c r="KVV12" s="41"/>
      <c r="KVW12" s="41"/>
      <c r="KVX12" s="41"/>
      <c r="KVY12" s="41"/>
      <c r="KVZ12" s="41"/>
      <c r="KWA12" s="41"/>
      <c r="KWB12" s="41"/>
      <c r="KWC12" s="41"/>
      <c r="KWD12" s="41"/>
      <c r="KWE12" s="41"/>
      <c r="KWF12" s="41"/>
      <c r="KWG12" s="41"/>
      <c r="KWH12" s="41"/>
      <c r="KWI12" s="41"/>
      <c r="KWJ12" s="41"/>
      <c r="KWK12" s="41"/>
      <c r="KWL12" s="41"/>
      <c r="KWM12" s="41"/>
      <c r="KWN12" s="41"/>
      <c r="KWO12" s="41"/>
      <c r="KWP12" s="41"/>
      <c r="KWQ12" s="41"/>
      <c r="KWR12" s="41"/>
      <c r="KWS12" s="41"/>
      <c r="KWT12" s="41"/>
      <c r="KWU12" s="41"/>
      <c r="KWV12" s="41"/>
      <c r="KWW12" s="41"/>
      <c r="KWX12" s="41"/>
      <c r="KWY12" s="41"/>
      <c r="KWZ12" s="41"/>
      <c r="KXA12" s="41"/>
      <c r="KXB12" s="41"/>
      <c r="KXC12" s="41"/>
      <c r="KXD12" s="41"/>
      <c r="KXE12" s="41"/>
      <c r="KXF12" s="41"/>
      <c r="KXG12" s="41"/>
      <c r="KXH12" s="41"/>
      <c r="KXI12" s="41"/>
      <c r="KXJ12" s="41"/>
      <c r="KXK12" s="41"/>
      <c r="KXL12" s="41"/>
      <c r="KXM12" s="41"/>
      <c r="KXN12" s="41"/>
      <c r="KXO12" s="41"/>
      <c r="KXP12" s="41"/>
      <c r="KXQ12" s="41"/>
      <c r="KXR12" s="41"/>
      <c r="KXS12" s="41"/>
      <c r="KXT12" s="41"/>
      <c r="KXU12" s="41"/>
      <c r="KXV12" s="41"/>
      <c r="KXW12" s="41"/>
      <c r="KXX12" s="41"/>
      <c r="KXY12" s="41"/>
      <c r="KXZ12" s="41"/>
      <c r="KYA12" s="41"/>
      <c r="KYB12" s="41"/>
      <c r="KYC12" s="41"/>
      <c r="KYD12" s="41"/>
      <c r="KYE12" s="41"/>
      <c r="KYF12" s="41"/>
      <c r="KYG12" s="41"/>
      <c r="KYH12" s="41"/>
      <c r="KYI12" s="41"/>
      <c r="KYJ12" s="41"/>
      <c r="KYK12" s="41"/>
      <c r="KYL12" s="41"/>
      <c r="KYM12" s="41"/>
      <c r="KYN12" s="41"/>
      <c r="KYO12" s="41"/>
      <c r="KYP12" s="41"/>
      <c r="KYQ12" s="41"/>
      <c r="KYR12" s="41"/>
      <c r="KYS12" s="41"/>
      <c r="KYT12" s="41"/>
      <c r="KYU12" s="41"/>
      <c r="KYV12" s="41"/>
      <c r="KYW12" s="41"/>
      <c r="KYX12" s="41"/>
      <c r="KYY12" s="41"/>
      <c r="KYZ12" s="41"/>
      <c r="KZA12" s="41"/>
      <c r="KZB12" s="41"/>
      <c r="KZC12" s="41"/>
      <c r="KZD12" s="41"/>
      <c r="KZE12" s="41"/>
      <c r="KZF12" s="41"/>
      <c r="KZG12" s="41"/>
      <c r="KZH12" s="41"/>
      <c r="KZI12" s="41"/>
      <c r="KZJ12" s="41"/>
      <c r="KZK12" s="41"/>
      <c r="KZL12" s="41"/>
      <c r="KZM12" s="41"/>
      <c r="KZN12" s="41"/>
      <c r="KZO12" s="41"/>
      <c r="KZP12" s="41"/>
      <c r="KZQ12" s="41"/>
      <c r="KZR12" s="41"/>
      <c r="KZS12" s="41"/>
      <c r="KZT12" s="41"/>
      <c r="KZU12" s="41"/>
      <c r="KZV12" s="41"/>
      <c r="KZW12" s="41"/>
      <c r="KZX12" s="41"/>
      <c r="KZY12" s="41"/>
      <c r="KZZ12" s="41"/>
      <c r="LAA12" s="41"/>
      <c r="LAB12" s="41"/>
      <c r="LAC12" s="41"/>
      <c r="LAD12" s="41"/>
      <c r="LAE12" s="41"/>
      <c r="LAF12" s="41"/>
      <c r="LAG12" s="41"/>
      <c r="LAH12" s="41"/>
      <c r="LAI12" s="41"/>
      <c r="LAJ12" s="41"/>
      <c r="LAK12" s="41"/>
      <c r="LAL12" s="41"/>
      <c r="LAM12" s="41"/>
      <c r="LAN12" s="41"/>
      <c r="LAO12" s="41"/>
      <c r="LAP12" s="41"/>
      <c r="LAQ12" s="41"/>
      <c r="LAR12" s="41"/>
      <c r="LAS12" s="41"/>
      <c r="LAT12" s="41"/>
      <c r="LAU12" s="41"/>
      <c r="LAV12" s="41"/>
      <c r="LAW12" s="41"/>
      <c r="LAX12" s="41"/>
      <c r="LAY12" s="41"/>
      <c r="LAZ12" s="41"/>
      <c r="LBA12" s="41"/>
      <c r="LBB12" s="41"/>
      <c r="LBC12" s="41"/>
      <c r="LBD12" s="41"/>
      <c r="LBE12" s="41"/>
      <c r="LBF12" s="41"/>
      <c r="LBG12" s="41"/>
      <c r="LBH12" s="41"/>
      <c r="LBI12" s="41"/>
      <c r="LBJ12" s="41"/>
      <c r="LBK12" s="41"/>
      <c r="LBL12" s="41"/>
      <c r="LBM12" s="41"/>
      <c r="LBN12" s="41"/>
      <c r="LBO12" s="41"/>
      <c r="LBP12" s="41"/>
      <c r="LBQ12" s="41"/>
      <c r="LBR12" s="41"/>
      <c r="LBS12" s="41"/>
      <c r="LBT12" s="41"/>
      <c r="LBU12" s="41"/>
      <c r="LBV12" s="41"/>
      <c r="LBW12" s="41"/>
      <c r="LBX12" s="41"/>
      <c r="LBY12" s="41"/>
      <c r="LBZ12" s="41"/>
      <c r="LCA12" s="41"/>
      <c r="LCB12" s="41"/>
      <c r="LCC12" s="41"/>
      <c r="LCD12" s="41"/>
      <c r="LCE12" s="41"/>
      <c r="LCF12" s="41"/>
      <c r="LCG12" s="41"/>
      <c r="LCH12" s="41"/>
      <c r="LCI12" s="41"/>
      <c r="LCJ12" s="41"/>
      <c r="LCK12" s="41"/>
      <c r="LCL12" s="41"/>
      <c r="LCM12" s="41"/>
      <c r="LCN12" s="41"/>
      <c r="LCO12" s="41"/>
      <c r="LCP12" s="41"/>
      <c r="LCQ12" s="41"/>
      <c r="LCR12" s="41"/>
      <c r="LCS12" s="41"/>
      <c r="LCT12" s="41"/>
      <c r="LCU12" s="41"/>
      <c r="LCV12" s="41"/>
      <c r="LCW12" s="41"/>
      <c r="LCX12" s="41"/>
      <c r="LCY12" s="41"/>
      <c r="LCZ12" s="41"/>
      <c r="LDA12" s="41"/>
      <c r="LDB12" s="41"/>
      <c r="LDC12" s="41"/>
      <c r="LDD12" s="41"/>
      <c r="LDE12" s="41"/>
      <c r="LDF12" s="41"/>
      <c r="LDG12" s="41"/>
      <c r="LDH12" s="41"/>
      <c r="LDI12" s="41"/>
      <c r="LDJ12" s="41"/>
      <c r="LDK12" s="41"/>
      <c r="LDL12" s="41"/>
      <c r="LDM12" s="41"/>
      <c r="LDN12" s="41"/>
      <c r="LDO12" s="41"/>
      <c r="LDP12" s="41"/>
      <c r="LDQ12" s="41"/>
      <c r="LDR12" s="41"/>
      <c r="LDS12" s="41"/>
      <c r="LDT12" s="41"/>
      <c r="LDU12" s="41"/>
      <c r="LDV12" s="41"/>
      <c r="LDW12" s="41"/>
      <c r="LDX12" s="41"/>
      <c r="LDY12" s="41"/>
      <c r="LDZ12" s="41"/>
      <c r="LEA12" s="41"/>
      <c r="LEB12" s="41"/>
      <c r="LEC12" s="41"/>
      <c r="LED12" s="41"/>
      <c r="LEE12" s="41"/>
      <c r="LEF12" s="41"/>
      <c r="LEG12" s="41"/>
      <c r="LEH12" s="41"/>
      <c r="LEI12" s="41"/>
      <c r="LEJ12" s="41"/>
      <c r="LEK12" s="41"/>
      <c r="LEL12" s="41"/>
      <c r="LEM12" s="41"/>
      <c r="LEN12" s="41"/>
      <c r="LEO12" s="41"/>
      <c r="LEP12" s="41"/>
      <c r="LEQ12" s="41"/>
      <c r="LER12" s="41"/>
      <c r="LES12" s="41"/>
      <c r="LET12" s="41"/>
      <c r="LEU12" s="41"/>
      <c r="LEV12" s="41"/>
      <c r="LEW12" s="41"/>
      <c r="LEX12" s="41"/>
      <c r="LEY12" s="41"/>
      <c r="LEZ12" s="41"/>
      <c r="LFA12" s="41"/>
      <c r="LFB12" s="41"/>
      <c r="LFC12" s="41"/>
      <c r="LFD12" s="41"/>
      <c r="LFE12" s="41"/>
      <c r="LFF12" s="41"/>
      <c r="LFG12" s="41"/>
      <c r="LFH12" s="41"/>
      <c r="LFI12" s="41"/>
      <c r="LFJ12" s="41"/>
      <c r="LFK12" s="41"/>
      <c r="LFL12" s="41"/>
      <c r="LFM12" s="41"/>
      <c r="LFN12" s="41"/>
      <c r="LFO12" s="41"/>
      <c r="LFP12" s="41"/>
      <c r="LFQ12" s="41"/>
      <c r="LFR12" s="41"/>
      <c r="LFS12" s="41"/>
      <c r="LFT12" s="41"/>
      <c r="LFU12" s="41"/>
      <c r="LFV12" s="41"/>
      <c r="LFW12" s="41"/>
      <c r="LFX12" s="41"/>
      <c r="LFY12" s="41"/>
      <c r="LFZ12" s="41"/>
      <c r="LGA12" s="41"/>
      <c r="LGB12" s="41"/>
      <c r="LGC12" s="41"/>
      <c r="LGD12" s="41"/>
      <c r="LGE12" s="41"/>
      <c r="LGF12" s="41"/>
      <c r="LGG12" s="41"/>
      <c r="LGH12" s="41"/>
      <c r="LGI12" s="41"/>
      <c r="LGJ12" s="41"/>
      <c r="LGK12" s="41"/>
      <c r="LGL12" s="41"/>
      <c r="LGM12" s="41"/>
      <c r="LGN12" s="41"/>
      <c r="LGO12" s="41"/>
      <c r="LGP12" s="41"/>
      <c r="LGQ12" s="41"/>
      <c r="LGR12" s="41"/>
      <c r="LGS12" s="41"/>
      <c r="LGT12" s="41"/>
      <c r="LGU12" s="41"/>
      <c r="LGV12" s="41"/>
      <c r="LGW12" s="41"/>
      <c r="LGX12" s="41"/>
      <c r="LGY12" s="41"/>
      <c r="LGZ12" s="41"/>
      <c r="LHA12" s="41"/>
      <c r="LHB12" s="41"/>
      <c r="LHC12" s="41"/>
      <c r="LHD12" s="41"/>
      <c r="LHE12" s="41"/>
      <c r="LHF12" s="41"/>
      <c r="LHG12" s="41"/>
      <c r="LHH12" s="41"/>
      <c r="LHI12" s="41"/>
      <c r="LHJ12" s="41"/>
      <c r="LHK12" s="41"/>
      <c r="LHL12" s="41"/>
      <c r="LHM12" s="41"/>
      <c r="LHN12" s="41"/>
      <c r="LHO12" s="41"/>
      <c r="LHP12" s="41"/>
      <c r="LHQ12" s="41"/>
      <c r="LHR12" s="41"/>
      <c r="LHS12" s="41"/>
      <c r="LHT12" s="41"/>
      <c r="LHU12" s="41"/>
      <c r="LHV12" s="41"/>
      <c r="LHW12" s="41"/>
      <c r="LHX12" s="41"/>
      <c r="LHY12" s="41"/>
      <c r="LHZ12" s="41"/>
      <c r="LIA12" s="41"/>
      <c r="LIB12" s="41"/>
      <c r="LIC12" s="41"/>
      <c r="LID12" s="41"/>
      <c r="LIE12" s="41"/>
      <c r="LIF12" s="41"/>
      <c r="LIG12" s="41"/>
      <c r="LIH12" s="41"/>
      <c r="LII12" s="41"/>
      <c r="LIJ12" s="41"/>
      <c r="LIK12" s="41"/>
      <c r="LIL12" s="41"/>
      <c r="LIM12" s="41"/>
      <c r="LIN12" s="41"/>
      <c r="LIO12" s="41"/>
      <c r="LIP12" s="41"/>
      <c r="LIQ12" s="41"/>
      <c r="LIR12" s="41"/>
      <c r="LIS12" s="41"/>
      <c r="LIT12" s="41"/>
      <c r="LIU12" s="41"/>
      <c r="LIV12" s="41"/>
      <c r="LIW12" s="41"/>
      <c r="LIX12" s="41"/>
      <c r="LIY12" s="41"/>
      <c r="LIZ12" s="41"/>
      <c r="LJA12" s="41"/>
      <c r="LJB12" s="41"/>
      <c r="LJC12" s="41"/>
      <c r="LJD12" s="41"/>
      <c r="LJE12" s="41"/>
      <c r="LJF12" s="41"/>
      <c r="LJG12" s="41"/>
      <c r="LJH12" s="41"/>
      <c r="LJI12" s="41"/>
      <c r="LJJ12" s="41"/>
      <c r="LJK12" s="41"/>
      <c r="LJL12" s="41"/>
      <c r="LJM12" s="41"/>
      <c r="LJN12" s="41"/>
      <c r="LJO12" s="41"/>
      <c r="LJP12" s="41"/>
      <c r="LJQ12" s="41"/>
      <c r="LJR12" s="41"/>
      <c r="LJS12" s="41"/>
      <c r="LJT12" s="41"/>
      <c r="LJU12" s="41"/>
      <c r="LJV12" s="41"/>
      <c r="LJW12" s="41"/>
      <c r="LJX12" s="41"/>
      <c r="LJY12" s="41"/>
      <c r="LJZ12" s="41"/>
      <c r="LKA12" s="41"/>
      <c r="LKB12" s="41"/>
      <c r="LKC12" s="41"/>
      <c r="LKD12" s="41"/>
      <c r="LKE12" s="41"/>
      <c r="LKF12" s="41"/>
      <c r="LKG12" s="41"/>
      <c r="LKH12" s="41"/>
      <c r="LKI12" s="41"/>
      <c r="LKJ12" s="41"/>
      <c r="LKK12" s="41"/>
      <c r="LKL12" s="41"/>
      <c r="LKM12" s="41"/>
      <c r="LKN12" s="41"/>
      <c r="LKO12" s="41"/>
      <c r="LKP12" s="41"/>
      <c r="LKQ12" s="41"/>
      <c r="LKR12" s="41"/>
      <c r="LKS12" s="41"/>
      <c r="LKT12" s="41"/>
      <c r="LKU12" s="41"/>
      <c r="LKV12" s="41"/>
      <c r="LKW12" s="41"/>
      <c r="LKX12" s="41"/>
      <c r="LKY12" s="41"/>
      <c r="LKZ12" s="41"/>
      <c r="LLA12" s="41"/>
      <c r="LLB12" s="41"/>
      <c r="LLC12" s="41"/>
      <c r="LLD12" s="41"/>
      <c r="LLE12" s="41"/>
      <c r="LLF12" s="41"/>
      <c r="LLG12" s="41"/>
      <c r="LLH12" s="41"/>
      <c r="LLI12" s="41"/>
      <c r="LLJ12" s="41"/>
      <c r="LLK12" s="41"/>
      <c r="LLL12" s="41"/>
      <c r="LLM12" s="41"/>
      <c r="LLN12" s="41"/>
      <c r="LLO12" s="41"/>
      <c r="LLP12" s="41"/>
      <c r="LLQ12" s="41"/>
      <c r="LLR12" s="41"/>
      <c r="LLS12" s="41"/>
      <c r="LLT12" s="41"/>
      <c r="LLU12" s="41"/>
      <c r="LLV12" s="41"/>
      <c r="LLW12" s="41"/>
      <c r="LLX12" s="41"/>
      <c r="LLY12" s="41"/>
      <c r="LLZ12" s="41"/>
      <c r="LMA12" s="41"/>
      <c r="LMB12" s="41"/>
      <c r="LMC12" s="41"/>
      <c r="LMD12" s="41"/>
      <c r="LME12" s="41"/>
      <c r="LMF12" s="41"/>
      <c r="LMG12" s="41"/>
      <c r="LMH12" s="41"/>
      <c r="LMI12" s="41"/>
      <c r="LMJ12" s="41"/>
      <c r="LMK12" s="41"/>
      <c r="LML12" s="41"/>
      <c r="LMM12" s="41"/>
      <c r="LMN12" s="41"/>
      <c r="LMO12" s="41"/>
      <c r="LMP12" s="41"/>
      <c r="LMQ12" s="41"/>
      <c r="LMR12" s="41"/>
      <c r="LMS12" s="41"/>
      <c r="LMT12" s="41"/>
      <c r="LMU12" s="41"/>
      <c r="LMV12" s="41"/>
      <c r="LMW12" s="41"/>
      <c r="LMX12" s="41"/>
      <c r="LMY12" s="41"/>
      <c r="LMZ12" s="41"/>
      <c r="LNA12" s="41"/>
      <c r="LNB12" s="41"/>
      <c r="LNC12" s="41"/>
      <c r="LND12" s="41"/>
      <c r="LNE12" s="41"/>
      <c r="LNF12" s="41"/>
      <c r="LNG12" s="41"/>
      <c r="LNH12" s="41"/>
      <c r="LNI12" s="41"/>
      <c r="LNJ12" s="41"/>
      <c r="LNK12" s="41"/>
      <c r="LNL12" s="41"/>
      <c r="LNM12" s="41"/>
      <c r="LNN12" s="41"/>
      <c r="LNO12" s="41"/>
      <c r="LNP12" s="41"/>
      <c r="LNQ12" s="41"/>
      <c r="LNR12" s="41"/>
      <c r="LNS12" s="41"/>
      <c r="LNT12" s="41"/>
      <c r="LNU12" s="41"/>
      <c r="LNV12" s="41"/>
      <c r="LNW12" s="41"/>
      <c r="LNX12" s="41"/>
      <c r="LNY12" s="41"/>
      <c r="LNZ12" s="41"/>
      <c r="LOA12" s="41"/>
      <c r="LOB12" s="41"/>
      <c r="LOC12" s="41"/>
      <c r="LOD12" s="41"/>
      <c r="LOE12" s="41"/>
      <c r="LOF12" s="41"/>
      <c r="LOG12" s="41"/>
      <c r="LOH12" s="41"/>
      <c r="LOI12" s="41"/>
      <c r="LOJ12" s="41"/>
      <c r="LOK12" s="41"/>
      <c r="LOL12" s="41"/>
      <c r="LOM12" s="41"/>
      <c r="LON12" s="41"/>
      <c r="LOO12" s="41"/>
      <c r="LOP12" s="41"/>
      <c r="LOQ12" s="41"/>
      <c r="LOR12" s="41"/>
      <c r="LOS12" s="41"/>
      <c r="LOT12" s="41"/>
      <c r="LOU12" s="41"/>
      <c r="LOV12" s="41"/>
      <c r="LOW12" s="41"/>
      <c r="LOX12" s="41"/>
      <c r="LOY12" s="41"/>
      <c r="LOZ12" s="41"/>
      <c r="LPA12" s="41"/>
      <c r="LPB12" s="41"/>
      <c r="LPC12" s="41"/>
      <c r="LPD12" s="41"/>
      <c r="LPE12" s="41"/>
      <c r="LPF12" s="41"/>
      <c r="LPG12" s="41"/>
      <c r="LPH12" s="41"/>
      <c r="LPI12" s="41"/>
      <c r="LPJ12" s="41"/>
      <c r="LPK12" s="41"/>
      <c r="LPL12" s="41"/>
      <c r="LPM12" s="41"/>
      <c r="LPN12" s="41"/>
      <c r="LPO12" s="41"/>
      <c r="LPP12" s="41"/>
      <c r="LPQ12" s="41"/>
      <c r="LPR12" s="41"/>
      <c r="LPS12" s="41"/>
      <c r="LPT12" s="41"/>
      <c r="LPU12" s="41"/>
      <c r="LPV12" s="41"/>
      <c r="LPW12" s="41"/>
      <c r="LPX12" s="41"/>
      <c r="LPY12" s="41"/>
      <c r="LPZ12" s="41"/>
      <c r="LQA12" s="41"/>
      <c r="LQB12" s="41"/>
      <c r="LQC12" s="41"/>
      <c r="LQD12" s="41"/>
      <c r="LQE12" s="41"/>
      <c r="LQF12" s="41"/>
      <c r="LQG12" s="41"/>
      <c r="LQH12" s="41"/>
      <c r="LQI12" s="41"/>
      <c r="LQJ12" s="41"/>
      <c r="LQK12" s="41"/>
      <c r="LQL12" s="41"/>
      <c r="LQM12" s="41"/>
      <c r="LQN12" s="41"/>
      <c r="LQO12" s="41"/>
      <c r="LQP12" s="41"/>
      <c r="LQQ12" s="41"/>
      <c r="LQR12" s="41"/>
      <c r="LQS12" s="41"/>
      <c r="LQT12" s="41"/>
      <c r="LQU12" s="41"/>
      <c r="LQV12" s="41"/>
      <c r="LQW12" s="41"/>
      <c r="LQX12" s="41"/>
      <c r="LQY12" s="41"/>
      <c r="LQZ12" s="41"/>
      <c r="LRA12" s="41"/>
      <c r="LRB12" s="41"/>
      <c r="LRC12" s="41"/>
      <c r="LRD12" s="41"/>
      <c r="LRE12" s="41"/>
      <c r="LRF12" s="41"/>
      <c r="LRG12" s="41"/>
      <c r="LRH12" s="41"/>
      <c r="LRI12" s="41"/>
      <c r="LRJ12" s="41"/>
      <c r="LRK12" s="41"/>
      <c r="LRL12" s="41"/>
      <c r="LRM12" s="41"/>
      <c r="LRN12" s="41"/>
      <c r="LRO12" s="41"/>
      <c r="LRP12" s="41"/>
      <c r="LRQ12" s="41"/>
      <c r="LRR12" s="41"/>
      <c r="LRS12" s="41"/>
      <c r="LRT12" s="41"/>
      <c r="LRU12" s="41"/>
      <c r="LRV12" s="41"/>
      <c r="LRW12" s="41"/>
      <c r="LRX12" s="41"/>
      <c r="LRY12" s="41"/>
      <c r="LRZ12" s="41"/>
      <c r="LSA12" s="41"/>
      <c r="LSB12" s="41"/>
      <c r="LSC12" s="41"/>
      <c r="LSD12" s="41"/>
      <c r="LSE12" s="41"/>
      <c r="LSF12" s="41"/>
      <c r="LSG12" s="41"/>
      <c r="LSH12" s="41"/>
      <c r="LSI12" s="41"/>
      <c r="LSJ12" s="41"/>
      <c r="LSK12" s="41"/>
      <c r="LSL12" s="41"/>
      <c r="LSM12" s="41"/>
      <c r="LSN12" s="41"/>
      <c r="LSO12" s="41"/>
      <c r="LSP12" s="41"/>
      <c r="LSQ12" s="41"/>
      <c r="LSR12" s="41"/>
      <c r="LSS12" s="41"/>
      <c r="LST12" s="41"/>
      <c r="LSU12" s="41"/>
      <c r="LSV12" s="41"/>
      <c r="LSW12" s="41"/>
      <c r="LSX12" s="41"/>
      <c r="LSY12" s="41"/>
      <c r="LSZ12" s="41"/>
      <c r="LTA12" s="41"/>
      <c r="LTB12" s="41"/>
      <c r="LTC12" s="41"/>
      <c r="LTD12" s="41"/>
      <c r="LTE12" s="41"/>
      <c r="LTF12" s="41"/>
      <c r="LTG12" s="41"/>
      <c r="LTH12" s="41"/>
      <c r="LTI12" s="41"/>
      <c r="LTJ12" s="41"/>
      <c r="LTK12" s="41"/>
      <c r="LTL12" s="41"/>
      <c r="LTM12" s="41"/>
      <c r="LTN12" s="41"/>
      <c r="LTO12" s="41"/>
      <c r="LTP12" s="41"/>
      <c r="LTQ12" s="41"/>
      <c r="LTR12" s="41"/>
      <c r="LTS12" s="41"/>
      <c r="LTT12" s="41"/>
      <c r="LTU12" s="41"/>
      <c r="LTV12" s="41"/>
      <c r="LTW12" s="41"/>
      <c r="LTX12" s="41"/>
      <c r="LTY12" s="41"/>
      <c r="LTZ12" s="41"/>
      <c r="LUA12" s="41"/>
      <c r="LUB12" s="41"/>
      <c r="LUC12" s="41"/>
      <c r="LUD12" s="41"/>
      <c r="LUE12" s="41"/>
      <c r="LUF12" s="41"/>
      <c r="LUG12" s="41"/>
      <c r="LUH12" s="41"/>
      <c r="LUI12" s="41"/>
      <c r="LUJ12" s="41"/>
      <c r="LUK12" s="41"/>
      <c r="LUL12" s="41"/>
      <c r="LUM12" s="41"/>
      <c r="LUN12" s="41"/>
      <c r="LUO12" s="41"/>
      <c r="LUP12" s="41"/>
      <c r="LUQ12" s="41"/>
      <c r="LUR12" s="41"/>
      <c r="LUS12" s="41"/>
      <c r="LUT12" s="41"/>
      <c r="LUU12" s="41"/>
      <c r="LUV12" s="41"/>
      <c r="LUW12" s="41"/>
      <c r="LUX12" s="41"/>
      <c r="LUY12" s="41"/>
      <c r="LUZ12" s="41"/>
      <c r="LVA12" s="41"/>
      <c r="LVB12" s="41"/>
      <c r="LVC12" s="41"/>
      <c r="LVD12" s="41"/>
      <c r="LVE12" s="41"/>
      <c r="LVF12" s="41"/>
      <c r="LVG12" s="41"/>
      <c r="LVH12" s="41"/>
      <c r="LVI12" s="41"/>
      <c r="LVJ12" s="41"/>
      <c r="LVK12" s="41"/>
      <c r="LVL12" s="41"/>
      <c r="LVM12" s="41"/>
      <c r="LVN12" s="41"/>
      <c r="LVO12" s="41"/>
      <c r="LVP12" s="41"/>
      <c r="LVQ12" s="41"/>
      <c r="LVR12" s="41"/>
      <c r="LVS12" s="41"/>
      <c r="LVT12" s="41"/>
      <c r="LVU12" s="41"/>
      <c r="LVV12" s="41"/>
      <c r="LVW12" s="41"/>
      <c r="LVX12" s="41"/>
      <c r="LVY12" s="41"/>
      <c r="LVZ12" s="41"/>
      <c r="LWA12" s="41"/>
      <c r="LWB12" s="41"/>
      <c r="LWC12" s="41"/>
      <c r="LWD12" s="41"/>
      <c r="LWE12" s="41"/>
      <c r="LWF12" s="41"/>
      <c r="LWG12" s="41"/>
      <c r="LWH12" s="41"/>
      <c r="LWI12" s="41"/>
      <c r="LWJ12" s="41"/>
      <c r="LWK12" s="41"/>
      <c r="LWL12" s="41"/>
      <c r="LWM12" s="41"/>
      <c r="LWN12" s="41"/>
      <c r="LWO12" s="41"/>
      <c r="LWP12" s="41"/>
      <c r="LWQ12" s="41"/>
      <c r="LWR12" s="41"/>
      <c r="LWS12" s="41"/>
      <c r="LWT12" s="41"/>
      <c r="LWU12" s="41"/>
      <c r="LWV12" s="41"/>
      <c r="LWW12" s="41"/>
      <c r="LWX12" s="41"/>
      <c r="LWY12" s="41"/>
      <c r="LWZ12" s="41"/>
      <c r="LXA12" s="41"/>
      <c r="LXB12" s="41"/>
      <c r="LXC12" s="41"/>
      <c r="LXD12" s="41"/>
      <c r="LXE12" s="41"/>
      <c r="LXF12" s="41"/>
      <c r="LXG12" s="41"/>
      <c r="LXH12" s="41"/>
      <c r="LXI12" s="41"/>
      <c r="LXJ12" s="41"/>
      <c r="LXK12" s="41"/>
      <c r="LXL12" s="41"/>
      <c r="LXM12" s="41"/>
      <c r="LXN12" s="41"/>
      <c r="LXO12" s="41"/>
      <c r="LXP12" s="41"/>
      <c r="LXQ12" s="41"/>
      <c r="LXR12" s="41"/>
      <c r="LXS12" s="41"/>
      <c r="LXT12" s="41"/>
      <c r="LXU12" s="41"/>
      <c r="LXV12" s="41"/>
      <c r="LXW12" s="41"/>
      <c r="LXX12" s="41"/>
      <c r="LXY12" s="41"/>
      <c r="LXZ12" s="41"/>
      <c r="LYA12" s="41"/>
      <c r="LYB12" s="41"/>
      <c r="LYC12" s="41"/>
      <c r="LYD12" s="41"/>
      <c r="LYE12" s="41"/>
      <c r="LYF12" s="41"/>
      <c r="LYG12" s="41"/>
      <c r="LYH12" s="41"/>
      <c r="LYI12" s="41"/>
      <c r="LYJ12" s="41"/>
      <c r="LYK12" s="41"/>
      <c r="LYL12" s="41"/>
      <c r="LYM12" s="41"/>
      <c r="LYN12" s="41"/>
      <c r="LYO12" s="41"/>
      <c r="LYP12" s="41"/>
      <c r="LYQ12" s="41"/>
      <c r="LYR12" s="41"/>
      <c r="LYS12" s="41"/>
      <c r="LYT12" s="41"/>
      <c r="LYU12" s="41"/>
      <c r="LYV12" s="41"/>
      <c r="LYW12" s="41"/>
      <c r="LYX12" s="41"/>
      <c r="LYY12" s="41"/>
      <c r="LYZ12" s="41"/>
      <c r="LZA12" s="41"/>
      <c r="LZB12" s="41"/>
      <c r="LZC12" s="41"/>
      <c r="LZD12" s="41"/>
      <c r="LZE12" s="41"/>
      <c r="LZF12" s="41"/>
      <c r="LZG12" s="41"/>
      <c r="LZH12" s="41"/>
      <c r="LZI12" s="41"/>
      <c r="LZJ12" s="41"/>
      <c r="LZK12" s="41"/>
      <c r="LZL12" s="41"/>
      <c r="LZM12" s="41"/>
      <c r="LZN12" s="41"/>
      <c r="LZO12" s="41"/>
      <c r="LZP12" s="41"/>
      <c r="LZQ12" s="41"/>
      <c r="LZR12" s="41"/>
      <c r="LZS12" s="41"/>
      <c r="LZT12" s="41"/>
      <c r="LZU12" s="41"/>
      <c r="LZV12" s="41"/>
      <c r="LZW12" s="41"/>
      <c r="LZX12" s="41"/>
      <c r="LZY12" s="41"/>
      <c r="LZZ12" s="41"/>
      <c r="MAA12" s="41"/>
      <c r="MAB12" s="41"/>
      <c r="MAC12" s="41"/>
      <c r="MAD12" s="41"/>
      <c r="MAE12" s="41"/>
      <c r="MAF12" s="41"/>
      <c r="MAG12" s="41"/>
      <c r="MAH12" s="41"/>
      <c r="MAI12" s="41"/>
      <c r="MAJ12" s="41"/>
      <c r="MAK12" s="41"/>
      <c r="MAL12" s="41"/>
      <c r="MAM12" s="41"/>
      <c r="MAN12" s="41"/>
      <c r="MAO12" s="41"/>
      <c r="MAP12" s="41"/>
      <c r="MAQ12" s="41"/>
      <c r="MAR12" s="41"/>
      <c r="MAS12" s="41"/>
      <c r="MAT12" s="41"/>
      <c r="MAU12" s="41"/>
      <c r="MAV12" s="41"/>
      <c r="MAW12" s="41"/>
      <c r="MAX12" s="41"/>
      <c r="MAY12" s="41"/>
      <c r="MAZ12" s="41"/>
      <c r="MBA12" s="41"/>
      <c r="MBB12" s="41"/>
      <c r="MBC12" s="41"/>
      <c r="MBD12" s="41"/>
      <c r="MBE12" s="41"/>
      <c r="MBF12" s="41"/>
      <c r="MBG12" s="41"/>
      <c r="MBH12" s="41"/>
      <c r="MBI12" s="41"/>
      <c r="MBJ12" s="41"/>
      <c r="MBK12" s="41"/>
      <c r="MBL12" s="41"/>
      <c r="MBM12" s="41"/>
      <c r="MBN12" s="41"/>
      <c r="MBO12" s="41"/>
      <c r="MBP12" s="41"/>
      <c r="MBQ12" s="41"/>
      <c r="MBR12" s="41"/>
      <c r="MBS12" s="41"/>
      <c r="MBT12" s="41"/>
      <c r="MBU12" s="41"/>
      <c r="MBV12" s="41"/>
      <c r="MBW12" s="41"/>
      <c r="MBX12" s="41"/>
      <c r="MBY12" s="41"/>
      <c r="MBZ12" s="41"/>
      <c r="MCA12" s="41"/>
      <c r="MCB12" s="41"/>
      <c r="MCC12" s="41"/>
      <c r="MCD12" s="41"/>
      <c r="MCE12" s="41"/>
      <c r="MCF12" s="41"/>
      <c r="MCG12" s="41"/>
      <c r="MCH12" s="41"/>
      <c r="MCI12" s="41"/>
      <c r="MCJ12" s="41"/>
      <c r="MCK12" s="41"/>
      <c r="MCL12" s="41"/>
      <c r="MCM12" s="41"/>
      <c r="MCN12" s="41"/>
      <c r="MCO12" s="41"/>
      <c r="MCP12" s="41"/>
      <c r="MCQ12" s="41"/>
      <c r="MCR12" s="41"/>
      <c r="MCS12" s="41"/>
      <c r="MCT12" s="41"/>
      <c r="MCU12" s="41"/>
      <c r="MCV12" s="41"/>
      <c r="MCW12" s="41"/>
      <c r="MCX12" s="41"/>
      <c r="MCY12" s="41"/>
      <c r="MCZ12" s="41"/>
      <c r="MDA12" s="41"/>
      <c r="MDB12" s="41"/>
      <c r="MDC12" s="41"/>
      <c r="MDD12" s="41"/>
      <c r="MDE12" s="41"/>
      <c r="MDF12" s="41"/>
      <c r="MDG12" s="41"/>
      <c r="MDH12" s="41"/>
      <c r="MDI12" s="41"/>
      <c r="MDJ12" s="41"/>
      <c r="MDK12" s="41"/>
      <c r="MDL12" s="41"/>
      <c r="MDM12" s="41"/>
      <c r="MDN12" s="41"/>
      <c r="MDO12" s="41"/>
      <c r="MDP12" s="41"/>
      <c r="MDQ12" s="41"/>
      <c r="MDR12" s="41"/>
      <c r="MDS12" s="41"/>
      <c r="MDT12" s="41"/>
      <c r="MDU12" s="41"/>
      <c r="MDV12" s="41"/>
      <c r="MDW12" s="41"/>
      <c r="MDX12" s="41"/>
      <c r="MDY12" s="41"/>
      <c r="MDZ12" s="41"/>
      <c r="MEA12" s="41"/>
      <c r="MEB12" s="41"/>
      <c r="MEC12" s="41"/>
      <c r="MED12" s="41"/>
      <c r="MEE12" s="41"/>
      <c r="MEF12" s="41"/>
      <c r="MEG12" s="41"/>
      <c r="MEH12" s="41"/>
      <c r="MEI12" s="41"/>
      <c r="MEJ12" s="41"/>
      <c r="MEK12" s="41"/>
      <c r="MEL12" s="41"/>
      <c r="MEM12" s="41"/>
      <c r="MEN12" s="41"/>
      <c r="MEO12" s="41"/>
      <c r="MEP12" s="41"/>
      <c r="MEQ12" s="41"/>
      <c r="MER12" s="41"/>
      <c r="MES12" s="41"/>
      <c r="MET12" s="41"/>
      <c r="MEU12" s="41"/>
      <c r="MEV12" s="41"/>
      <c r="MEW12" s="41"/>
      <c r="MEX12" s="41"/>
      <c r="MEY12" s="41"/>
      <c r="MEZ12" s="41"/>
      <c r="MFA12" s="41"/>
      <c r="MFB12" s="41"/>
      <c r="MFC12" s="41"/>
      <c r="MFD12" s="41"/>
      <c r="MFE12" s="41"/>
      <c r="MFF12" s="41"/>
      <c r="MFG12" s="41"/>
      <c r="MFH12" s="41"/>
      <c r="MFI12" s="41"/>
      <c r="MFJ12" s="41"/>
      <c r="MFK12" s="41"/>
      <c r="MFL12" s="41"/>
      <c r="MFM12" s="41"/>
      <c r="MFN12" s="41"/>
      <c r="MFO12" s="41"/>
      <c r="MFP12" s="41"/>
      <c r="MFQ12" s="41"/>
      <c r="MFR12" s="41"/>
      <c r="MFS12" s="41"/>
      <c r="MFT12" s="41"/>
      <c r="MFU12" s="41"/>
      <c r="MFV12" s="41"/>
      <c r="MFW12" s="41"/>
      <c r="MFX12" s="41"/>
      <c r="MFY12" s="41"/>
      <c r="MFZ12" s="41"/>
      <c r="MGA12" s="41"/>
      <c r="MGB12" s="41"/>
      <c r="MGC12" s="41"/>
      <c r="MGD12" s="41"/>
      <c r="MGE12" s="41"/>
      <c r="MGF12" s="41"/>
      <c r="MGG12" s="41"/>
      <c r="MGH12" s="41"/>
      <c r="MGI12" s="41"/>
      <c r="MGJ12" s="41"/>
      <c r="MGK12" s="41"/>
      <c r="MGL12" s="41"/>
      <c r="MGM12" s="41"/>
      <c r="MGN12" s="41"/>
      <c r="MGO12" s="41"/>
      <c r="MGP12" s="41"/>
      <c r="MGQ12" s="41"/>
      <c r="MGR12" s="41"/>
      <c r="MGS12" s="41"/>
      <c r="MGT12" s="41"/>
      <c r="MGU12" s="41"/>
      <c r="MGV12" s="41"/>
      <c r="MGW12" s="41"/>
      <c r="MGX12" s="41"/>
      <c r="MGY12" s="41"/>
      <c r="MGZ12" s="41"/>
      <c r="MHA12" s="41"/>
      <c r="MHB12" s="41"/>
      <c r="MHC12" s="41"/>
      <c r="MHD12" s="41"/>
      <c r="MHE12" s="41"/>
      <c r="MHF12" s="41"/>
      <c r="MHG12" s="41"/>
      <c r="MHH12" s="41"/>
      <c r="MHI12" s="41"/>
      <c r="MHJ12" s="41"/>
      <c r="MHK12" s="41"/>
      <c r="MHL12" s="41"/>
      <c r="MHM12" s="41"/>
      <c r="MHN12" s="41"/>
      <c r="MHO12" s="41"/>
      <c r="MHP12" s="41"/>
      <c r="MHQ12" s="41"/>
      <c r="MHR12" s="41"/>
      <c r="MHS12" s="41"/>
      <c r="MHT12" s="41"/>
      <c r="MHU12" s="41"/>
      <c r="MHV12" s="41"/>
      <c r="MHW12" s="41"/>
      <c r="MHX12" s="41"/>
      <c r="MHY12" s="41"/>
      <c r="MHZ12" s="41"/>
      <c r="MIA12" s="41"/>
      <c r="MIB12" s="41"/>
      <c r="MIC12" s="41"/>
      <c r="MID12" s="41"/>
      <c r="MIE12" s="41"/>
      <c r="MIF12" s="41"/>
      <c r="MIG12" s="41"/>
      <c r="MIH12" s="41"/>
      <c r="MII12" s="41"/>
      <c r="MIJ12" s="41"/>
      <c r="MIK12" s="41"/>
      <c r="MIL12" s="41"/>
      <c r="MIM12" s="41"/>
      <c r="MIN12" s="41"/>
      <c r="MIO12" s="41"/>
      <c r="MIP12" s="41"/>
      <c r="MIQ12" s="41"/>
      <c r="MIR12" s="41"/>
      <c r="MIS12" s="41"/>
      <c r="MIT12" s="41"/>
      <c r="MIU12" s="41"/>
      <c r="MIV12" s="41"/>
      <c r="MIW12" s="41"/>
      <c r="MIX12" s="41"/>
      <c r="MIY12" s="41"/>
      <c r="MIZ12" s="41"/>
      <c r="MJA12" s="41"/>
      <c r="MJB12" s="41"/>
      <c r="MJC12" s="41"/>
      <c r="MJD12" s="41"/>
      <c r="MJE12" s="41"/>
      <c r="MJF12" s="41"/>
      <c r="MJG12" s="41"/>
      <c r="MJH12" s="41"/>
      <c r="MJI12" s="41"/>
      <c r="MJJ12" s="41"/>
      <c r="MJK12" s="41"/>
      <c r="MJL12" s="41"/>
      <c r="MJM12" s="41"/>
      <c r="MJN12" s="41"/>
      <c r="MJO12" s="41"/>
      <c r="MJP12" s="41"/>
      <c r="MJQ12" s="41"/>
      <c r="MJR12" s="41"/>
      <c r="MJS12" s="41"/>
      <c r="MJT12" s="41"/>
      <c r="MJU12" s="41"/>
      <c r="MJV12" s="41"/>
      <c r="MJW12" s="41"/>
      <c r="MJX12" s="41"/>
      <c r="MJY12" s="41"/>
      <c r="MJZ12" s="41"/>
      <c r="MKA12" s="41"/>
      <c r="MKB12" s="41"/>
      <c r="MKC12" s="41"/>
      <c r="MKD12" s="41"/>
      <c r="MKE12" s="41"/>
      <c r="MKF12" s="41"/>
      <c r="MKG12" s="41"/>
      <c r="MKH12" s="41"/>
      <c r="MKI12" s="41"/>
      <c r="MKJ12" s="41"/>
      <c r="MKK12" s="41"/>
      <c r="MKL12" s="41"/>
      <c r="MKM12" s="41"/>
      <c r="MKN12" s="41"/>
      <c r="MKO12" s="41"/>
      <c r="MKP12" s="41"/>
      <c r="MKQ12" s="41"/>
      <c r="MKR12" s="41"/>
      <c r="MKS12" s="41"/>
      <c r="MKT12" s="41"/>
      <c r="MKU12" s="41"/>
      <c r="MKV12" s="41"/>
      <c r="MKW12" s="41"/>
      <c r="MKX12" s="41"/>
      <c r="MKY12" s="41"/>
      <c r="MKZ12" s="41"/>
      <c r="MLA12" s="41"/>
      <c r="MLB12" s="41"/>
      <c r="MLC12" s="41"/>
      <c r="MLD12" s="41"/>
      <c r="MLE12" s="41"/>
      <c r="MLF12" s="41"/>
      <c r="MLG12" s="41"/>
      <c r="MLH12" s="41"/>
      <c r="MLI12" s="41"/>
      <c r="MLJ12" s="41"/>
      <c r="MLK12" s="41"/>
      <c r="MLL12" s="41"/>
      <c r="MLM12" s="41"/>
      <c r="MLN12" s="41"/>
      <c r="MLO12" s="41"/>
      <c r="MLP12" s="41"/>
      <c r="MLQ12" s="41"/>
      <c r="MLR12" s="41"/>
      <c r="MLS12" s="41"/>
      <c r="MLT12" s="41"/>
      <c r="MLU12" s="41"/>
      <c r="MLV12" s="41"/>
      <c r="MLW12" s="41"/>
      <c r="MLX12" s="41"/>
      <c r="MLY12" s="41"/>
      <c r="MLZ12" s="41"/>
      <c r="MMA12" s="41"/>
      <c r="MMB12" s="41"/>
      <c r="MMC12" s="41"/>
      <c r="MMD12" s="41"/>
      <c r="MME12" s="41"/>
      <c r="MMF12" s="41"/>
      <c r="MMG12" s="41"/>
      <c r="MMH12" s="41"/>
      <c r="MMI12" s="41"/>
      <c r="MMJ12" s="41"/>
      <c r="MMK12" s="41"/>
      <c r="MML12" s="41"/>
      <c r="MMM12" s="41"/>
      <c r="MMN12" s="41"/>
      <c r="MMO12" s="41"/>
      <c r="MMP12" s="41"/>
      <c r="MMQ12" s="41"/>
      <c r="MMR12" s="41"/>
      <c r="MMS12" s="41"/>
      <c r="MMT12" s="41"/>
      <c r="MMU12" s="41"/>
      <c r="MMV12" s="41"/>
      <c r="MMW12" s="41"/>
      <c r="MMX12" s="41"/>
      <c r="MMY12" s="41"/>
      <c r="MMZ12" s="41"/>
      <c r="MNA12" s="41"/>
      <c r="MNB12" s="41"/>
      <c r="MNC12" s="41"/>
      <c r="MND12" s="41"/>
      <c r="MNE12" s="41"/>
      <c r="MNF12" s="41"/>
      <c r="MNG12" s="41"/>
      <c r="MNH12" s="41"/>
      <c r="MNI12" s="41"/>
      <c r="MNJ12" s="41"/>
      <c r="MNK12" s="41"/>
      <c r="MNL12" s="41"/>
      <c r="MNM12" s="41"/>
      <c r="MNN12" s="41"/>
      <c r="MNO12" s="41"/>
      <c r="MNP12" s="41"/>
      <c r="MNQ12" s="41"/>
      <c r="MNR12" s="41"/>
      <c r="MNS12" s="41"/>
      <c r="MNT12" s="41"/>
      <c r="MNU12" s="41"/>
      <c r="MNV12" s="41"/>
      <c r="MNW12" s="41"/>
      <c r="MNX12" s="41"/>
      <c r="MNY12" s="41"/>
      <c r="MNZ12" s="41"/>
      <c r="MOA12" s="41"/>
      <c r="MOB12" s="41"/>
      <c r="MOC12" s="41"/>
      <c r="MOD12" s="41"/>
      <c r="MOE12" s="41"/>
      <c r="MOF12" s="41"/>
      <c r="MOG12" s="41"/>
      <c r="MOH12" s="41"/>
      <c r="MOI12" s="41"/>
      <c r="MOJ12" s="41"/>
      <c r="MOK12" s="41"/>
      <c r="MOL12" s="41"/>
      <c r="MOM12" s="41"/>
      <c r="MON12" s="41"/>
      <c r="MOO12" s="41"/>
      <c r="MOP12" s="41"/>
      <c r="MOQ12" s="41"/>
      <c r="MOR12" s="41"/>
      <c r="MOS12" s="41"/>
      <c r="MOT12" s="41"/>
      <c r="MOU12" s="41"/>
      <c r="MOV12" s="41"/>
      <c r="MOW12" s="41"/>
      <c r="MOX12" s="41"/>
      <c r="MOY12" s="41"/>
      <c r="MOZ12" s="41"/>
      <c r="MPA12" s="41"/>
      <c r="MPB12" s="41"/>
      <c r="MPC12" s="41"/>
      <c r="MPD12" s="41"/>
      <c r="MPE12" s="41"/>
      <c r="MPF12" s="41"/>
      <c r="MPG12" s="41"/>
      <c r="MPH12" s="41"/>
      <c r="MPI12" s="41"/>
      <c r="MPJ12" s="41"/>
      <c r="MPK12" s="41"/>
      <c r="MPL12" s="41"/>
      <c r="MPM12" s="41"/>
      <c r="MPN12" s="41"/>
      <c r="MPO12" s="41"/>
      <c r="MPP12" s="41"/>
      <c r="MPQ12" s="41"/>
      <c r="MPR12" s="41"/>
      <c r="MPS12" s="41"/>
      <c r="MPT12" s="41"/>
      <c r="MPU12" s="41"/>
      <c r="MPV12" s="41"/>
      <c r="MPW12" s="41"/>
      <c r="MPX12" s="41"/>
      <c r="MPY12" s="41"/>
      <c r="MPZ12" s="41"/>
      <c r="MQA12" s="41"/>
      <c r="MQB12" s="41"/>
      <c r="MQC12" s="41"/>
      <c r="MQD12" s="41"/>
      <c r="MQE12" s="41"/>
      <c r="MQF12" s="41"/>
      <c r="MQG12" s="41"/>
      <c r="MQH12" s="41"/>
      <c r="MQI12" s="41"/>
      <c r="MQJ12" s="41"/>
      <c r="MQK12" s="41"/>
      <c r="MQL12" s="41"/>
      <c r="MQM12" s="41"/>
      <c r="MQN12" s="41"/>
      <c r="MQO12" s="41"/>
      <c r="MQP12" s="41"/>
      <c r="MQQ12" s="41"/>
      <c r="MQR12" s="41"/>
      <c r="MQS12" s="41"/>
      <c r="MQT12" s="41"/>
      <c r="MQU12" s="41"/>
      <c r="MQV12" s="41"/>
      <c r="MQW12" s="41"/>
      <c r="MQX12" s="41"/>
      <c r="MQY12" s="41"/>
      <c r="MQZ12" s="41"/>
      <c r="MRA12" s="41"/>
      <c r="MRB12" s="41"/>
      <c r="MRC12" s="41"/>
      <c r="MRD12" s="41"/>
      <c r="MRE12" s="41"/>
      <c r="MRF12" s="41"/>
      <c r="MRG12" s="41"/>
      <c r="MRH12" s="41"/>
      <c r="MRI12" s="41"/>
      <c r="MRJ12" s="41"/>
      <c r="MRK12" s="41"/>
      <c r="MRL12" s="41"/>
      <c r="MRM12" s="41"/>
      <c r="MRN12" s="41"/>
      <c r="MRO12" s="41"/>
      <c r="MRP12" s="41"/>
      <c r="MRQ12" s="41"/>
      <c r="MRR12" s="41"/>
      <c r="MRS12" s="41"/>
      <c r="MRT12" s="41"/>
      <c r="MRU12" s="41"/>
      <c r="MRV12" s="41"/>
      <c r="MRW12" s="41"/>
      <c r="MRX12" s="41"/>
      <c r="MRY12" s="41"/>
      <c r="MRZ12" s="41"/>
      <c r="MSA12" s="41"/>
      <c r="MSB12" s="41"/>
      <c r="MSC12" s="41"/>
      <c r="MSD12" s="41"/>
      <c r="MSE12" s="41"/>
      <c r="MSF12" s="41"/>
      <c r="MSG12" s="41"/>
      <c r="MSH12" s="41"/>
      <c r="MSI12" s="41"/>
      <c r="MSJ12" s="41"/>
      <c r="MSK12" s="41"/>
      <c r="MSL12" s="41"/>
      <c r="MSM12" s="41"/>
      <c r="MSN12" s="41"/>
      <c r="MSO12" s="41"/>
      <c r="MSP12" s="41"/>
      <c r="MSQ12" s="41"/>
      <c r="MSR12" s="41"/>
      <c r="MSS12" s="41"/>
      <c r="MST12" s="41"/>
      <c r="MSU12" s="41"/>
      <c r="MSV12" s="41"/>
      <c r="MSW12" s="41"/>
      <c r="MSX12" s="41"/>
      <c r="MSY12" s="41"/>
      <c r="MSZ12" s="41"/>
      <c r="MTA12" s="41"/>
      <c r="MTB12" s="41"/>
      <c r="MTC12" s="41"/>
      <c r="MTD12" s="41"/>
      <c r="MTE12" s="41"/>
      <c r="MTF12" s="41"/>
      <c r="MTG12" s="41"/>
      <c r="MTH12" s="41"/>
      <c r="MTI12" s="41"/>
      <c r="MTJ12" s="41"/>
      <c r="MTK12" s="41"/>
      <c r="MTL12" s="41"/>
      <c r="MTM12" s="41"/>
      <c r="MTN12" s="41"/>
      <c r="MTO12" s="41"/>
      <c r="MTP12" s="41"/>
      <c r="MTQ12" s="41"/>
      <c r="MTR12" s="41"/>
      <c r="MTS12" s="41"/>
      <c r="MTT12" s="41"/>
      <c r="MTU12" s="41"/>
      <c r="MTV12" s="41"/>
      <c r="MTW12" s="41"/>
      <c r="MTX12" s="41"/>
      <c r="MTY12" s="41"/>
      <c r="MTZ12" s="41"/>
      <c r="MUA12" s="41"/>
      <c r="MUB12" s="41"/>
      <c r="MUC12" s="41"/>
      <c r="MUD12" s="41"/>
      <c r="MUE12" s="41"/>
      <c r="MUF12" s="41"/>
      <c r="MUG12" s="41"/>
      <c r="MUH12" s="41"/>
      <c r="MUI12" s="41"/>
      <c r="MUJ12" s="41"/>
      <c r="MUK12" s="41"/>
      <c r="MUL12" s="41"/>
      <c r="MUM12" s="41"/>
      <c r="MUN12" s="41"/>
      <c r="MUO12" s="41"/>
      <c r="MUP12" s="41"/>
      <c r="MUQ12" s="41"/>
      <c r="MUR12" s="41"/>
      <c r="MUS12" s="41"/>
      <c r="MUT12" s="41"/>
      <c r="MUU12" s="41"/>
      <c r="MUV12" s="41"/>
      <c r="MUW12" s="41"/>
      <c r="MUX12" s="41"/>
      <c r="MUY12" s="41"/>
      <c r="MUZ12" s="41"/>
      <c r="MVA12" s="41"/>
      <c r="MVB12" s="41"/>
      <c r="MVC12" s="41"/>
      <c r="MVD12" s="41"/>
      <c r="MVE12" s="41"/>
      <c r="MVF12" s="41"/>
      <c r="MVG12" s="41"/>
      <c r="MVH12" s="41"/>
      <c r="MVI12" s="41"/>
      <c r="MVJ12" s="41"/>
      <c r="MVK12" s="41"/>
      <c r="MVL12" s="41"/>
      <c r="MVM12" s="41"/>
      <c r="MVN12" s="41"/>
      <c r="MVO12" s="41"/>
      <c r="MVP12" s="41"/>
      <c r="MVQ12" s="41"/>
      <c r="MVR12" s="41"/>
      <c r="MVS12" s="41"/>
      <c r="MVT12" s="41"/>
      <c r="MVU12" s="41"/>
      <c r="MVV12" s="41"/>
      <c r="MVW12" s="41"/>
      <c r="MVX12" s="41"/>
      <c r="MVY12" s="41"/>
      <c r="MVZ12" s="41"/>
      <c r="MWA12" s="41"/>
      <c r="MWB12" s="41"/>
      <c r="MWC12" s="41"/>
      <c r="MWD12" s="41"/>
      <c r="MWE12" s="41"/>
      <c r="MWF12" s="41"/>
      <c r="MWG12" s="41"/>
      <c r="MWH12" s="41"/>
      <c r="MWI12" s="41"/>
      <c r="MWJ12" s="41"/>
      <c r="MWK12" s="41"/>
      <c r="MWL12" s="41"/>
      <c r="MWM12" s="41"/>
      <c r="MWN12" s="41"/>
      <c r="MWO12" s="41"/>
      <c r="MWP12" s="41"/>
      <c r="MWQ12" s="41"/>
      <c r="MWR12" s="41"/>
      <c r="MWS12" s="41"/>
      <c r="MWT12" s="41"/>
      <c r="MWU12" s="41"/>
      <c r="MWV12" s="41"/>
      <c r="MWW12" s="41"/>
      <c r="MWX12" s="41"/>
      <c r="MWY12" s="41"/>
      <c r="MWZ12" s="41"/>
      <c r="MXA12" s="41"/>
      <c r="MXB12" s="41"/>
      <c r="MXC12" s="41"/>
      <c r="MXD12" s="41"/>
      <c r="MXE12" s="41"/>
      <c r="MXF12" s="41"/>
      <c r="MXG12" s="41"/>
      <c r="MXH12" s="41"/>
      <c r="MXI12" s="41"/>
      <c r="MXJ12" s="41"/>
      <c r="MXK12" s="41"/>
      <c r="MXL12" s="41"/>
      <c r="MXM12" s="41"/>
      <c r="MXN12" s="41"/>
      <c r="MXO12" s="41"/>
      <c r="MXP12" s="41"/>
      <c r="MXQ12" s="41"/>
      <c r="MXR12" s="41"/>
      <c r="MXS12" s="41"/>
      <c r="MXT12" s="41"/>
      <c r="MXU12" s="41"/>
      <c r="MXV12" s="41"/>
      <c r="MXW12" s="41"/>
      <c r="MXX12" s="41"/>
      <c r="MXY12" s="41"/>
      <c r="MXZ12" s="41"/>
      <c r="MYA12" s="41"/>
      <c r="MYB12" s="41"/>
      <c r="MYC12" s="41"/>
      <c r="MYD12" s="41"/>
      <c r="MYE12" s="41"/>
      <c r="MYF12" s="41"/>
      <c r="MYG12" s="41"/>
      <c r="MYH12" s="41"/>
      <c r="MYI12" s="41"/>
      <c r="MYJ12" s="41"/>
      <c r="MYK12" s="41"/>
      <c r="MYL12" s="41"/>
      <c r="MYM12" s="41"/>
      <c r="MYN12" s="41"/>
      <c r="MYO12" s="41"/>
      <c r="MYP12" s="41"/>
      <c r="MYQ12" s="41"/>
      <c r="MYR12" s="41"/>
      <c r="MYS12" s="41"/>
      <c r="MYT12" s="41"/>
      <c r="MYU12" s="41"/>
      <c r="MYV12" s="41"/>
      <c r="MYW12" s="41"/>
      <c r="MYX12" s="41"/>
      <c r="MYY12" s="41"/>
      <c r="MYZ12" s="41"/>
      <c r="MZA12" s="41"/>
      <c r="MZB12" s="41"/>
      <c r="MZC12" s="41"/>
      <c r="MZD12" s="41"/>
      <c r="MZE12" s="41"/>
      <c r="MZF12" s="41"/>
      <c r="MZG12" s="41"/>
      <c r="MZH12" s="41"/>
      <c r="MZI12" s="41"/>
      <c r="MZJ12" s="41"/>
      <c r="MZK12" s="41"/>
      <c r="MZL12" s="41"/>
      <c r="MZM12" s="41"/>
      <c r="MZN12" s="41"/>
      <c r="MZO12" s="41"/>
      <c r="MZP12" s="41"/>
      <c r="MZQ12" s="41"/>
      <c r="MZR12" s="41"/>
      <c r="MZS12" s="41"/>
      <c r="MZT12" s="41"/>
      <c r="MZU12" s="41"/>
      <c r="MZV12" s="41"/>
      <c r="MZW12" s="41"/>
      <c r="MZX12" s="41"/>
      <c r="MZY12" s="41"/>
      <c r="MZZ12" s="41"/>
      <c r="NAA12" s="41"/>
      <c r="NAB12" s="41"/>
      <c r="NAC12" s="41"/>
      <c r="NAD12" s="41"/>
      <c r="NAE12" s="41"/>
      <c r="NAF12" s="41"/>
      <c r="NAG12" s="41"/>
      <c r="NAH12" s="41"/>
      <c r="NAI12" s="41"/>
      <c r="NAJ12" s="41"/>
      <c r="NAK12" s="41"/>
      <c r="NAL12" s="41"/>
      <c r="NAM12" s="41"/>
      <c r="NAN12" s="41"/>
      <c r="NAO12" s="41"/>
      <c r="NAP12" s="41"/>
      <c r="NAQ12" s="41"/>
      <c r="NAR12" s="41"/>
      <c r="NAS12" s="41"/>
      <c r="NAT12" s="41"/>
      <c r="NAU12" s="41"/>
      <c r="NAV12" s="41"/>
      <c r="NAW12" s="41"/>
      <c r="NAX12" s="41"/>
      <c r="NAY12" s="41"/>
      <c r="NAZ12" s="41"/>
      <c r="NBA12" s="41"/>
      <c r="NBB12" s="41"/>
      <c r="NBC12" s="41"/>
      <c r="NBD12" s="41"/>
      <c r="NBE12" s="41"/>
      <c r="NBF12" s="41"/>
      <c r="NBG12" s="41"/>
      <c r="NBH12" s="41"/>
      <c r="NBI12" s="41"/>
      <c r="NBJ12" s="41"/>
      <c r="NBK12" s="41"/>
      <c r="NBL12" s="41"/>
      <c r="NBM12" s="41"/>
      <c r="NBN12" s="41"/>
      <c r="NBO12" s="41"/>
      <c r="NBP12" s="41"/>
      <c r="NBQ12" s="41"/>
      <c r="NBR12" s="41"/>
      <c r="NBS12" s="41"/>
      <c r="NBT12" s="41"/>
      <c r="NBU12" s="41"/>
      <c r="NBV12" s="41"/>
      <c r="NBW12" s="41"/>
      <c r="NBX12" s="41"/>
      <c r="NBY12" s="41"/>
      <c r="NBZ12" s="41"/>
      <c r="NCA12" s="41"/>
      <c r="NCB12" s="41"/>
      <c r="NCC12" s="41"/>
      <c r="NCD12" s="41"/>
      <c r="NCE12" s="41"/>
      <c r="NCF12" s="41"/>
      <c r="NCG12" s="41"/>
      <c r="NCH12" s="41"/>
      <c r="NCI12" s="41"/>
      <c r="NCJ12" s="41"/>
      <c r="NCK12" s="41"/>
      <c r="NCL12" s="41"/>
      <c r="NCM12" s="41"/>
      <c r="NCN12" s="41"/>
      <c r="NCO12" s="41"/>
      <c r="NCP12" s="41"/>
      <c r="NCQ12" s="41"/>
      <c r="NCR12" s="41"/>
      <c r="NCS12" s="41"/>
      <c r="NCT12" s="41"/>
      <c r="NCU12" s="41"/>
      <c r="NCV12" s="41"/>
      <c r="NCW12" s="41"/>
      <c r="NCX12" s="41"/>
      <c r="NCY12" s="41"/>
      <c r="NCZ12" s="41"/>
      <c r="NDA12" s="41"/>
      <c r="NDB12" s="41"/>
      <c r="NDC12" s="41"/>
      <c r="NDD12" s="41"/>
      <c r="NDE12" s="41"/>
      <c r="NDF12" s="41"/>
      <c r="NDG12" s="41"/>
      <c r="NDH12" s="41"/>
      <c r="NDI12" s="41"/>
      <c r="NDJ12" s="41"/>
      <c r="NDK12" s="41"/>
      <c r="NDL12" s="41"/>
      <c r="NDM12" s="41"/>
      <c r="NDN12" s="41"/>
      <c r="NDO12" s="41"/>
      <c r="NDP12" s="41"/>
      <c r="NDQ12" s="41"/>
      <c r="NDR12" s="41"/>
      <c r="NDS12" s="41"/>
      <c r="NDT12" s="41"/>
      <c r="NDU12" s="41"/>
      <c r="NDV12" s="41"/>
      <c r="NDW12" s="41"/>
      <c r="NDX12" s="41"/>
      <c r="NDY12" s="41"/>
      <c r="NDZ12" s="41"/>
      <c r="NEA12" s="41"/>
      <c r="NEB12" s="41"/>
      <c r="NEC12" s="41"/>
      <c r="NED12" s="41"/>
      <c r="NEE12" s="41"/>
      <c r="NEF12" s="41"/>
      <c r="NEG12" s="41"/>
      <c r="NEH12" s="41"/>
      <c r="NEI12" s="41"/>
      <c r="NEJ12" s="41"/>
      <c r="NEK12" s="41"/>
      <c r="NEL12" s="41"/>
      <c r="NEM12" s="41"/>
      <c r="NEN12" s="41"/>
      <c r="NEO12" s="41"/>
      <c r="NEP12" s="41"/>
      <c r="NEQ12" s="41"/>
      <c r="NER12" s="41"/>
      <c r="NES12" s="41"/>
      <c r="NET12" s="41"/>
      <c r="NEU12" s="41"/>
      <c r="NEV12" s="41"/>
      <c r="NEW12" s="41"/>
      <c r="NEX12" s="41"/>
      <c r="NEY12" s="41"/>
      <c r="NEZ12" s="41"/>
      <c r="NFA12" s="41"/>
      <c r="NFB12" s="41"/>
      <c r="NFC12" s="41"/>
      <c r="NFD12" s="41"/>
      <c r="NFE12" s="41"/>
      <c r="NFF12" s="41"/>
      <c r="NFG12" s="41"/>
      <c r="NFH12" s="41"/>
      <c r="NFI12" s="41"/>
      <c r="NFJ12" s="41"/>
      <c r="NFK12" s="41"/>
      <c r="NFL12" s="41"/>
      <c r="NFM12" s="41"/>
      <c r="NFN12" s="41"/>
      <c r="NFO12" s="41"/>
      <c r="NFP12" s="41"/>
      <c r="NFQ12" s="41"/>
      <c r="NFR12" s="41"/>
      <c r="NFS12" s="41"/>
      <c r="NFT12" s="41"/>
      <c r="NFU12" s="41"/>
      <c r="NFV12" s="41"/>
      <c r="NFW12" s="41"/>
      <c r="NFX12" s="41"/>
      <c r="NFY12" s="41"/>
      <c r="NFZ12" s="41"/>
      <c r="NGA12" s="41"/>
      <c r="NGB12" s="41"/>
      <c r="NGC12" s="41"/>
      <c r="NGD12" s="41"/>
      <c r="NGE12" s="41"/>
      <c r="NGF12" s="41"/>
      <c r="NGG12" s="41"/>
      <c r="NGH12" s="41"/>
      <c r="NGI12" s="41"/>
      <c r="NGJ12" s="41"/>
      <c r="NGK12" s="41"/>
      <c r="NGL12" s="41"/>
      <c r="NGM12" s="41"/>
      <c r="NGN12" s="41"/>
      <c r="NGO12" s="41"/>
      <c r="NGP12" s="41"/>
      <c r="NGQ12" s="41"/>
      <c r="NGR12" s="41"/>
      <c r="NGS12" s="41"/>
      <c r="NGT12" s="41"/>
      <c r="NGU12" s="41"/>
      <c r="NGV12" s="41"/>
      <c r="NGW12" s="41"/>
      <c r="NGX12" s="41"/>
      <c r="NGY12" s="41"/>
      <c r="NGZ12" s="41"/>
      <c r="NHA12" s="41"/>
      <c r="NHB12" s="41"/>
      <c r="NHC12" s="41"/>
      <c r="NHD12" s="41"/>
      <c r="NHE12" s="41"/>
      <c r="NHF12" s="41"/>
      <c r="NHG12" s="41"/>
      <c r="NHH12" s="41"/>
      <c r="NHI12" s="41"/>
      <c r="NHJ12" s="41"/>
      <c r="NHK12" s="41"/>
      <c r="NHL12" s="41"/>
      <c r="NHM12" s="41"/>
      <c r="NHN12" s="41"/>
      <c r="NHO12" s="41"/>
      <c r="NHP12" s="41"/>
      <c r="NHQ12" s="41"/>
      <c r="NHR12" s="41"/>
      <c r="NHS12" s="41"/>
      <c r="NHT12" s="41"/>
      <c r="NHU12" s="41"/>
      <c r="NHV12" s="41"/>
      <c r="NHW12" s="41"/>
      <c r="NHX12" s="41"/>
      <c r="NHY12" s="41"/>
      <c r="NHZ12" s="41"/>
      <c r="NIA12" s="41"/>
      <c r="NIB12" s="41"/>
      <c r="NIC12" s="41"/>
      <c r="NID12" s="41"/>
      <c r="NIE12" s="41"/>
      <c r="NIF12" s="41"/>
      <c r="NIG12" s="41"/>
      <c r="NIH12" s="41"/>
      <c r="NII12" s="41"/>
      <c r="NIJ12" s="41"/>
      <c r="NIK12" s="41"/>
      <c r="NIL12" s="41"/>
      <c r="NIM12" s="41"/>
      <c r="NIN12" s="41"/>
      <c r="NIO12" s="41"/>
      <c r="NIP12" s="41"/>
      <c r="NIQ12" s="41"/>
      <c r="NIR12" s="41"/>
      <c r="NIS12" s="41"/>
      <c r="NIT12" s="41"/>
      <c r="NIU12" s="41"/>
      <c r="NIV12" s="41"/>
      <c r="NIW12" s="41"/>
      <c r="NIX12" s="41"/>
      <c r="NIY12" s="41"/>
      <c r="NIZ12" s="41"/>
      <c r="NJA12" s="41"/>
      <c r="NJB12" s="41"/>
      <c r="NJC12" s="41"/>
      <c r="NJD12" s="41"/>
      <c r="NJE12" s="41"/>
      <c r="NJF12" s="41"/>
      <c r="NJG12" s="41"/>
      <c r="NJH12" s="41"/>
      <c r="NJI12" s="41"/>
      <c r="NJJ12" s="41"/>
      <c r="NJK12" s="41"/>
      <c r="NJL12" s="41"/>
      <c r="NJM12" s="41"/>
      <c r="NJN12" s="41"/>
      <c r="NJO12" s="41"/>
      <c r="NJP12" s="41"/>
      <c r="NJQ12" s="41"/>
      <c r="NJR12" s="41"/>
      <c r="NJS12" s="41"/>
      <c r="NJT12" s="41"/>
      <c r="NJU12" s="41"/>
      <c r="NJV12" s="41"/>
      <c r="NJW12" s="41"/>
      <c r="NJX12" s="41"/>
      <c r="NJY12" s="41"/>
      <c r="NJZ12" s="41"/>
      <c r="NKA12" s="41"/>
      <c r="NKB12" s="41"/>
      <c r="NKC12" s="41"/>
      <c r="NKD12" s="41"/>
      <c r="NKE12" s="41"/>
      <c r="NKF12" s="41"/>
      <c r="NKG12" s="41"/>
      <c r="NKH12" s="41"/>
      <c r="NKI12" s="41"/>
      <c r="NKJ12" s="41"/>
      <c r="NKK12" s="41"/>
      <c r="NKL12" s="41"/>
      <c r="NKM12" s="41"/>
      <c r="NKN12" s="41"/>
      <c r="NKO12" s="41"/>
      <c r="NKP12" s="41"/>
      <c r="NKQ12" s="41"/>
      <c r="NKR12" s="41"/>
      <c r="NKS12" s="41"/>
      <c r="NKT12" s="41"/>
      <c r="NKU12" s="41"/>
      <c r="NKV12" s="41"/>
      <c r="NKW12" s="41"/>
      <c r="NKX12" s="41"/>
      <c r="NKY12" s="41"/>
      <c r="NKZ12" s="41"/>
      <c r="NLA12" s="41"/>
      <c r="NLB12" s="41"/>
      <c r="NLC12" s="41"/>
      <c r="NLD12" s="41"/>
      <c r="NLE12" s="41"/>
      <c r="NLF12" s="41"/>
      <c r="NLG12" s="41"/>
      <c r="NLH12" s="41"/>
      <c r="NLI12" s="41"/>
      <c r="NLJ12" s="41"/>
      <c r="NLK12" s="41"/>
      <c r="NLL12" s="41"/>
      <c r="NLM12" s="41"/>
      <c r="NLN12" s="41"/>
      <c r="NLO12" s="41"/>
      <c r="NLP12" s="41"/>
      <c r="NLQ12" s="41"/>
      <c r="NLR12" s="41"/>
      <c r="NLS12" s="41"/>
      <c r="NLT12" s="41"/>
      <c r="NLU12" s="41"/>
      <c r="NLV12" s="41"/>
      <c r="NLW12" s="41"/>
      <c r="NLX12" s="41"/>
      <c r="NLY12" s="41"/>
      <c r="NLZ12" s="41"/>
      <c r="NMA12" s="41"/>
      <c r="NMB12" s="41"/>
      <c r="NMC12" s="41"/>
      <c r="NMD12" s="41"/>
      <c r="NME12" s="41"/>
      <c r="NMF12" s="41"/>
      <c r="NMG12" s="41"/>
      <c r="NMH12" s="41"/>
      <c r="NMI12" s="41"/>
      <c r="NMJ12" s="41"/>
      <c r="NMK12" s="41"/>
      <c r="NML12" s="41"/>
      <c r="NMM12" s="41"/>
      <c r="NMN12" s="41"/>
      <c r="NMO12" s="41"/>
      <c r="NMP12" s="41"/>
      <c r="NMQ12" s="41"/>
      <c r="NMR12" s="41"/>
      <c r="NMS12" s="41"/>
      <c r="NMT12" s="41"/>
      <c r="NMU12" s="41"/>
      <c r="NMV12" s="41"/>
      <c r="NMW12" s="41"/>
      <c r="NMX12" s="41"/>
      <c r="NMY12" s="41"/>
      <c r="NMZ12" s="41"/>
      <c r="NNA12" s="41"/>
      <c r="NNB12" s="41"/>
      <c r="NNC12" s="41"/>
      <c r="NND12" s="41"/>
      <c r="NNE12" s="41"/>
      <c r="NNF12" s="41"/>
      <c r="NNG12" s="41"/>
      <c r="NNH12" s="41"/>
      <c r="NNI12" s="41"/>
      <c r="NNJ12" s="41"/>
      <c r="NNK12" s="41"/>
      <c r="NNL12" s="41"/>
      <c r="NNM12" s="41"/>
      <c r="NNN12" s="41"/>
      <c r="NNO12" s="41"/>
      <c r="NNP12" s="41"/>
      <c r="NNQ12" s="41"/>
      <c r="NNR12" s="41"/>
      <c r="NNS12" s="41"/>
      <c r="NNT12" s="41"/>
      <c r="NNU12" s="41"/>
      <c r="NNV12" s="41"/>
      <c r="NNW12" s="41"/>
      <c r="NNX12" s="41"/>
      <c r="NNY12" s="41"/>
      <c r="NNZ12" s="41"/>
      <c r="NOA12" s="41"/>
      <c r="NOB12" s="41"/>
      <c r="NOC12" s="41"/>
      <c r="NOD12" s="41"/>
      <c r="NOE12" s="41"/>
      <c r="NOF12" s="41"/>
      <c r="NOG12" s="41"/>
      <c r="NOH12" s="41"/>
      <c r="NOI12" s="41"/>
      <c r="NOJ12" s="41"/>
      <c r="NOK12" s="41"/>
      <c r="NOL12" s="41"/>
      <c r="NOM12" s="41"/>
      <c r="NON12" s="41"/>
      <c r="NOO12" s="41"/>
      <c r="NOP12" s="41"/>
      <c r="NOQ12" s="41"/>
      <c r="NOR12" s="41"/>
      <c r="NOS12" s="41"/>
      <c r="NOT12" s="41"/>
      <c r="NOU12" s="41"/>
      <c r="NOV12" s="41"/>
      <c r="NOW12" s="41"/>
      <c r="NOX12" s="41"/>
      <c r="NOY12" s="41"/>
      <c r="NOZ12" s="41"/>
      <c r="NPA12" s="41"/>
      <c r="NPB12" s="41"/>
      <c r="NPC12" s="41"/>
      <c r="NPD12" s="41"/>
      <c r="NPE12" s="41"/>
      <c r="NPF12" s="41"/>
      <c r="NPG12" s="41"/>
      <c r="NPH12" s="41"/>
      <c r="NPI12" s="41"/>
      <c r="NPJ12" s="41"/>
      <c r="NPK12" s="41"/>
      <c r="NPL12" s="41"/>
      <c r="NPM12" s="41"/>
      <c r="NPN12" s="41"/>
      <c r="NPO12" s="41"/>
      <c r="NPP12" s="41"/>
      <c r="NPQ12" s="41"/>
      <c r="NPR12" s="41"/>
      <c r="NPS12" s="41"/>
      <c r="NPT12" s="41"/>
      <c r="NPU12" s="41"/>
      <c r="NPV12" s="41"/>
      <c r="NPW12" s="41"/>
      <c r="NPX12" s="41"/>
      <c r="NPY12" s="41"/>
      <c r="NPZ12" s="41"/>
      <c r="NQA12" s="41"/>
      <c r="NQB12" s="41"/>
      <c r="NQC12" s="41"/>
      <c r="NQD12" s="41"/>
      <c r="NQE12" s="41"/>
      <c r="NQF12" s="41"/>
      <c r="NQG12" s="41"/>
      <c r="NQH12" s="41"/>
      <c r="NQI12" s="41"/>
      <c r="NQJ12" s="41"/>
      <c r="NQK12" s="41"/>
      <c r="NQL12" s="41"/>
      <c r="NQM12" s="41"/>
      <c r="NQN12" s="41"/>
      <c r="NQO12" s="41"/>
      <c r="NQP12" s="41"/>
      <c r="NQQ12" s="41"/>
      <c r="NQR12" s="41"/>
      <c r="NQS12" s="41"/>
      <c r="NQT12" s="41"/>
      <c r="NQU12" s="41"/>
      <c r="NQV12" s="41"/>
      <c r="NQW12" s="41"/>
      <c r="NQX12" s="41"/>
      <c r="NQY12" s="41"/>
      <c r="NQZ12" s="41"/>
      <c r="NRA12" s="41"/>
      <c r="NRB12" s="41"/>
      <c r="NRC12" s="41"/>
      <c r="NRD12" s="41"/>
      <c r="NRE12" s="41"/>
      <c r="NRF12" s="41"/>
      <c r="NRG12" s="41"/>
      <c r="NRH12" s="41"/>
      <c r="NRI12" s="41"/>
      <c r="NRJ12" s="41"/>
      <c r="NRK12" s="41"/>
      <c r="NRL12" s="41"/>
      <c r="NRM12" s="41"/>
      <c r="NRN12" s="41"/>
      <c r="NRO12" s="41"/>
      <c r="NRP12" s="41"/>
      <c r="NRQ12" s="41"/>
      <c r="NRR12" s="41"/>
      <c r="NRS12" s="41"/>
      <c r="NRT12" s="41"/>
      <c r="NRU12" s="41"/>
      <c r="NRV12" s="41"/>
      <c r="NRW12" s="41"/>
      <c r="NRX12" s="41"/>
      <c r="NRY12" s="41"/>
      <c r="NRZ12" s="41"/>
      <c r="NSA12" s="41"/>
      <c r="NSB12" s="41"/>
      <c r="NSC12" s="41"/>
      <c r="NSD12" s="41"/>
      <c r="NSE12" s="41"/>
      <c r="NSF12" s="41"/>
      <c r="NSG12" s="41"/>
      <c r="NSH12" s="41"/>
      <c r="NSI12" s="41"/>
      <c r="NSJ12" s="41"/>
      <c r="NSK12" s="41"/>
      <c r="NSL12" s="41"/>
      <c r="NSM12" s="41"/>
      <c r="NSN12" s="41"/>
      <c r="NSO12" s="41"/>
      <c r="NSP12" s="41"/>
      <c r="NSQ12" s="41"/>
      <c r="NSR12" s="41"/>
      <c r="NSS12" s="41"/>
      <c r="NST12" s="41"/>
      <c r="NSU12" s="41"/>
      <c r="NSV12" s="41"/>
      <c r="NSW12" s="41"/>
      <c r="NSX12" s="41"/>
      <c r="NSY12" s="41"/>
      <c r="NSZ12" s="41"/>
      <c r="NTA12" s="41"/>
      <c r="NTB12" s="41"/>
      <c r="NTC12" s="41"/>
      <c r="NTD12" s="41"/>
      <c r="NTE12" s="41"/>
      <c r="NTF12" s="41"/>
      <c r="NTG12" s="41"/>
      <c r="NTH12" s="41"/>
      <c r="NTI12" s="41"/>
      <c r="NTJ12" s="41"/>
      <c r="NTK12" s="41"/>
      <c r="NTL12" s="41"/>
      <c r="NTM12" s="41"/>
      <c r="NTN12" s="41"/>
      <c r="NTO12" s="41"/>
      <c r="NTP12" s="41"/>
      <c r="NTQ12" s="41"/>
      <c r="NTR12" s="41"/>
      <c r="NTS12" s="41"/>
      <c r="NTT12" s="41"/>
      <c r="NTU12" s="41"/>
      <c r="NTV12" s="41"/>
      <c r="NTW12" s="41"/>
      <c r="NTX12" s="41"/>
      <c r="NTY12" s="41"/>
      <c r="NTZ12" s="41"/>
      <c r="NUA12" s="41"/>
      <c r="NUB12" s="41"/>
      <c r="NUC12" s="41"/>
      <c r="NUD12" s="41"/>
      <c r="NUE12" s="41"/>
      <c r="NUF12" s="41"/>
      <c r="NUG12" s="41"/>
      <c r="NUH12" s="41"/>
      <c r="NUI12" s="41"/>
      <c r="NUJ12" s="41"/>
      <c r="NUK12" s="41"/>
      <c r="NUL12" s="41"/>
      <c r="NUM12" s="41"/>
      <c r="NUN12" s="41"/>
      <c r="NUO12" s="41"/>
      <c r="NUP12" s="41"/>
      <c r="NUQ12" s="41"/>
      <c r="NUR12" s="41"/>
      <c r="NUS12" s="41"/>
      <c r="NUT12" s="41"/>
      <c r="NUU12" s="41"/>
      <c r="NUV12" s="41"/>
      <c r="NUW12" s="41"/>
      <c r="NUX12" s="41"/>
      <c r="NUY12" s="41"/>
      <c r="NUZ12" s="41"/>
      <c r="NVA12" s="41"/>
      <c r="NVB12" s="41"/>
      <c r="NVC12" s="41"/>
      <c r="NVD12" s="41"/>
      <c r="NVE12" s="41"/>
      <c r="NVF12" s="41"/>
      <c r="NVG12" s="41"/>
      <c r="NVH12" s="41"/>
      <c r="NVI12" s="41"/>
      <c r="NVJ12" s="41"/>
      <c r="NVK12" s="41"/>
      <c r="NVL12" s="41"/>
      <c r="NVM12" s="41"/>
      <c r="NVN12" s="41"/>
      <c r="NVO12" s="41"/>
      <c r="NVP12" s="41"/>
      <c r="NVQ12" s="41"/>
      <c r="NVR12" s="41"/>
      <c r="NVS12" s="41"/>
      <c r="NVT12" s="41"/>
      <c r="NVU12" s="41"/>
      <c r="NVV12" s="41"/>
      <c r="NVW12" s="41"/>
      <c r="NVX12" s="41"/>
      <c r="NVY12" s="41"/>
      <c r="NVZ12" s="41"/>
      <c r="NWA12" s="41"/>
      <c r="NWB12" s="41"/>
      <c r="NWC12" s="41"/>
      <c r="NWD12" s="41"/>
      <c r="NWE12" s="41"/>
      <c r="NWF12" s="41"/>
      <c r="NWG12" s="41"/>
      <c r="NWH12" s="41"/>
      <c r="NWI12" s="41"/>
      <c r="NWJ12" s="41"/>
      <c r="NWK12" s="41"/>
      <c r="NWL12" s="41"/>
      <c r="NWM12" s="41"/>
      <c r="NWN12" s="41"/>
      <c r="NWO12" s="41"/>
      <c r="NWP12" s="41"/>
      <c r="NWQ12" s="41"/>
      <c r="NWR12" s="41"/>
      <c r="NWS12" s="41"/>
      <c r="NWT12" s="41"/>
      <c r="NWU12" s="41"/>
      <c r="NWV12" s="41"/>
      <c r="NWW12" s="41"/>
      <c r="NWX12" s="41"/>
      <c r="NWY12" s="41"/>
      <c r="NWZ12" s="41"/>
      <c r="NXA12" s="41"/>
      <c r="NXB12" s="41"/>
      <c r="NXC12" s="41"/>
      <c r="NXD12" s="41"/>
      <c r="NXE12" s="41"/>
      <c r="NXF12" s="41"/>
      <c r="NXG12" s="41"/>
      <c r="NXH12" s="41"/>
      <c r="NXI12" s="41"/>
      <c r="NXJ12" s="41"/>
      <c r="NXK12" s="41"/>
      <c r="NXL12" s="41"/>
      <c r="NXM12" s="41"/>
      <c r="NXN12" s="41"/>
      <c r="NXO12" s="41"/>
      <c r="NXP12" s="41"/>
      <c r="NXQ12" s="41"/>
      <c r="NXR12" s="41"/>
      <c r="NXS12" s="41"/>
      <c r="NXT12" s="41"/>
      <c r="NXU12" s="41"/>
      <c r="NXV12" s="41"/>
      <c r="NXW12" s="41"/>
      <c r="NXX12" s="41"/>
      <c r="NXY12" s="41"/>
      <c r="NXZ12" s="41"/>
      <c r="NYA12" s="41"/>
      <c r="NYB12" s="41"/>
      <c r="NYC12" s="41"/>
      <c r="NYD12" s="41"/>
      <c r="NYE12" s="41"/>
      <c r="NYF12" s="41"/>
      <c r="NYG12" s="41"/>
      <c r="NYH12" s="41"/>
      <c r="NYI12" s="41"/>
      <c r="NYJ12" s="41"/>
      <c r="NYK12" s="41"/>
      <c r="NYL12" s="41"/>
      <c r="NYM12" s="41"/>
      <c r="NYN12" s="41"/>
      <c r="NYO12" s="41"/>
      <c r="NYP12" s="41"/>
      <c r="NYQ12" s="41"/>
      <c r="NYR12" s="41"/>
      <c r="NYS12" s="41"/>
      <c r="NYT12" s="41"/>
      <c r="NYU12" s="41"/>
      <c r="NYV12" s="41"/>
      <c r="NYW12" s="41"/>
      <c r="NYX12" s="41"/>
      <c r="NYY12" s="41"/>
      <c r="NYZ12" s="41"/>
      <c r="NZA12" s="41"/>
      <c r="NZB12" s="41"/>
      <c r="NZC12" s="41"/>
      <c r="NZD12" s="41"/>
      <c r="NZE12" s="41"/>
      <c r="NZF12" s="41"/>
      <c r="NZG12" s="41"/>
      <c r="NZH12" s="41"/>
      <c r="NZI12" s="41"/>
      <c r="NZJ12" s="41"/>
      <c r="NZK12" s="41"/>
      <c r="NZL12" s="41"/>
      <c r="NZM12" s="41"/>
      <c r="NZN12" s="41"/>
      <c r="NZO12" s="41"/>
      <c r="NZP12" s="41"/>
      <c r="NZQ12" s="41"/>
      <c r="NZR12" s="41"/>
      <c r="NZS12" s="41"/>
      <c r="NZT12" s="41"/>
      <c r="NZU12" s="41"/>
      <c r="NZV12" s="41"/>
      <c r="NZW12" s="41"/>
      <c r="NZX12" s="41"/>
      <c r="NZY12" s="41"/>
      <c r="NZZ12" s="41"/>
      <c r="OAA12" s="41"/>
      <c r="OAB12" s="41"/>
      <c r="OAC12" s="41"/>
      <c r="OAD12" s="41"/>
      <c r="OAE12" s="41"/>
      <c r="OAF12" s="41"/>
      <c r="OAG12" s="41"/>
      <c r="OAH12" s="41"/>
      <c r="OAI12" s="41"/>
      <c r="OAJ12" s="41"/>
      <c r="OAK12" s="41"/>
      <c r="OAL12" s="41"/>
      <c r="OAM12" s="41"/>
      <c r="OAN12" s="41"/>
      <c r="OAO12" s="41"/>
      <c r="OAP12" s="41"/>
      <c r="OAQ12" s="41"/>
      <c r="OAR12" s="41"/>
      <c r="OAS12" s="41"/>
      <c r="OAT12" s="41"/>
      <c r="OAU12" s="41"/>
      <c r="OAV12" s="41"/>
      <c r="OAW12" s="41"/>
      <c r="OAX12" s="41"/>
      <c r="OAY12" s="41"/>
      <c r="OAZ12" s="41"/>
      <c r="OBA12" s="41"/>
      <c r="OBB12" s="41"/>
      <c r="OBC12" s="41"/>
      <c r="OBD12" s="41"/>
      <c r="OBE12" s="41"/>
      <c r="OBF12" s="41"/>
      <c r="OBG12" s="41"/>
      <c r="OBH12" s="41"/>
      <c r="OBI12" s="41"/>
      <c r="OBJ12" s="41"/>
      <c r="OBK12" s="41"/>
      <c r="OBL12" s="41"/>
      <c r="OBM12" s="41"/>
      <c r="OBN12" s="41"/>
      <c r="OBO12" s="41"/>
      <c r="OBP12" s="41"/>
      <c r="OBQ12" s="41"/>
      <c r="OBR12" s="41"/>
      <c r="OBS12" s="41"/>
      <c r="OBT12" s="41"/>
      <c r="OBU12" s="41"/>
      <c r="OBV12" s="41"/>
      <c r="OBW12" s="41"/>
      <c r="OBX12" s="41"/>
      <c r="OBY12" s="41"/>
      <c r="OBZ12" s="41"/>
      <c r="OCA12" s="41"/>
      <c r="OCB12" s="41"/>
      <c r="OCC12" s="41"/>
      <c r="OCD12" s="41"/>
      <c r="OCE12" s="41"/>
      <c r="OCF12" s="41"/>
      <c r="OCG12" s="41"/>
      <c r="OCH12" s="41"/>
      <c r="OCI12" s="41"/>
      <c r="OCJ12" s="41"/>
      <c r="OCK12" s="41"/>
      <c r="OCL12" s="41"/>
      <c r="OCM12" s="41"/>
      <c r="OCN12" s="41"/>
      <c r="OCO12" s="41"/>
      <c r="OCP12" s="41"/>
      <c r="OCQ12" s="41"/>
      <c r="OCR12" s="41"/>
      <c r="OCS12" s="41"/>
      <c r="OCT12" s="41"/>
      <c r="OCU12" s="41"/>
      <c r="OCV12" s="41"/>
      <c r="OCW12" s="41"/>
      <c r="OCX12" s="41"/>
      <c r="OCY12" s="41"/>
      <c r="OCZ12" s="41"/>
      <c r="ODA12" s="41"/>
      <c r="ODB12" s="41"/>
      <c r="ODC12" s="41"/>
      <c r="ODD12" s="41"/>
      <c r="ODE12" s="41"/>
      <c r="ODF12" s="41"/>
      <c r="ODG12" s="41"/>
      <c r="ODH12" s="41"/>
      <c r="ODI12" s="41"/>
      <c r="ODJ12" s="41"/>
      <c r="ODK12" s="41"/>
      <c r="ODL12" s="41"/>
      <c r="ODM12" s="41"/>
      <c r="ODN12" s="41"/>
      <c r="ODO12" s="41"/>
      <c r="ODP12" s="41"/>
      <c r="ODQ12" s="41"/>
      <c r="ODR12" s="41"/>
      <c r="ODS12" s="41"/>
      <c r="ODT12" s="41"/>
      <c r="ODU12" s="41"/>
      <c r="ODV12" s="41"/>
      <c r="ODW12" s="41"/>
      <c r="ODX12" s="41"/>
      <c r="ODY12" s="41"/>
      <c r="ODZ12" s="41"/>
      <c r="OEA12" s="41"/>
      <c r="OEB12" s="41"/>
      <c r="OEC12" s="41"/>
      <c r="OED12" s="41"/>
      <c r="OEE12" s="41"/>
      <c r="OEF12" s="41"/>
      <c r="OEG12" s="41"/>
      <c r="OEH12" s="41"/>
      <c r="OEI12" s="41"/>
      <c r="OEJ12" s="41"/>
      <c r="OEK12" s="41"/>
      <c r="OEL12" s="41"/>
      <c r="OEM12" s="41"/>
      <c r="OEN12" s="41"/>
      <c r="OEO12" s="41"/>
      <c r="OEP12" s="41"/>
      <c r="OEQ12" s="41"/>
      <c r="OER12" s="41"/>
      <c r="OES12" s="41"/>
      <c r="OET12" s="41"/>
      <c r="OEU12" s="41"/>
      <c r="OEV12" s="41"/>
      <c r="OEW12" s="41"/>
      <c r="OEX12" s="41"/>
      <c r="OEY12" s="41"/>
      <c r="OEZ12" s="41"/>
      <c r="OFA12" s="41"/>
      <c r="OFB12" s="41"/>
      <c r="OFC12" s="41"/>
      <c r="OFD12" s="41"/>
      <c r="OFE12" s="41"/>
      <c r="OFF12" s="41"/>
      <c r="OFG12" s="41"/>
      <c r="OFH12" s="41"/>
      <c r="OFI12" s="41"/>
      <c r="OFJ12" s="41"/>
      <c r="OFK12" s="41"/>
      <c r="OFL12" s="41"/>
      <c r="OFM12" s="41"/>
      <c r="OFN12" s="41"/>
      <c r="OFO12" s="41"/>
      <c r="OFP12" s="41"/>
      <c r="OFQ12" s="41"/>
      <c r="OFR12" s="41"/>
      <c r="OFS12" s="41"/>
      <c r="OFT12" s="41"/>
      <c r="OFU12" s="41"/>
      <c r="OFV12" s="41"/>
      <c r="OFW12" s="41"/>
      <c r="OFX12" s="41"/>
      <c r="OFY12" s="41"/>
      <c r="OFZ12" s="41"/>
      <c r="OGA12" s="41"/>
      <c r="OGB12" s="41"/>
      <c r="OGC12" s="41"/>
      <c r="OGD12" s="41"/>
      <c r="OGE12" s="41"/>
      <c r="OGF12" s="41"/>
      <c r="OGG12" s="41"/>
      <c r="OGH12" s="41"/>
      <c r="OGI12" s="41"/>
      <c r="OGJ12" s="41"/>
      <c r="OGK12" s="41"/>
      <c r="OGL12" s="41"/>
      <c r="OGM12" s="41"/>
      <c r="OGN12" s="41"/>
      <c r="OGO12" s="41"/>
      <c r="OGP12" s="41"/>
      <c r="OGQ12" s="41"/>
      <c r="OGR12" s="41"/>
      <c r="OGS12" s="41"/>
      <c r="OGT12" s="41"/>
      <c r="OGU12" s="41"/>
      <c r="OGV12" s="41"/>
      <c r="OGW12" s="41"/>
      <c r="OGX12" s="41"/>
      <c r="OGY12" s="41"/>
      <c r="OGZ12" s="41"/>
      <c r="OHA12" s="41"/>
      <c r="OHB12" s="41"/>
      <c r="OHC12" s="41"/>
      <c r="OHD12" s="41"/>
      <c r="OHE12" s="41"/>
      <c r="OHF12" s="41"/>
      <c r="OHG12" s="41"/>
      <c r="OHH12" s="41"/>
      <c r="OHI12" s="41"/>
      <c r="OHJ12" s="41"/>
      <c r="OHK12" s="41"/>
      <c r="OHL12" s="41"/>
      <c r="OHM12" s="41"/>
      <c r="OHN12" s="41"/>
      <c r="OHO12" s="41"/>
      <c r="OHP12" s="41"/>
      <c r="OHQ12" s="41"/>
      <c r="OHR12" s="41"/>
      <c r="OHS12" s="41"/>
      <c r="OHT12" s="41"/>
      <c r="OHU12" s="41"/>
      <c r="OHV12" s="41"/>
      <c r="OHW12" s="41"/>
      <c r="OHX12" s="41"/>
      <c r="OHY12" s="41"/>
      <c r="OHZ12" s="41"/>
      <c r="OIA12" s="41"/>
      <c r="OIB12" s="41"/>
      <c r="OIC12" s="41"/>
      <c r="OID12" s="41"/>
      <c r="OIE12" s="41"/>
      <c r="OIF12" s="41"/>
      <c r="OIG12" s="41"/>
      <c r="OIH12" s="41"/>
      <c r="OII12" s="41"/>
      <c r="OIJ12" s="41"/>
      <c r="OIK12" s="41"/>
      <c r="OIL12" s="41"/>
      <c r="OIM12" s="41"/>
      <c r="OIN12" s="41"/>
      <c r="OIO12" s="41"/>
      <c r="OIP12" s="41"/>
      <c r="OIQ12" s="41"/>
      <c r="OIR12" s="41"/>
      <c r="OIS12" s="41"/>
      <c r="OIT12" s="41"/>
      <c r="OIU12" s="41"/>
      <c r="OIV12" s="41"/>
      <c r="OIW12" s="41"/>
      <c r="OIX12" s="41"/>
      <c r="OIY12" s="41"/>
      <c r="OIZ12" s="41"/>
      <c r="OJA12" s="41"/>
      <c r="OJB12" s="41"/>
      <c r="OJC12" s="41"/>
      <c r="OJD12" s="41"/>
      <c r="OJE12" s="41"/>
      <c r="OJF12" s="41"/>
      <c r="OJG12" s="41"/>
      <c r="OJH12" s="41"/>
      <c r="OJI12" s="41"/>
      <c r="OJJ12" s="41"/>
      <c r="OJK12" s="41"/>
      <c r="OJL12" s="41"/>
      <c r="OJM12" s="41"/>
      <c r="OJN12" s="41"/>
      <c r="OJO12" s="41"/>
      <c r="OJP12" s="41"/>
      <c r="OJQ12" s="41"/>
      <c r="OJR12" s="41"/>
      <c r="OJS12" s="41"/>
      <c r="OJT12" s="41"/>
      <c r="OJU12" s="41"/>
      <c r="OJV12" s="41"/>
      <c r="OJW12" s="41"/>
      <c r="OJX12" s="41"/>
      <c r="OJY12" s="41"/>
      <c r="OJZ12" s="41"/>
      <c r="OKA12" s="41"/>
      <c r="OKB12" s="41"/>
      <c r="OKC12" s="41"/>
      <c r="OKD12" s="41"/>
      <c r="OKE12" s="41"/>
      <c r="OKF12" s="41"/>
      <c r="OKG12" s="41"/>
      <c r="OKH12" s="41"/>
      <c r="OKI12" s="41"/>
      <c r="OKJ12" s="41"/>
      <c r="OKK12" s="41"/>
      <c r="OKL12" s="41"/>
      <c r="OKM12" s="41"/>
      <c r="OKN12" s="41"/>
      <c r="OKO12" s="41"/>
      <c r="OKP12" s="41"/>
      <c r="OKQ12" s="41"/>
      <c r="OKR12" s="41"/>
      <c r="OKS12" s="41"/>
      <c r="OKT12" s="41"/>
      <c r="OKU12" s="41"/>
      <c r="OKV12" s="41"/>
      <c r="OKW12" s="41"/>
      <c r="OKX12" s="41"/>
      <c r="OKY12" s="41"/>
      <c r="OKZ12" s="41"/>
      <c r="OLA12" s="41"/>
      <c r="OLB12" s="41"/>
      <c r="OLC12" s="41"/>
      <c r="OLD12" s="41"/>
      <c r="OLE12" s="41"/>
      <c r="OLF12" s="41"/>
      <c r="OLG12" s="41"/>
      <c r="OLH12" s="41"/>
      <c r="OLI12" s="41"/>
      <c r="OLJ12" s="41"/>
      <c r="OLK12" s="41"/>
      <c r="OLL12" s="41"/>
      <c r="OLM12" s="41"/>
      <c r="OLN12" s="41"/>
      <c r="OLO12" s="41"/>
      <c r="OLP12" s="41"/>
      <c r="OLQ12" s="41"/>
      <c r="OLR12" s="41"/>
      <c r="OLS12" s="41"/>
      <c r="OLT12" s="41"/>
      <c r="OLU12" s="41"/>
      <c r="OLV12" s="41"/>
      <c r="OLW12" s="41"/>
      <c r="OLX12" s="41"/>
      <c r="OLY12" s="41"/>
      <c r="OLZ12" s="41"/>
      <c r="OMA12" s="41"/>
      <c r="OMB12" s="41"/>
      <c r="OMC12" s="41"/>
      <c r="OMD12" s="41"/>
      <c r="OME12" s="41"/>
      <c r="OMF12" s="41"/>
      <c r="OMG12" s="41"/>
      <c r="OMH12" s="41"/>
      <c r="OMI12" s="41"/>
      <c r="OMJ12" s="41"/>
      <c r="OMK12" s="41"/>
      <c r="OML12" s="41"/>
      <c r="OMM12" s="41"/>
      <c r="OMN12" s="41"/>
      <c r="OMO12" s="41"/>
      <c r="OMP12" s="41"/>
      <c r="OMQ12" s="41"/>
      <c r="OMR12" s="41"/>
      <c r="OMS12" s="41"/>
      <c r="OMT12" s="41"/>
      <c r="OMU12" s="41"/>
      <c r="OMV12" s="41"/>
      <c r="OMW12" s="41"/>
      <c r="OMX12" s="41"/>
      <c r="OMY12" s="41"/>
      <c r="OMZ12" s="41"/>
      <c r="ONA12" s="41"/>
      <c r="ONB12" s="41"/>
      <c r="ONC12" s="41"/>
      <c r="OND12" s="41"/>
      <c r="ONE12" s="41"/>
      <c r="ONF12" s="41"/>
      <c r="ONG12" s="41"/>
      <c r="ONH12" s="41"/>
      <c r="ONI12" s="41"/>
      <c r="ONJ12" s="41"/>
      <c r="ONK12" s="41"/>
      <c r="ONL12" s="41"/>
      <c r="ONM12" s="41"/>
      <c r="ONN12" s="41"/>
      <c r="ONO12" s="41"/>
      <c r="ONP12" s="41"/>
      <c r="ONQ12" s="41"/>
      <c r="ONR12" s="41"/>
      <c r="ONS12" s="41"/>
      <c r="ONT12" s="41"/>
      <c r="ONU12" s="41"/>
      <c r="ONV12" s="41"/>
      <c r="ONW12" s="41"/>
      <c r="ONX12" s="41"/>
      <c r="ONY12" s="41"/>
      <c r="ONZ12" s="41"/>
      <c r="OOA12" s="41"/>
      <c r="OOB12" s="41"/>
      <c r="OOC12" s="41"/>
      <c r="OOD12" s="41"/>
      <c r="OOE12" s="41"/>
      <c r="OOF12" s="41"/>
      <c r="OOG12" s="41"/>
      <c r="OOH12" s="41"/>
      <c r="OOI12" s="41"/>
      <c r="OOJ12" s="41"/>
      <c r="OOK12" s="41"/>
      <c r="OOL12" s="41"/>
      <c r="OOM12" s="41"/>
      <c r="OON12" s="41"/>
      <c r="OOO12" s="41"/>
      <c r="OOP12" s="41"/>
      <c r="OOQ12" s="41"/>
      <c r="OOR12" s="41"/>
      <c r="OOS12" s="41"/>
      <c r="OOT12" s="41"/>
      <c r="OOU12" s="41"/>
      <c r="OOV12" s="41"/>
      <c r="OOW12" s="41"/>
      <c r="OOX12" s="41"/>
      <c r="OOY12" s="41"/>
      <c r="OOZ12" s="41"/>
      <c r="OPA12" s="41"/>
      <c r="OPB12" s="41"/>
      <c r="OPC12" s="41"/>
      <c r="OPD12" s="41"/>
      <c r="OPE12" s="41"/>
      <c r="OPF12" s="41"/>
      <c r="OPG12" s="41"/>
      <c r="OPH12" s="41"/>
      <c r="OPI12" s="41"/>
      <c r="OPJ12" s="41"/>
      <c r="OPK12" s="41"/>
      <c r="OPL12" s="41"/>
      <c r="OPM12" s="41"/>
      <c r="OPN12" s="41"/>
      <c r="OPO12" s="41"/>
      <c r="OPP12" s="41"/>
      <c r="OPQ12" s="41"/>
      <c r="OPR12" s="41"/>
      <c r="OPS12" s="41"/>
      <c r="OPT12" s="41"/>
      <c r="OPU12" s="41"/>
      <c r="OPV12" s="41"/>
      <c r="OPW12" s="41"/>
      <c r="OPX12" s="41"/>
      <c r="OPY12" s="41"/>
      <c r="OPZ12" s="41"/>
      <c r="OQA12" s="41"/>
      <c r="OQB12" s="41"/>
      <c r="OQC12" s="41"/>
      <c r="OQD12" s="41"/>
      <c r="OQE12" s="41"/>
      <c r="OQF12" s="41"/>
      <c r="OQG12" s="41"/>
      <c r="OQH12" s="41"/>
      <c r="OQI12" s="41"/>
      <c r="OQJ12" s="41"/>
      <c r="OQK12" s="41"/>
      <c r="OQL12" s="41"/>
      <c r="OQM12" s="41"/>
      <c r="OQN12" s="41"/>
      <c r="OQO12" s="41"/>
      <c r="OQP12" s="41"/>
      <c r="OQQ12" s="41"/>
      <c r="OQR12" s="41"/>
      <c r="OQS12" s="41"/>
      <c r="OQT12" s="41"/>
      <c r="OQU12" s="41"/>
      <c r="OQV12" s="41"/>
      <c r="OQW12" s="41"/>
      <c r="OQX12" s="41"/>
      <c r="OQY12" s="41"/>
      <c r="OQZ12" s="41"/>
      <c r="ORA12" s="41"/>
      <c r="ORB12" s="41"/>
      <c r="ORC12" s="41"/>
      <c r="ORD12" s="41"/>
      <c r="ORE12" s="41"/>
      <c r="ORF12" s="41"/>
      <c r="ORG12" s="41"/>
      <c r="ORH12" s="41"/>
      <c r="ORI12" s="41"/>
      <c r="ORJ12" s="41"/>
      <c r="ORK12" s="41"/>
      <c r="ORL12" s="41"/>
      <c r="ORM12" s="41"/>
      <c r="ORN12" s="41"/>
      <c r="ORO12" s="41"/>
      <c r="ORP12" s="41"/>
      <c r="ORQ12" s="41"/>
      <c r="ORR12" s="41"/>
      <c r="ORS12" s="41"/>
      <c r="ORT12" s="41"/>
      <c r="ORU12" s="41"/>
      <c r="ORV12" s="41"/>
      <c r="ORW12" s="41"/>
      <c r="ORX12" s="41"/>
      <c r="ORY12" s="41"/>
      <c r="ORZ12" s="41"/>
      <c r="OSA12" s="41"/>
      <c r="OSB12" s="41"/>
      <c r="OSC12" s="41"/>
      <c r="OSD12" s="41"/>
      <c r="OSE12" s="41"/>
      <c r="OSF12" s="41"/>
      <c r="OSG12" s="41"/>
      <c r="OSH12" s="41"/>
      <c r="OSI12" s="41"/>
      <c r="OSJ12" s="41"/>
      <c r="OSK12" s="41"/>
      <c r="OSL12" s="41"/>
      <c r="OSM12" s="41"/>
      <c r="OSN12" s="41"/>
      <c r="OSO12" s="41"/>
      <c r="OSP12" s="41"/>
      <c r="OSQ12" s="41"/>
      <c r="OSR12" s="41"/>
      <c r="OSS12" s="41"/>
      <c r="OST12" s="41"/>
      <c r="OSU12" s="41"/>
      <c r="OSV12" s="41"/>
      <c r="OSW12" s="41"/>
      <c r="OSX12" s="41"/>
      <c r="OSY12" s="41"/>
      <c r="OSZ12" s="41"/>
      <c r="OTA12" s="41"/>
      <c r="OTB12" s="41"/>
      <c r="OTC12" s="41"/>
      <c r="OTD12" s="41"/>
      <c r="OTE12" s="41"/>
      <c r="OTF12" s="41"/>
      <c r="OTG12" s="41"/>
      <c r="OTH12" s="41"/>
      <c r="OTI12" s="41"/>
      <c r="OTJ12" s="41"/>
      <c r="OTK12" s="41"/>
      <c r="OTL12" s="41"/>
      <c r="OTM12" s="41"/>
      <c r="OTN12" s="41"/>
      <c r="OTO12" s="41"/>
      <c r="OTP12" s="41"/>
      <c r="OTQ12" s="41"/>
      <c r="OTR12" s="41"/>
      <c r="OTS12" s="41"/>
      <c r="OTT12" s="41"/>
      <c r="OTU12" s="41"/>
      <c r="OTV12" s="41"/>
      <c r="OTW12" s="41"/>
      <c r="OTX12" s="41"/>
      <c r="OTY12" s="41"/>
      <c r="OTZ12" s="41"/>
      <c r="OUA12" s="41"/>
      <c r="OUB12" s="41"/>
      <c r="OUC12" s="41"/>
      <c r="OUD12" s="41"/>
      <c r="OUE12" s="41"/>
      <c r="OUF12" s="41"/>
      <c r="OUG12" s="41"/>
      <c r="OUH12" s="41"/>
      <c r="OUI12" s="41"/>
      <c r="OUJ12" s="41"/>
      <c r="OUK12" s="41"/>
      <c r="OUL12" s="41"/>
      <c r="OUM12" s="41"/>
      <c r="OUN12" s="41"/>
      <c r="OUO12" s="41"/>
      <c r="OUP12" s="41"/>
      <c r="OUQ12" s="41"/>
      <c r="OUR12" s="41"/>
      <c r="OUS12" s="41"/>
      <c r="OUT12" s="41"/>
      <c r="OUU12" s="41"/>
      <c r="OUV12" s="41"/>
      <c r="OUW12" s="41"/>
      <c r="OUX12" s="41"/>
      <c r="OUY12" s="41"/>
      <c r="OUZ12" s="41"/>
      <c r="OVA12" s="41"/>
      <c r="OVB12" s="41"/>
      <c r="OVC12" s="41"/>
      <c r="OVD12" s="41"/>
      <c r="OVE12" s="41"/>
      <c r="OVF12" s="41"/>
      <c r="OVG12" s="41"/>
      <c r="OVH12" s="41"/>
      <c r="OVI12" s="41"/>
      <c r="OVJ12" s="41"/>
      <c r="OVK12" s="41"/>
      <c r="OVL12" s="41"/>
      <c r="OVM12" s="41"/>
      <c r="OVN12" s="41"/>
      <c r="OVO12" s="41"/>
      <c r="OVP12" s="41"/>
      <c r="OVQ12" s="41"/>
      <c r="OVR12" s="41"/>
      <c r="OVS12" s="41"/>
      <c r="OVT12" s="41"/>
      <c r="OVU12" s="41"/>
      <c r="OVV12" s="41"/>
      <c r="OVW12" s="41"/>
      <c r="OVX12" s="41"/>
      <c r="OVY12" s="41"/>
      <c r="OVZ12" s="41"/>
      <c r="OWA12" s="41"/>
      <c r="OWB12" s="41"/>
      <c r="OWC12" s="41"/>
      <c r="OWD12" s="41"/>
      <c r="OWE12" s="41"/>
      <c r="OWF12" s="41"/>
      <c r="OWG12" s="41"/>
      <c r="OWH12" s="41"/>
      <c r="OWI12" s="41"/>
      <c r="OWJ12" s="41"/>
      <c r="OWK12" s="41"/>
      <c r="OWL12" s="41"/>
      <c r="OWM12" s="41"/>
      <c r="OWN12" s="41"/>
      <c r="OWO12" s="41"/>
      <c r="OWP12" s="41"/>
      <c r="OWQ12" s="41"/>
      <c r="OWR12" s="41"/>
      <c r="OWS12" s="41"/>
      <c r="OWT12" s="41"/>
      <c r="OWU12" s="41"/>
      <c r="OWV12" s="41"/>
      <c r="OWW12" s="41"/>
      <c r="OWX12" s="41"/>
      <c r="OWY12" s="41"/>
      <c r="OWZ12" s="41"/>
      <c r="OXA12" s="41"/>
      <c r="OXB12" s="41"/>
      <c r="OXC12" s="41"/>
      <c r="OXD12" s="41"/>
      <c r="OXE12" s="41"/>
      <c r="OXF12" s="41"/>
      <c r="OXG12" s="41"/>
      <c r="OXH12" s="41"/>
      <c r="OXI12" s="41"/>
      <c r="OXJ12" s="41"/>
      <c r="OXK12" s="41"/>
      <c r="OXL12" s="41"/>
      <c r="OXM12" s="41"/>
      <c r="OXN12" s="41"/>
      <c r="OXO12" s="41"/>
      <c r="OXP12" s="41"/>
      <c r="OXQ12" s="41"/>
      <c r="OXR12" s="41"/>
      <c r="OXS12" s="41"/>
      <c r="OXT12" s="41"/>
      <c r="OXU12" s="41"/>
      <c r="OXV12" s="41"/>
      <c r="OXW12" s="41"/>
      <c r="OXX12" s="41"/>
      <c r="OXY12" s="41"/>
      <c r="OXZ12" s="41"/>
      <c r="OYA12" s="41"/>
      <c r="OYB12" s="41"/>
      <c r="OYC12" s="41"/>
      <c r="OYD12" s="41"/>
      <c r="OYE12" s="41"/>
      <c r="OYF12" s="41"/>
      <c r="OYG12" s="41"/>
      <c r="OYH12" s="41"/>
      <c r="OYI12" s="41"/>
      <c r="OYJ12" s="41"/>
      <c r="OYK12" s="41"/>
      <c r="OYL12" s="41"/>
      <c r="OYM12" s="41"/>
      <c r="OYN12" s="41"/>
      <c r="OYO12" s="41"/>
      <c r="OYP12" s="41"/>
      <c r="OYQ12" s="41"/>
      <c r="OYR12" s="41"/>
      <c r="OYS12" s="41"/>
      <c r="OYT12" s="41"/>
      <c r="OYU12" s="41"/>
      <c r="OYV12" s="41"/>
      <c r="OYW12" s="41"/>
      <c r="OYX12" s="41"/>
      <c r="OYY12" s="41"/>
      <c r="OYZ12" s="41"/>
      <c r="OZA12" s="41"/>
      <c r="OZB12" s="41"/>
      <c r="OZC12" s="41"/>
      <c r="OZD12" s="41"/>
      <c r="OZE12" s="41"/>
      <c r="OZF12" s="41"/>
      <c r="OZG12" s="41"/>
      <c r="OZH12" s="41"/>
      <c r="OZI12" s="41"/>
      <c r="OZJ12" s="41"/>
      <c r="OZK12" s="41"/>
      <c r="OZL12" s="41"/>
      <c r="OZM12" s="41"/>
      <c r="OZN12" s="41"/>
      <c r="OZO12" s="41"/>
      <c r="OZP12" s="41"/>
      <c r="OZQ12" s="41"/>
      <c r="OZR12" s="41"/>
      <c r="OZS12" s="41"/>
      <c r="OZT12" s="41"/>
      <c r="OZU12" s="41"/>
      <c r="OZV12" s="41"/>
      <c r="OZW12" s="41"/>
      <c r="OZX12" s="41"/>
      <c r="OZY12" s="41"/>
      <c r="OZZ12" s="41"/>
      <c r="PAA12" s="41"/>
      <c r="PAB12" s="41"/>
      <c r="PAC12" s="41"/>
      <c r="PAD12" s="41"/>
      <c r="PAE12" s="41"/>
      <c r="PAF12" s="41"/>
      <c r="PAG12" s="41"/>
      <c r="PAH12" s="41"/>
      <c r="PAI12" s="41"/>
      <c r="PAJ12" s="41"/>
      <c r="PAK12" s="41"/>
      <c r="PAL12" s="41"/>
      <c r="PAM12" s="41"/>
      <c r="PAN12" s="41"/>
      <c r="PAO12" s="41"/>
      <c r="PAP12" s="41"/>
      <c r="PAQ12" s="41"/>
      <c r="PAR12" s="41"/>
      <c r="PAS12" s="41"/>
      <c r="PAT12" s="41"/>
      <c r="PAU12" s="41"/>
      <c r="PAV12" s="41"/>
      <c r="PAW12" s="41"/>
      <c r="PAX12" s="41"/>
      <c r="PAY12" s="41"/>
      <c r="PAZ12" s="41"/>
      <c r="PBA12" s="41"/>
      <c r="PBB12" s="41"/>
      <c r="PBC12" s="41"/>
      <c r="PBD12" s="41"/>
      <c r="PBE12" s="41"/>
      <c r="PBF12" s="41"/>
      <c r="PBG12" s="41"/>
      <c r="PBH12" s="41"/>
      <c r="PBI12" s="41"/>
      <c r="PBJ12" s="41"/>
      <c r="PBK12" s="41"/>
      <c r="PBL12" s="41"/>
      <c r="PBM12" s="41"/>
      <c r="PBN12" s="41"/>
      <c r="PBO12" s="41"/>
      <c r="PBP12" s="41"/>
      <c r="PBQ12" s="41"/>
      <c r="PBR12" s="41"/>
      <c r="PBS12" s="41"/>
      <c r="PBT12" s="41"/>
      <c r="PBU12" s="41"/>
      <c r="PBV12" s="41"/>
      <c r="PBW12" s="41"/>
      <c r="PBX12" s="41"/>
      <c r="PBY12" s="41"/>
      <c r="PBZ12" s="41"/>
      <c r="PCA12" s="41"/>
      <c r="PCB12" s="41"/>
      <c r="PCC12" s="41"/>
      <c r="PCD12" s="41"/>
      <c r="PCE12" s="41"/>
      <c r="PCF12" s="41"/>
      <c r="PCG12" s="41"/>
      <c r="PCH12" s="41"/>
      <c r="PCI12" s="41"/>
      <c r="PCJ12" s="41"/>
      <c r="PCK12" s="41"/>
      <c r="PCL12" s="41"/>
      <c r="PCM12" s="41"/>
      <c r="PCN12" s="41"/>
      <c r="PCO12" s="41"/>
      <c r="PCP12" s="41"/>
      <c r="PCQ12" s="41"/>
      <c r="PCR12" s="41"/>
      <c r="PCS12" s="41"/>
      <c r="PCT12" s="41"/>
      <c r="PCU12" s="41"/>
      <c r="PCV12" s="41"/>
      <c r="PCW12" s="41"/>
      <c r="PCX12" s="41"/>
      <c r="PCY12" s="41"/>
      <c r="PCZ12" s="41"/>
      <c r="PDA12" s="41"/>
      <c r="PDB12" s="41"/>
      <c r="PDC12" s="41"/>
      <c r="PDD12" s="41"/>
      <c r="PDE12" s="41"/>
      <c r="PDF12" s="41"/>
      <c r="PDG12" s="41"/>
      <c r="PDH12" s="41"/>
      <c r="PDI12" s="41"/>
      <c r="PDJ12" s="41"/>
      <c r="PDK12" s="41"/>
      <c r="PDL12" s="41"/>
      <c r="PDM12" s="41"/>
      <c r="PDN12" s="41"/>
      <c r="PDO12" s="41"/>
      <c r="PDP12" s="41"/>
      <c r="PDQ12" s="41"/>
      <c r="PDR12" s="41"/>
      <c r="PDS12" s="41"/>
      <c r="PDT12" s="41"/>
      <c r="PDU12" s="41"/>
      <c r="PDV12" s="41"/>
      <c r="PDW12" s="41"/>
      <c r="PDX12" s="41"/>
      <c r="PDY12" s="41"/>
      <c r="PDZ12" s="41"/>
      <c r="PEA12" s="41"/>
      <c r="PEB12" s="41"/>
      <c r="PEC12" s="41"/>
      <c r="PED12" s="41"/>
      <c r="PEE12" s="41"/>
      <c r="PEF12" s="41"/>
      <c r="PEG12" s="41"/>
      <c r="PEH12" s="41"/>
      <c r="PEI12" s="41"/>
      <c r="PEJ12" s="41"/>
      <c r="PEK12" s="41"/>
      <c r="PEL12" s="41"/>
      <c r="PEM12" s="41"/>
      <c r="PEN12" s="41"/>
      <c r="PEO12" s="41"/>
      <c r="PEP12" s="41"/>
      <c r="PEQ12" s="41"/>
      <c r="PER12" s="41"/>
      <c r="PES12" s="41"/>
      <c r="PET12" s="41"/>
      <c r="PEU12" s="41"/>
      <c r="PEV12" s="41"/>
      <c r="PEW12" s="41"/>
      <c r="PEX12" s="41"/>
      <c r="PEY12" s="41"/>
      <c r="PEZ12" s="41"/>
      <c r="PFA12" s="41"/>
      <c r="PFB12" s="41"/>
      <c r="PFC12" s="41"/>
      <c r="PFD12" s="41"/>
      <c r="PFE12" s="41"/>
      <c r="PFF12" s="41"/>
      <c r="PFG12" s="41"/>
      <c r="PFH12" s="41"/>
      <c r="PFI12" s="41"/>
      <c r="PFJ12" s="41"/>
      <c r="PFK12" s="41"/>
      <c r="PFL12" s="41"/>
      <c r="PFM12" s="41"/>
      <c r="PFN12" s="41"/>
      <c r="PFO12" s="41"/>
      <c r="PFP12" s="41"/>
      <c r="PFQ12" s="41"/>
      <c r="PFR12" s="41"/>
      <c r="PFS12" s="41"/>
      <c r="PFT12" s="41"/>
      <c r="PFU12" s="41"/>
      <c r="PFV12" s="41"/>
      <c r="PFW12" s="41"/>
      <c r="PFX12" s="41"/>
      <c r="PFY12" s="41"/>
      <c r="PFZ12" s="41"/>
      <c r="PGA12" s="41"/>
      <c r="PGB12" s="41"/>
      <c r="PGC12" s="41"/>
      <c r="PGD12" s="41"/>
      <c r="PGE12" s="41"/>
      <c r="PGF12" s="41"/>
      <c r="PGG12" s="41"/>
      <c r="PGH12" s="41"/>
      <c r="PGI12" s="41"/>
      <c r="PGJ12" s="41"/>
      <c r="PGK12" s="41"/>
      <c r="PGL12" s="41"/>
      <c r="PGM12" s="41"/>
      <c r="PGN12" s="41"/>
      <c r="PGO12" s="41"/>
      <c r="PGP12" s="41"/>
      <c r="PGQ12" s="41"/>
      <c r="PGR12" s="41"/>
      <c r="PGS12" s="41"/>
      <c r="PGT12" s="41"/>
      <c r="PGU12" s="41"/>
      <c r="PGV12" s="41"/>
      <c r="PGW12" s="41"/>
      <c r="PGX12" s="41"/>
      <c r="PGY12" s="41"/>
      <c r="PGZ12" s="41"/>
      <c r="PHA12" s="41"/>
      <c r="PHB12" s="41"/>
      <c r="PHC12" s="41"/>
      <c r="PHD12" s="41"/>
      <c r="PHE12" s="41"/>
      <c r="PHF12" s="41"/>
      <c r="PHG12" s="41"/>
      <c r="PHH12" s="41"/>
      <c r="PHI12" s="41"/>
      <c r="PHJ12" s="41"/>
      <c r="PHK12" s="41"/>
      <c r="PHL12" s="41"/>
      <c r="PHM12" s="41"/>
      <c r="PHN12" s="41"/>
      <c r="PHO12" s="41"/>
      <c r="PHP12" s="41"/>
      <c r="PHQ12" s="41"/>
      <c r="PHR12" s="41"/>
      <c r="PHS12" s="41"/>
      <c r="PHT12" s="41"/>
      <c r="PHU12" s="41"/>
      <c r="PHV12" s="41"/>
      <c r="PHW12" s="41"/>
      <c r="PHX12" s="41"/>
      <c r="PHY12" s="41"/>
      <c r="PHZ12" s="41"/>
      <c r="PIA12" s="41"/>
      <c r="PIB12" s="41"/>
      <c r="PIC12" s="41"/>
      <c r="PID12" s="41"/>
      <c r="PIE12" s="41"/>
      <c r="PIF12" s="41"/>
      <c r="PIG12" s="41"/>
      <c r="PIH12" s="41"/>
      <c r="PII12" s="41"/>
      <c r="PIJ12" s="41"/>
      <c r="PIK12" s="41"/>
      <c r="PIL12" s="41"/>
      <c r="PIM12" s="41"/>
      <c r="PIN12" s="41"/>
      <c r="PIO12" s="41"/>
      <c r="PIP12" s="41"/>
      <c r="PIQ12" s="41"/>
      <c r="PIR12" s="41"/>
      <c r="PIS12" s="41"/>
      <c r="PIT12" s="41"/>
      <c r="PIU12" s="41"/>
      <c r="PIV12" s="41"/>
      <c r="PIW12" s="41"/>
      <c r="PIX12" s="41"/>
      <c r="PIY12" s="41"/>
      <c r="PIZ12" s="41"/>
      <c r="PJA12" s="41"/>
      <c r="PJB12" s="41"/>
      <c r="PJC12" s="41"/>
      <c r="PJD12" s="41"/>
      <c r="PJE12" s="41"/>
      <c r="PJF12" s="41"/>
      <c r="PJG12" s="41"/>
      <c r="PJH12" s="41"/>
      <c r="PJI12" s="41"/>
      <c r="PJJ12" s="41"/>
      <c r="PJK12" s="41"/>
      <c r="PJL12" s="41"/>
      <c r="PJM12" s="41"/>
      <c r="PJN12" s="41"/>
      <c r="PJO12" s="41"/>
      <c r="PJP12" s="41"/>
      <c r="PJQ12" s="41"/>
      <c r="PJR12" s="41"/>
      <c r="PJS12" s="41"/>
      <c r="PJT12" s="41"/>
      <c r="PJU12" s="41"/>
      <c r="PJV12" s="41"/>
      <c r="PJW12" s="41"/>
      <c r="PJX12" s="41"/>
      <c r="PJY12" s="41"/>
      <c r="PJZ12" s="41"/>
      <c r="PKA12" s="41"/>
      <c r="PKB12" s="41"/>
      <c r="PKC12" s="41"/>
      <c r="PKD12" s="41"/>
      <c r="PKE12" s="41"/>
      <c r="PKF12" s="41"/>
      <c r="PKG12" s="41"/>
      <c r="PKH12" s="41"/>
      <c r="PKI12" s="41"/>
      <c r="PKJ12" s="41"/>
      <c r="PKK12" s="41"/>
      <c r="PKL12" s="41"/>
      <c r="PKM12" s="41"/>
      <c r="PKN12" s="41"/>
      <c r="PKO12" s="41"/>
      <c r="PKP12" s="41"/>
      <c r="PKQ12" s="41"/>
      <c r="PKR12" s="41"/>
      <c r="PKS12" s="41"/>
      <c r="PKT12" s="41"/>
      <c r="PKU12" s="41"/>
      <c r="PKV12" s="41"/>
      <c r="PKW12" s="41"/>
      <c r="PKX12" s="41"/>
      <c r="PKY12" s="41"/>
      <c r="PKZ12" s="41"/>
      <c r="PLA12" s="41"/>
      <c r="PLB12" s="41"/>
      <c r="PLC12" s="41"/>
      <c r="PLD12" s="41"/>
      <c r="PLE12" s="41"/>
      <c r="PLF12" s="41"/>
      <c r="PLG12" s="41"/>
      <c r="PLH12" s="41"/>
      <c r="PLI12" s="41"/>
      <c r="PLJ12" s="41"/>
      <c r="PLK12" s="41"/>
      <c r="PLL12" s="41"/>
      <c r="PLM12" s="41"/>
      <c r="PLN12" s="41"/>
      <c r="PLO12" s="41"/>
      <c r="PLP12" s="41"/>
      <c r="PLQ12" s="41"/>
      <c r="PLR12" s="41"/>
      <c r="PLS12" s="41"/>
      <c r="PLT12" s="41"/>
      <c r="PLU12" s="41"/>
      <c r="PLV12" s="41"/>
      <c r="PLW12" s="41"/>
      <c r="PLX12" s="41"/>
      <c r="PLY12" s="41"/>
      <c r="PLZ12" s="41"/>
      <c r="PMA12" s="41"/>
      <c r="PMB12" s="41"/>
      <c r="PMC12" s="41"/>
      <c r="PMD12" s="41"/>
      <c r="PME12" s="41"/>
      <c r="PMF12" s="41"/>
      <c r="PMG12" s="41"/>
      <c r="PMH12" s="41"/>
      <c r="PMI12" s="41"/>
      <c r="PMJ12" s="41"/>
      <c r="PMK12" s="41"/>
      <c r="PML12" s="41"/>
      <c r="PMM12" s="41"/>
      <c r="PMN12" s="41"/>
      <c r="PMO12" s="41"/>
      <c r="PMP12" s="41"/>
      <c r="PMQ12" s="41"/>
      <c r="PMR12" s="41"/>
      <c r="PMS12" s="41"/>
      <c r="PMT12" s="41"/>
      <c r="PMU12" s="41"/>
      <c r="PMV12" s="41"/>
      <c r="PMW12" s="41"/>
      <c r="PMX12" s="41"/>
      <c r="PMY12" s="41"/>
      <c r="PMZ12" s="41"/>
      <c r="PNA12" s="41"/>
      <c r="PNB12" s="41"/>
      <c r="PNC12" s="41"/>
      <c r="PND12" s="41"/>
      <c r="PNE12" s="41"/>
      <c r="PNF12" s="41"/>
      <c r="PNG12" s="41"/>
      <c r="PNH12" s="41"/>
      <c r="PNI12" s="41"/>
      <c r="PNJ12" s="41"/>
      <c r="PNK12" s="41"/>
      <c r="PNL12" s="41"/>
      <c r="PNM12" s="41"/>
      <c r="PNN12" s="41"/>
      <c r="PNO12" s="41"/>
      <c r="PNP12" s="41"/>
      <c r="PNQ12" s="41"/>
      <c r="PNR12" s="41"/>
      <c r="PNS12" s="41"/>
      <c r="PNT12" s="41"/>
      <c r="PNU12" s="41"/>
      <c r="PNV12" s="41"/>
      <c r="PNW12" s="41"/>
      <c r="PNX12" s="41"/>
      <c r="PNY12" s="41"/>
      <c r="PNZ12" s="41"/>
      <c r="POA12" s="41"/>
      <c r="POB12" s="41"/>
      <c r="POC12" s="41"/>
      <c r="POD12" s="41"/>
      <c r="POE12" s="41"/>
      <c r="POF12" s="41"/>
      <c r="POG12" s="41"/>
      <c r="POH12" s="41"/>
      <c r="POI12" s="41"/>
      <c r="POJ12" s="41"/>
      <c r="POK12" s="41"/>
      <c r="POL12" s="41"/>
      <c r="POM12" s="41"/>
      <c r="PON12" s="41"/>
      <c r="POO12" s="41"/>
      <c r="POP12" s="41"/>
      <c r="POQ12" s="41"/>
      <c r="POR12" s="41"/>
      <c r="POS12" s="41"/>
      <c r="POT12" s="41"/>
      <c r="POU12" s="41"/>
      <c r="POV12" s="41"/>
      <c r="POW12" s="41"/>
      <c r="POX12" s="41"/>
      <c r="POY12" s="41"/>
      <c r="POZ12" s="41"/>
      <c r="PPA12" s="41"/>
      <c r="PPB12" s="41"/>
      <c r="PPC12" s="41"/>
      <c r="PPD12" s="41"/>
      <c r="PPE12" s="41"/>
      <c r="PPF12" s="41"/>
      <c r="PPG12" s="41"/>
      <c r="PPH12" s="41"/>
      <c r="PPI12" s="41"/>
      <c r="PPJ12" s="41"/>
      <c r="PPK12" s="41"/>
      <c r="PPL12" s="41"/>
      <c r="PPM12" s="41"/>
      <c r="PPN12" s="41"/>
      <c r="PPO12" s="41"/>
      <c r="PPP12" s="41"/>
      <c r="PPQ12" s="41"/>
      <c r="PPR12" s="41"/>
      <c r="PPS12" s="41"/>
      <c r="PPT12" s="41"/>
      <c r="PPU12" s="41"/>
      <c r="PPV12" s="41"/>
      <c r="PPW12" s="41"/>
      <c r="PPX12" s="41"/>
      <c r="PPY12" s="41"/>
      <c r="PPZ12" s="41"/>
      <c r="PQA12" s="41"/>
      <c r="PQB12" s="41"/>
      <c r="PQC12" s="41"/>
      <c r="PQD12" s="41"/>
      <c r="PQE12" s="41"/>
      <c r="PQF12" s="41"/>
      <c r="PQG12" s="41"/>
      <c r="PQH12" s="41"/>
      <c r="PQI12" s="41"/>
      <c r="PQJ12" s="41"/>
      <c r="PQK12" s="41"/>
      <c r="PQL12" s="41"/>
      <c r="PQM12" s="41"/>
      <c r="PQN12" s="41"/>
      <c r="PQO12" s="41"/>
      <c r="PQP12" s="41"/>
      <c r="PQQ12" s="41"/>
      <c r="PQR12" s="41"/>
      <c r="PQS12" s="41"/>
      <c r="PQT12" s="41"/>
      <c r="PQU12" s="41"/>
      <c r="PQV12" s="41"/>
      <c r="PQW12" s="41"/>
      <c r="PQX12" s="41"/>
      <c r="PQY12" s="41"/>
      <c r="PQZ12" s="41"/>
      <c r="PRA12" s="41"/>
      <c r="PRB12" s="41"/>
      <c r="PRC12" s="41"/>
      <c r="PRD12" s="41"/>
      <c r="PRE12" s="41"/>
      <c r="PRF12" s="41"/>
      <c r="PRG12" s="41"/>
      <c r="PRH12" s="41"/>
      <c r="PRI12" s="41"/>
      <c r="PRJ12" s="41"/>
      <c r="PRK12" s="41"/>
      <c r="PRL12" s="41"/>
      <c r="PRM12" s="41"/>
      <c r="PRN12" s="41"/>
      <c r="PRO12" s="41"/>
      <c r="PRP12" s="41"/>
      <c r="PRQ12" s="41"/>
      <c r="PRR12" s="41"/>
      <c r="PRS12" s="41"/>
      <c r="PRT12" s="41"/>
      <c r="PRU12" s="41"/>
      <c r="PRV12" s="41"/>
      <c r="PRW12" s="41"/>
      <c r="PRX12" s="41"/>
      <c r="PRY12" s="41"/>
      <c r="PRZ12" s="41"/>
      <c r="PSA12" s="41"/>
      <c r="PSB12" s="41"/>
      <c r="PSC12" s="41"/>
      <c r="PSD12" s="41"/>
      <c r="PSE12" s="41"/>
      <c r="PSF12" s="41"/>
      <c r="PSG12" s="41"/>
      <c r="PSH12" s="41"/>
      <c r="PSI12" s="41"/>
      <c r="PSJ12" s="41"/>
      <c r="PSK12" s="41"/>
      <c r="PSL12" s="41"/>
      <c r="PSM12" s="41"/>
      <c r="PSN12" s="41"/>
      <c r="PSO12" s="41"/>
      <c r="PSP12" s="41"/>
      <c r="PSQ12" s="41"/>
      <c r="PSR12" s="41"/>
      <c r="PSS12" s="41"/>
      <c r="PST12" s="41"/>
      <c r="PSU12" s="41"/>
      <c r="PSV12" s="41"/>
      <c r="PSW12" s="41"/>
      <c r="PSX12" s="41"/>
      <c r="PSY12" s="41"/>
      <c r="PSZ12" s="41"/>
      <c r="PTA12" s="41"/>
      <c r="PTB12" s="41"/>
      <c r="PTC12" s="41"/>
      <c r="PTD12" s="41"/>
      <c r="PTE12" s="41"/>
      <c r="PTF12" s="41"/>
      <c r="PTG12" s="41"/>
      <c r="PTH12" s="41"/>
      <c r="PTI12" s="41"/>
      <c r="PTJ12" s="41"/>
      <c r="PTK12" s="41"/>
      <c r="PTL12" s="41"/>
      <c r="PTM12" s="41"/>
      <c r="PTN12" s="41"/>
      <c r="PTO12" s="41"/>
      <c r="PTP12" s="41"/>
      <c r="PTQ12" s="41"/>
      <c r="PTR12" s="41"/>
      <c r="PTS12" s="41"/>
      <c r="PTT12" s="41"/>
      <c r="PTU12" s="41"/>
      <c r="PTV12" s="41"/>
      <c r="PTW12" s="41"/>
      <c r="PTX12" s="41"/>
      <c r="PTY12" s="41"/>
      <c r="PTZ12" s="41"/>
      <c r="PUA12" s="41"/>
      <c r="PUB12" s="41"/>
      <c r="PUC12" s="41"/>
      <c r="PUD12" s="41"/>
      <c r="PUE12" s="41"/>
      <c r="PUF12" s="41"/>
      <c r="PUG12" s="41"/>
      <c r="PUH12" s="41"/>
      <c r="PUI12" s="41"/>
      <c r="PUJ12" s="41"/>
      <c r="PUK12" s="41"/>
      <c r="PUL12" s="41"/>
      <c r="PUM12" s="41"/>
      <c r="PUN12" s="41"/>
      <c r="PUO12" s="41"/>
      <c r="PUP12" s="41"/>
      <c r="PUQ12" s="41"/>
      <c r="PUR12" s="41"/>
      <c r="PUS12" s="41"/>
      <c r="PUT12" s="41"/>
      <c r="PUU12" s="41"/>
      <c r="PUV12" s="41"/>
      <c r="PUW12" s="41"/>
      <c r="PUX12" s="41"/>
      <c r="PUY12" s="41"/>
      <c r="PUZ12" s="41"/>
      <c r="PVA12" s="41"/>
      <c r="PVB12" s="41"/>
      <c r="PVC12" s="41"/>
      <c r="PVD12" s="41"/>
      <c r="PVE12" s="41"/>
      <c r="PVF12" s="41"/>
      <c r="PVG12" s="41"/>
      <c r="PVH12" s="41"/>
      <c r="PVI12" s="41"/>
      <c r="PVJ12" s="41"/>
      <c r="PVK12" s="41"/>
      <c r="PVL12" s="41"/>
      <c r="PVM12" s="41"/>
      <c r="PVN12" s="41"/>
      <c r="PVO12" s="41"/>
      <c r="PVP12" s="41"/>
      <c r="PVQ12" s="41"/>
      <c r="PVR12" s="41"/>
      <c r="PVS12" s="41"/>
      <c r="PVT12" s="41"/>
      <c r="PVU12" s="41"/>
      <c r="PVV12" s="41"/>
      <c r="PVW12" s="41"/>
      <c r="PVX12" s="41"/>
      <c r="PVY12" s="41"/>
      <c r="PVZ12" s="41"/>
      <c r="PWA12" s="41"/>
      <c r="PWB12" s="41"/>
      <c r="PWC12" s="41"/>
      <c r="PWD12" s="41"/>
      <c r="PWE12" s="41"/>
      <c r="PWF12" s="41"/>
      <c r="PWG12" s="41"/>
      <c r="PWH12" s="41"/>
      <c r="PWI12" s="41"/>
      <c r="PWJ12" s="41"/>
      <c r="PWK12" s="41"/>
      <c r="PWL12" s="41"/>
      <c r="PWM12" s="41"/>
      <c r="PWN12" s="41"/>
      <c r="PWO12" s="41"/>
      <c r="PWP12" s="41"/>
      <c r="PWQ12" s="41"/>
      <c r="PWR12" s="41"/>
      <c r="PWS12" s="41"/>
      <c r="PWT12" s="41"/>
      <c r="PWU12" s="41"/>
      <c r="PWV12" s="41"/>
      <c r="PWW12" s="41"/>
      <c r="PWX12" s="41"/>
      <c r="PWY12" s="41"/>
      <c r="PWZ12" s="41"/>
      <c r="PXA12" s="41"/>
      <c r="PXB12" s="41"/>
      <c r="PXC12" s="41"/>
      <c r="PXD12" s="41"/>
      <c r="PXE12" s="41"/>
      <c r="PXF12" s="41"/>
      <c r="PXG12" s="41"/>
      <c r="PXH12" s="41"/>
      <c r="PXI12" s="41"/>
      <c r="PXJ12" s="41"/>
      <c r="PXK12" s="41"/>
      <c r="PXL12" s="41"/>
      <c r="PXM12" s="41"/>
      <c r="PXN12" s="41"/>
      <c r="PXO12" s="41"/>
      <c r="PXP12" s="41"/>
      <c r="PXQ12" s="41"/>
      <c r="PXR12" s="41"/>
      <c r="PXS12" s="41"/>
      <c r="PXT12" s="41"/>
      <c r="PXU12" s="41"/>
      <c r="PXV12" s="41"/>
      <c r="PXW12" s="41"/>
      <c r="PXX12" s="41"/>
      <c r="PXY12" s="41"/>
      <c r="PXZ12" s="41"/>
      <c r="PYA12" s="41"/>
      <c r="PYB12" s="41"/>
      <c r="PYC12" s="41"/>
      <c r="PYD12" s="41"/>
      <c r="PYE12" s="41"/>
      <c r="PYF12" s="41"/>
      <c r="PYG12" s="41"/>
      <c r="PYH12" s="41"/>
      <c r="PYI12" s="41"/>
      <c r="PYJ12" s="41"/>
      <c r="PYK12" s="41"/>
      <c r="PYL12" s="41"/>
      <c r="PYM12" s="41"/>
      <c r="PYN12" s="41"/>
      <c r="PYO12" s="41"/>
      <c r="PYP12" s="41"/>
      <c r="PYQ12" s="41"/>
      <c r="PYR12" s="41"/>
      <c r="PYS12" s="41"/>
      <c r="PYT12" s="41"/>
      <c r="PYU12" s="41"/>
      <c r="PYV12" s="41"/>
      <c r="PYW12" s="41"/>
      <c r="PYX12" s="41"/>
      <c r="PYY12" s="41"/>
      <c r="PYZ12" s="41"/>
      <c r="PZA12" s="41"/>
      <c r="PZB12" s="41"/>
      <c r="PZC12" s="41"/>
      <c r="PZD12" s="41"/>
      <c r="PZE12" s="41"/>
      <c r="PZF12" s="41"/>
      <c r="PZG12" s="41"/>
      <c r="PZH12" s="41"/>
      <c r="PZI12" s="41"/>
      <c r="PZJ12" s="41"/>
      <c r="PZK12" s="41"/>
      <c r="PZL12" s="41"/>
      <c r="PZM12" s="41"/>
      <c r="PZN12" s="41"/>
      <c r="PZO12" s="41"/>
      <c r="PZP12" s="41"/>
      <c r="PZQ12" s="41"/>
      <c r="PZR12" s="41"/>
      <c r="PZS12" s="41"/>
      <c r="PZT12" s="41"/>
      <c r="PZU12" s="41"/>
      <c r="PZV12" s="41"/>
      <c r="PZW12" s="41"/>
      <c r="PZX12" s="41"/>
      <c r="PZY12" s="41"/>
      <c r="PZZ12" s="41"/>
      <c r="QAA12" s="41"/>
      <c r="QAB12" s="41"/>
      <c r="QAC12" s="41"/>
      <c r="QAD12" s="41"/>
      <c r="QAE12" s="41"/>
      <c r="QAF12" s="41"/>
      <c r="QAG12" s="41"/>
      <c r="QAH12" s="41"/>
      <c r="QAI12" s="41"/>
      <c r="QAJ12" s="41"/>
      <c r="QAK12" s="41"/>
      <c r="QAL12" s="41"/>
      <c r="QAM12" s="41"/>
      <c r="QAN12" s="41"/>
      <c r="QAO12" s="41"/>
      <c r="QAP12" s="41"/>
      <c r="QAQ12" s="41"/>
      <c r="QAR12" s="41"/>
      <c r="QAS12" s="41"/>
      <c r="QAT12" s="41"/>
      <c r="QAU12" s="41"/>
      <c r="QAV12" s="41"/>
      <c r="QAW12" s="41"/>
      <c r="QAX12" s="41"/>
      <c r="QAY12" s="41"/>
      <c r="QAZ12" s="41"/>
      <c r="QBA12" s="41"/>
      <c r="QBB12" s="41"/>
      <c r="QBC12" s="41"/>
      <c r="QBD12" s="41"/>
      <c r="QBE12" s="41"/>
      <c r="QBF12" s="41"/>
      <c r="QBG12" s="41"/>
      <c r="QBH12" s="41"/>
      <c r="QBI12" s="41"/>
      <c r="QBJ12" s="41"/>
      <c r="QBK12" s="41"/>
      <c r="QBL12" s="41"/>
      <c r="QBM12" s="41"/>
      <c r="QBN12" s="41"/>
      <c r="QBO12" s="41"/>
      <c r="QBP12" s="41"/>
      <c r="QBQ12" s="41"/>
      <c r="QBR12" s="41"/>
      <c r="QBS12" s="41"/>
      <c r="QBT12" s="41"/>
      <c r="QBU12" s="41"/>
      <c r="QBV12" s="41"/>
      <c r="QBW12" s="41"/>
      <c r="QBX12" s="41"/>
      <c r="QBY12" s="41"/>
      <c r="QBZ12" s="41"/>
      <c r="QCA12" s="41"/>
      <c r="QCB12" s="41"/>
      <c r="QCC12" s="41"/>
      <c r="QCD12" s="41"/>
      <c r="QCE12" s="41"/>
      <c r="QCF12" s="41"/>
      <c r="QCG12" s="41"/>
      <c r="QCH12" s="41"/>
      <c r="QCI12" s="41"/>
      <c r="QCJ12" s="41"/>
      <c r="QCK12" s="41"/>
      <c r="QCL12" s="41"/>
      <c r="QCM12" s="41"/>
      <c r="QCN12" s="41"/>
      <c r="QCO12" s="41"/>
      <c r="QCP12" s="41"/>
      <c r="QCQ12" s="41"/>
      <c r="QCR12" s="41"/>
      <c r="QCS12" s="41"/>
      <c r="QCT12" s="41"/>
      <c r="QCU12" s="41"/>
      <c r="QCV12" s="41"/>
      <c r="QCW12" s="41"/>
      <c r="QCX12" s="41"/>
      <c r="QCY12" s="41"/>
      <c r="QCZ12" s="41"/>
      <c r="QDA12" s="41"/>
      <c r="QDB12" s="41"/>
      <c r="QDC12" s="41"/>
      <c r="QDD12" s="41"/>
      <c r="QDE12" s="41"/>
      <c r="QDF12" s="41"/>
      <c r="QDG12" s="41"/>
      <c r="QDH12" s="41"/>
      <c r="QDI12" s="41"/>
      <c r="QDJ12" s="41"/>
      <c r="QDK12" s="41"/>
      <c r="QDL12" s="41"/>
      <c r="QDM12" s="41"/>
      <c r="QDN12" s="41"/>
      <c r="QDO12" s="41"/>
      <c r="QDP12" s="41"/>
      <c r="QDQ12" s="41"/>
      <c r="QDR12" s="41"/>
      <c r="QDS12" s="41"/>
      <c r="QDT12" s="41"/>
      <c r="QDU12" s="41"/>
      <c r="QDV12" s="41"/>
      <c r="QDW12" s="41"/>
      <c r="QDX12" s="41"/>
      <c r="QDY12" s="41"/>
      <c r="QDZ12" s="41"/>
      <c r="QEA12" s="41"/>
      <c r="QEB12" s="41"/>
      <c r="QEC12" s="41"/>
      <c r="QED12" s="41"/>
      <c r="QEE12" s="41"/>
      <c r="QEF12" s="41"/>
      <c r="QEG12" s="41"/>
      <c r="QEH12" s="41"/>
      <c r="QEI12" s="41"/>
      <c r="QEJ12" s="41"/>
      <c r="QEK12" s="41"/>
      <c r="QEL12" s="41"/>
      <c r="QEM12" s="41"/>
      <c r="QEN12" s="41"/>
      <c r="QEO12" s="41"/>
      <c r="QEP12" s="41"/>
      <c r="QEQ12" s="41"/>
      <c r="QER12" s="41"/>
      <c r="QES12" s="41"/>
      <c r="QET12" s="41"/>
      <c r="QEU12" s="41"/>
      <c r="QEV12" s="41"/>
      <c r="QEW12" s="41"/>
      <c r="QEX12" s="41"/>
      <c r="QEY12" s="41"/>
      <c r="QEZ12" s="41"/>
      <c r="QFA12" s="41"/>
      <c r="QFB12" s="41"/>
      <c r="QFC12" s="41"/>
      <c r="QFD12" s="41"/>
      <c r="QFE12" s="41"/>
      <c r="QFF12" s="41"/>
      <c r="QFG12" s="41"/>
      <c r="QFH12" s="41"/>
      <c r="QFI12" s="41"/>
      <c r="QFJ12" s="41"/>
      <c r="QFK12" s="41"/>
      <c r="QFL12" s="41"/>
      <c r="QFM12" s="41"/>
      <c r="QFN12" s="41"/>
      <c r="QFO12" s="41"/>
      <c r="QFP12" s="41"/>
      <c r="QFQ12" s="41"/>
      <c r="QFR12" s="41"/>
      <c r="QFS12" s="41"/>
      <c r="QFT12" s="41"/>
      <c r="QFU12" s="41"/>
      <c r="QFV12" s="41"/>
      <c r="QFW12" s="41"/>
      <c r="QFX12" s="41"/>
      <c r="QFY12" s="41"/>
      <c r="QFZ12" s="41"/>
      <c r="QGA12" s="41"/>
      <c r="QGB12" s="41"/>
      <c r="QGC12" s="41"/>
      <c r="QGD12" s="41"/>
      <c r="QGE12" s="41"/>
      <c r="QGF12" s="41"/>
      <c r="QGG12" s="41"/>
      <c r="QGH12" s="41"/>
      <c r="QGI12" s="41"/>
      <c r="QGJ12" s="41"/>
      <c r="QGK12" s="41"/>
      <c r="QGL12" s="41"/>
      <c r="QGM12" s="41"/>
      <c r="QGN12" s="41"/>
      <c r="QGO12" s="41"/>
      <c r="QGP12" s="41"/>
      <c r="QGQ12" s="41"/>
      <c r="QGR12" s="41"/>
      <c r="QGS12" s="41"/>
      <c r="QGT12" s="41"/>
      <c r="QGU12" s="41"/>
      <c r="QGV12" s="41"/>
      <c r="QGW12" s="41"/>
      <c r="QGX12" s="41"/>
      <c r="QGY12" s="41"/>
      <c r="QGZ12" s="41"/>
      <c r="QHA12" s="41"/>
      <c r="QHB12" s="41"/>
      <c r="QHC12" s="41"/>
      <c r="QHD12" s="41"/>
      <c r="QHE12" s="41"/>
      <c r="QHF12" s="41"/>
      <c r="QHG12" s="41"/>
      <c r="QHH12" s="41"/>
      <c r="QHI12" s="41"/>
      <c r="QHJ12" s="41"/>
      <c r="QHK12" s="41"/>
      <c r="QHL12" s="41"/>
      <c r="QHM12" s="41"/>
      <c r="QHN12" s="41"/>
      <c r="QHO12" s="41"/>
      <c r="QHP12" s="41"/>
      <c r="QHQ12" s="41"/>
      <c r="QHR12" s="41"/>
      <c r="QHS12" s="41"/>
      <c r="QHT12" s="41"/>
      <c r="QHU12" s="41"/>
      <c r="QHV12" s="41"/>
      <c r="QHW12" s="41"/>
      <c r="QHX12" s="41"/>
      <c r="QHY12" s="41"/>
      <c r="QHZ12" s="41"/>
      <c r="QIA12" s="41"/>
      <c r="QIB12" s="41"/>
      <c r="QIC12" s="41"/>
      <c r="QID12" s="41"/>
      <c r="QIE12" s="41"/>
      <c r="QIF12" s="41"/>
      <c r="QIG12" s="41"/>
      <c r="QIH12" s="41"/>
      <c r="QII12" s="41"/>
      <c r="QIJ12" s="41"/>
      <c r="QIK12" s="41"/>
      <c r="QIL12" s="41"/>
      <c r="QIM12" s="41"/>
      <c r="QIN12" s="41"/>
      <c r="QIO12" s="41"/>
      <c r="QIP12" s="41"/>
      <c r="QIQ12" s="41"/>
      <c r="QIR12" s="41"/>
      <c r="QIS12" s="41"/>
      <c r="QIT12" s="41"/>
      <c r="QIU12" s="41"/>
      <c r="QIV12" s="41"/>
      <c r="QIW12" s="41"/>
      <c r="QIX12" s="41"/>
      <c r="QIY12" s="41"/>
      <c r="QIZ12" s="41"/>
      <c r="QJA12" s="41"/>
      <c r="QJB12" s="41"/>
      <c r="QJC12" s="41"/>
      <c r="QJD12" s="41"/>
      <c r="QJE12" s="41"/>
      <c r="QJF12" s="41"/>
      <c r="QJG12" s="41"/>
      <c r="QJH12" s="41"/>
      <c r="QJI12" s="41"/>
      <c r="QJJ12" s="41"/>
      <c r="QJK12" s="41"/>
      <c r="QJL12" s="41"/>
      <c r="QJM12" s="41"/>
      <c r="QJN12" s="41"/>
      <c r="QJO12" s="41"/>
      <c r="QJP12" s="41"/>
      <c r="QJQ12" s="41"/>
      <c r="QJR12" s="41"/>
      <c r="QJS12" s="41"/>
      <c r="QJT12" s="41"/>
      <c r="QJU12" s="41"/>
      <c r="QJV12" s="41"/>
      <c r="QJW12" s="41"/>
      <c r="QJX12" s="41"/>
      <c r="QJY12" s="41"/>
      <c r="QJZ12" s="41"/>
      <c r="QKA12" s="41"/>
      <c r="QKB12" s="41"/>
      <c r="QKC12" s="41"/>
      <c r="QKD12" s="41"/>
      <c r="QKE12" s="41"/>
      <c r="QKF12" s="41"/>
      <c r="QKG12" s="41"/>
      <c r="QKH12" s="41"/>
      <c r="QKI12" s="41"/>
      <c r="QKJ12" s="41"/>
      <c r="QKK12" s="41"/>
      <c r="QKL12" s="41"/>
      <c r="QKM12" s="41"/>
      <c r="QKN12" s="41"/>
      <c r="QKO12" s="41"/>
      <c r="QKP12" s="41"/>
      <c r="QKQ12" s="41"/>
      <c r="QKR12" s="41"/>
      <c r="QKS12" s="41"/>
      <c r="QKT12" s="41"/>
      <c r="QKU12" s="41"/>
      <c r="QKV12" s="41"/>
      <c r="QKW12" s="41"/>
      <c r="QKX12" s="41"/>
      <c r="QKY12" s="41"/>
      <c r="QKZ12" s="41"/>
      <c r="QLA12" s="41"/>
      <c r="QLB12" s="41"/>
      <c r="QLC12" s="41"/>
      <c r="QLD12" s="41"/>
      <c r="QLE12" s="41"/>
      <c r="QLF12" s="41"/>
      <c r="QLG12" s="41"/>
      <c r="QLH12" s="41"/>
      <c r="QLI12" s="41"/>
      <c r="QLJ12" s="41"/>
      <c r="QLK12" s="41"/>
      <c r="QLL12" s="41"/>
      <c r="QLM12" s="41"/>
      <c r="QLN12" s="41"/>
      <c r="QLO12" s="41"/>
      <c r="QLP12" s="41"/>
      <c r="QLQ12" s="41"/>
      <c r="QLR12" s="41"/>
      <c r="QLS12" s="41"/>
      <c r="QLT12" s="41"/>
      <c r="QLU12" s="41"/>
      <c r="QLV12" s="41"/>
      <c r="QLW12" s="41"/>
      <c r="QLX12" s="41"/>
      <c r="QLY12" s="41"/>
      <c r="QLZ12" s="41"/>
      <c r="QMA12" s="41"/>
      <c r="QMB12" s="41"/>
      <c r="QMC12" s="41"/>
      <c r="QMD12" s="41"/>
      <c r="QME12" s="41"/>
      <c r="QMF12" s="41"/>
      <c r="QMG12" s="41"/>
      <c r="QMH12" s="41"/>
      <c r="QMI12" s="41"/>
      <c r="QMJ12" s="41"/>
      <c r="QMK12" s="41"/>
      <c r="QML12" s="41"/>
      <c r="QMM12" s="41"/>
      <c r="QMN12" s="41"/>
      <c r="QMO12" s="41"/>
      <c r="QMP12" s="41"/>
      <c r="QMQ12" s="41"/>
      <c r="QMR12" s="41"/>
      <c r="QMS12" s="41"/>
      <c r="QMT12" s="41"/>
      <c r="QMU12" s="41"/>
      <c r="QMV12" s="41"/>
      <c r="QMW12" s="41"/>
      <c r="QMX12" s="41"/>
      <c r="QMY12" s="41"/>
      <c r="QMZ12" s="41"/>
      <c r="QNA12" s="41"/>
      <c r="QNB12" s="41"/>
      <c r="QNC12" s="41"/>
      <c r="QND12" s="41"/>
      <c r="QNE12" s="41"/>
      <c r="QNF12" s="41"/>
      <c r="QNG12" s="41"/>
      <c r="QNH12" s="41"/>
      <c r="QNI12" s="41"/>
      <c r="QNJ12" s="41"/>
      <c r="QNK12" s="41"/>
      <c r="QNL12" s="41"/>
      <c r="QNM12" s="41"/>
      <c r="QNN12" s="41"/>
      <c r="QNO12" s="41"/>
      <c r="QNP12" s="41"/>
      <c r="QNQ12" s="41"/>
      <c r="QNR12" s="41"/>
      <c r="QNS12" s="41"/>
      <c r="QNT12" s="41"/>
      <c r="QNU12" s="41"/>
      <c r="QNV12" s="41"/>
      <c r="QNW12" s="41"/>
      <c r="QNX12" s="41"/>
      <c r="QNY12" s="41"/>
      <c r="QNZ12" s="41"/>
      <c r="QOA12" s="41"/>
      <c r="QOB12" s="41"/>
      <c r="QOC12" s="41"/>
      <c r="QOD12" s="41"/>
      <c r="QOE12" s="41"/>
      <c r="QOF12" s="41"/>
      <c r="QOG12" s="41"/>
      <c r="QOH12" s="41"/>
      <c r="QOI12" s="41"/>
      <c r="QOJ12" s="41"/>
      <c r="QOK12" s="41"/>
      <c r="QOL12" s="41"/>
      <c r="QOM12" s="41"/>
      <c r="QON12" s="41"/>
      <c r="QOO12" s="41"/>
      <c r="QOP12" s="41"/>
      <c r="QOQ12" s="41"/>
      <c r="QOR12" s="41"/>
      <c r="QOS12" s="41"/>
      <c r="QOT12" s="41"/>
      <c r="QOU12" s="41"/>
      <c r="QOV12" s="41"/>
      <c r="QOW12" s="41"/>
      <c r="QOX12" s="41"/>
      <c r="QOY12" s="41"/>
      <c r="QOZ12" s="41"/>
      <c r="QPA12" s="41"/>
      <c r="QPB12" s="41"/>
      <c r="QPC12" s="41"/>
      <c r="QPD12" s="41"/>
      <c r="QPE12" s="41"/>
      <c r="QPF12" s="41"/>
      <c r="QPG12" s="41"/>
      <c r="QPH12" s="41"/>
      <c r="QPI12" s="41"/>
      <c r="QPJ12" s="41"/>
      <c r="QPK12" s="41"/>
      <c r="QPL12" s="41"/>
      <c r="QPM12" s="41"/>
      <c r="QPN12" s="41"/>
      <c r="QPO12" s="41"/>
      <c r="QPP12" s="41"/>
      <c r="QPQ12" s="41"/>
      <c r="QPR12" s="41"/>
      <c r="QPS12" s="41"/>
      <c r="QPT12" s="41"/>
      <c r="QPU12" s="41"/>
      <c r="QPV12" s="41"/>
      <c r="QPW12" s="41"/>
      <c r="QPX12" s="41"/>
      <c r="QPY12" s="41"/>
      <c r="QPZ12" s="41"/>
      <c r="QQA12" s="41"/>
      <c r="QQB12" s="41"/>
      <c r="QQC12" s="41"/>
      <c r="QQD12" s="41"/>
      <c r="QQE12" s="41"/>
      <c r="QQF12" s="41"/>
      <c r="QQG12" s="41"/>
      <c r="QQH12" s="41"/>
      <c r="QQI12" s="41"/>
      <c r="QQJ12" s="41"/>
      <c r="QQK12" s="41"/>
      <c r="QQL12" s="41"/>
      <c r="QQM12" s="41"/>
      <c r="QQN12" s="41"/>
      <c r="QQO12" s="41"/>
      <c r="QQP12" s="41"/>
      <c r="QQQ12" s="41"/>
      <c r="QQR12" s="41"/>
      <c r="QQS12" s="41"/>
      <c r="QQT12" s="41"/>
      <c r="QQU12" s="41"/>
      <c r="QQV12" s="41"/>
      <c r="QQW12" s="41"/>
      <c r="QQX12" s="41"/>
      <c r="QQY12" s="41"/>
      <c r="QQZ12" s="41"/>
      <c r="QRA12" s="41"/>
      <c r="QRB12" s="41"/>
      <c r="QRC12" s="41"/>
      <c r="QRD12" s="41"/>
      <c r="QRE12" s="41"/>
      <c r="QRF12" s="41"/>
      <c r="QRG12" s="41"/>
      <c r="QRH12" s="41"/>
      <c r="QRI12" s="41"/>
      <c r="QRJ12" s="41"/>
      <c r="QRK12" s="41"/>
      <c r="QRL12" s="41"/>
      <c r="QRM12" s="41"/>
      <c r="QRN12" s="41"/>
      <c r="QRO12" s="41"/>
      <c r="QRP12" s="41"/>
      <c r="QRQ12" s="41"/>
      <c r="QRR12" s="41"/>
      <c r="QRS12" s="41"/>
      <c r="QRT12" s="41"/>
      <c r="QRU12" s="41"/>
      <c r="QRV12" s="41"/>
      <c r="QRW12" s="41"/>
      <c r="QRX12" s="41"/>
      <c r="QRY12" s="41"/>
      <c r="QRZ12" s="41"/>
      <c r="QSA12" s="41"/>
      <c r="QSB12" s="41"/>
      <c r="QSC12" s="41"/>
      <c r="QSD12" s="41"/>
      <c r="QSE12" s="41"/>
      <c r="QSF12" s="41"/>
      <c r="QSG12" s="41"/>
      <c r="QSH12" s="41"/>
      <c r="QSI12" s="41"/>
      <c r="QSJ12" s="41"/>
      <c r="QSK12" s="41"/>
      <c r="QSL12" s="41"/>
      <c r="QSM12" s="41"/>
      <c r="QSN12" s="41"/>
      <c r="QSO12" s="41"/>
      <c r="QSP12" s="41"/>
      <c r="QSQ12" s="41"/>
      <c r="QSR12" s="41"/>
      <c r="QSS12" s="41"/>
      <c r="QST12" s="41"/>
      <c r="QSU12" s="41"/>
      <c r="QSV12" s="41"/>
      <c r="QSW12" s="41"/>
      <c r="QSX12" s="41"/>
      <c r="QSY12" s="41"/>
      <c r="QSZ12" s="41"/>
      <c r="QTA12" s="41"/>
      <c r="QTB12" s="41"/>
      <c r="QTC12" s="41"/>
      <c r="QTD12" s="41"/>
      <c r="QTE12" s="41"/>
      <c r="QTF12" s="41"/>
      <c r="QTG12" s="41"/>
      <c r="QTH12" s="41"/>
      <c r="QTI12" s="41"/>
      <c r="QTJ12" s="41"/>
      <c r="QTK12" s="41"/>
      <c r="QTL12" s="41"/>
      <c r="QTM12" s="41"/>
      <c r="QTN12" s="41"/>
      <c r="QTO12" s="41"/>
      <c r="QTP12" s="41"/>
      <c r="QTQ12" s="41"/>
      <c r="QTR12" s="41"/>
      <c r="QTS12" s="41"/>
      <c r="QTT12" s="41"/>
      <c r="QTU12" s="41"/>
      <c r="QTV12" s="41"/>
      <c r="QTW12" s="41"/>
      <c r="QTX12" s="41"/>
      <c r="QTY12" s="41"/>
      <c r="QTZ12" s="41"/>
      <c r="QUA12" s="41"/>
      <c r="QUB12" s="41"/>
      <c r="QUC12" s="41"/>
      <c r="QUD12" s="41"/>
      <c r="QUE12" s="41"/>
      <c r="QUF12" s="41"/>
      <c r="QUG12" s="41"/>
      <c r="QUH12" s="41"/>
      <c r="QUI12" s="41"/>
      <c r="QUJ12" s="41"/>
      <c r="QUK12" s="41"/>
      <c r="QUL12" s="41"/>
      <c r="QUM12" s="41"/>
      <c r="QUN12" s="41"/>
      <c r="QUO12" s="41"/>
      <c r="QUP12" s="41"/>
      <c r="QUQ12" s="41"/>
      <c r="QUR12" s="41"/>
      <c r="QUS12" s="41"/>
      <c r="QUT12" s="41"/>
      <c r="QUU12" s="41"/>
      <c r="QUV12" s="41"/>
      <c r="QUW12" s="41"/>
      <c r="QUX12" s="41"/>
      <c r="QUY12" s="41"/>
      <c r="QUZ12" s="41"/>
      <c r="QVA12" s="41"/>
      <c r="QVB12" s="41"/>
      <c r="QVC12" s="41"/>
      <c r="QVD12" s="41"/>
      <c r="QVE12" s="41"/>
      <c r="QVF12" s="41"/>
      <c r="QVG12" s="41"/>
      <c r="QVH12" s="41"/>
      <c r="QVI12" s="41"/>
      <c r="QVJ12" s="41"/>
      <c r="QVK12" s="41"/>
      <c r="QVL12" s="41"/>
      <c r="QVM12" s="41"/>
      <c r="QVN12" s="41"/>
      <c r="QVO12" s="41"/>
      <c r="QVP12" s="41"/>
      <c r="QVQ12" s="41"/>
      <c r="QVR12" s="41"/>
      <c r="QVS12" s="41"/>
      <c r="QVT12" s="41"/>
      <c r="QVU12" s="41"/>
      <c r="QVV12" s="41"/>
      <c r="QVW12" s="41"/>
      <c r="QVX12" s="41"/>
      <c r="QVY12" s="41"/>
      <c r="QVZ12" s="41"/>
      <c r="QWA12" s="41"/>
      <c r="QWB12" s="41"/>
      <c r="QWC12" s="41"/>
      <c r="QWD12" s="41"/>
      <c r="QWE12" s="41"/>
      <c r="QWF12" s="41"/>
      <c r="QWG12" s="41"/>
      <c r="QWH12" s="41"/>
      <c r="QWI12" s="41"/>
      <c r="QWJ12" s="41"/>
      <c r="QWK12" s="41"/>
      <c r="QWL12" s="41"/>
      <c r="QWM12" s="41"/>
      <c r="QWN12" s="41"/>
      <c r="QWO12" s="41"/>
      <c r="QWP12" s="41"/>
      <c r="QWQ12" s="41"/>
      <c r="QWR12" s="41"/>
      <c r="QWS12" s="41"/>
      <c r="QWT12" s="41"/>
      <c r="QWU12" s="41"/>
      <c r="QWV12" s="41"/>
      <c r="QWW12" s="41"/>
      <c r="QWX12" s="41"/>
      <c r="QWY12" s="41"/>
      <c r="QWZ12" s="41"/>
      <c r="QXA12" s="41"/>
      <c r="QXB12" s="41"/>
      <c r="QXC12" s="41"/>
      <c r="QXD12" s="41"/>
      <c r="QXE12" s="41"/>
      <c r="QXF12" s="41"/>
      <c r="QXG12" s="41"/>
      <c r="QXH12" s="41"/>
      <c r="QXI12" s="41"/>
      <c r="QXJ12" s="41"/>
      <c r="QXK12" s="41"/>
      <c r="QXL12" s="41"/>
      <c r="QXM12" s="41"/>
      <c r="QXN12" s="41"/>
      <c r="QXO12" s="41"/>
      <c r="QXP12" s="41"/>
      <c r="QXQ12" s="41"/>
      <c r="QXR12" s="41"/>
      <c r="QXS12" s="41"/>
      <c r="QXT12" s="41"/>
      <c r="QXU12" s="41"/>
      <c r="QXV12" s="41"/>
      <c r="QXW12" s="41"/>
      <c r="QXX12" s="41"/>
      <c r="QXY12" s="41"/>
      <c r="QXZ12" s="41"/>
      <c r="QYA12" s="41"/>
      <c r="QYB12" s="41"/>
      <c r="QYC12" s="41"/>
      <c r="QYD12" s="41"/>
      <c r="QYE12" s="41"/>
      <c r="QYF12" s="41"/>
      <c r="QYG12" s="41"/>
      <c r="QYH12" s="41"/>
      <c r="QYI12" s="41"/>
      <c r="QYJ12" s="41"/>
      <c r="QYK12" s="41"/>
      <c r="QYL12" s="41"/>
      <c r="QYM12" s="41"/>
      <c r="QYN12" s="41"/>
      <c r="QYO12" s="41"/>
      <c r="QYP12" s="41"/>
      <c r="QYQ12" s="41"/>
      <c r="QYR12" s="41"/>
      <c r="QYS12" s="41"/>
      <c r="QYT12" s="41"/>
      <c r="QYU12" s="41"/>
      <c r="QYV12" s="41"/>
      <c r="QYW12" s="41"/>
      <c r="QYX12" s="41"/>
      <c r="QYY12" s="41"/>
      <c r="QYZ12" s="41"/>
      <c r="QZA12" s="41"/>
      <c r="QZB12" s="41"/>
      <c r="QZC12" s="41"/>
      <c r="QZD12" s="41"/>
      <c r="QZE12" s="41"/>
      <c r="QZF12" s="41"/>
      <c r="QZG12" s="41"/>
      <c r="QZH12" s="41"/>
      <c r="QZI12" s="41"/>
      <c r="QZJ12" s="41"/>
      <c r="QZK12" s="41"/>
      <c r="QZL12" s="41"/>
      <c r="QZM12" s="41"/>
      <c r="QZN12" s="41"/>
      <c r="QZO12" s="41"/>
      <c r="QZP12" s="41"/>
      <c r="QZQ12" s="41"/>
      <c r="QZR12" s="41"/>
      <c r="QZS12" s="41"/>
      <c r="QZT12" s="41"/>
      <c r="QZU12" s="41"/>
      <c r="QZV12" s="41"/>
      <c r="QZW12" s="41"/>
      <c r="QZX12" s="41"/>
      <c r="QZY12" s="41"/>
      <c r="QZZ12" s="41"/>
      <c r="RAA12" s="41"/>
      <c r="RAB12" s="41"/>
      <c r="RAC12" s="41"/>
      <c r="RAD12" s="41"/>
      <c r="RAE12" s="41"/>
      <c r="RAF12" s="41"/>
      <c r="RAG12" s="41"/>
      <c r="RAH12" s="41"/>
      <c r="RAI12" s="41"/>
      <c r="RAJ12" s="41"/>
      <c r="RAK12" s="41"/>
      <c r="RAL12" s="41"/>
      <c r="RAM12" s="41"/>
      <c r="RAN12" s="41"/>
      <c r="RAO12" s="41"/>
      <c r="RAP12" s="41"/>
      <c r="RAQ12" s="41"/>
      <c r="RAR12" s="41"/>
      <c r="RAS12" s="41"/>
      <c r="RAT12" s="41"/>
      <c r="RAU12" s="41"/>
      <c r="RAV12" s="41"/>
      <c r="RAW12" s="41"/>
      <c r="RAX12" s="41"/>
      <c r="RAY12" s="41"/>
      <c r="RAZ12" s="41"/>
      <c r="RBA12" s="41"/>
      <c r="RBB12" s="41"/>
      <c r="RBC12" s="41"/>
      <c r="RBD12" s="41"/>
      <c r="RBE12" s="41"/>
      <c r="RBF12" s="41"/>
      <c r="RBG12" s="41"/>
      <c r="RBH12" s="41"/>
      <c r="RBI12" s="41"/>
      <c r="RBJ12" s="41"/>
      <c r="RBK12" s="41"/>
      <c r="RBL12" s="41"/>
      <c r="RBM12" s="41"/>
      <c r="RBN12" s="41"/>
      <c r="RBO12" s="41"/>
      <c r="RBP12" s="41"/>
      <c r="RBQ12" s="41"/>
      <c r="RBR12" s="41"/>
      <c r="RBS12" s="41"/>
      <c r="RBT12" s="41"/>
      <c r="RBU12" s="41"/>
      <c r="RBV12" s="41"/>
      <c r="RBW12" s="41"/>
      <c r="RBX12" s="41"/>
      <c r="RBY12" s="41"/>
      <c r="RBZ12" s="41"/>
      <c r="RCA12" s="41"/>
      <c r="RCB12" s="41"/>
      <c r="RCC12" s="41"/>
      <c r="RCD12" s="41"/>
      <c r="RCE12" s="41"/>
      <c r="RCF12" s="41"/>
      <c r="RCG12" s="41"/>
      <c r="RCH12" s="41"/>
      <c r="RCI12" s="41"/>
      <c r="RCJ12" s="41"/>
      <c r="RCK12" s="41"/>
      <c r="RCL12" s="41"/>
      <c r="RCM12" s="41"/>
      <c r="RCN12" s="41"/>
      <c r="RCO12" s="41"/>
      <c r="RCP12" s="41"/>
      <c r="RCQ12" s="41"/>
      <c r="RCR12" s="41"/>
      <c r="RCS12" s="41"/>
      <c r="RCT12" s="41"/>
      <c r="RCU12" s="41"/>
      <c r="RCV12" s="41"/>
      <c r="RCW12" s="41"/>
      <c r="RCX12" s="41"/>
      <c r="RCY12" s="41"/>
      <c r="RCZ12" s="41"/>
      <c r="RDA12" s="41"/>
      <c r="RDB12" s="41"/>
      <c r="RDC12" s="41"/>
      <c r="RDD12" s="41"/>
      <c r="RDE12" s="41"/>
      <c r="RDF12" s="41"/>
      <c r="RDG12" s="41"/>
      <c r="RDH12" s="41"/>
      <c r="RDI12" s="41"/>
      <c r="RDJ12" s="41"/>
      <c r="RDK12" s="41"/>
      <c r="RDL12" s="41"/>
      <c r="RDM12" s="41"/>
      <c r="RDN12" s="41"/>
      <c r="RDO12" s="41"/>
      <c r="RDP12" s="41"/>
      <c r="RDQ12" s="41"/>
      <c r="RDR12" s="41"/>
      <c r="RDS12" s="41"/>
      <c r="RDT12" s="41"/>
      <c r="RDU12" s="41"/>
      <c r="RDV12" s="41"/>
      <c r="RDW12" s="41"/>
      <c r="RDX12" s="41"/>
      <c r="RDY12" s="41"/>
      <c r="RDZ12" s="41"/>
      <c r="REA12" s="41"/>
      <c r="REB12" s="41"/>
      <c r="REC12" s="41"/>
      <c r="RED12" s="41"/>
      <c r="REE12" s="41"/>
      <c r="REF12" s="41"/>
      <c r="REG12" s="41"/>
      <c r="REH12" s="41"/>
      <c r="REI12" s="41"/>
      <c r="REJ12" s="41"/>
      <c r="REK12" s="41"/>
      <c r="REL12" s="41"/>
      <c r="REM12" s="41"/>
      <c r="REN12" s="41"/>
      <c r="REO12" s="41"/>
      <c r="REP12" s="41"/>
      <c r="REQ12" s="41"/>
      <c r="RER12" s="41"/>
      <c r="RES12" s="41"/>
      <c r="RET12" s="41"/>
      <c r="REU12" s="41"/>
      <c r="REV12" s="41"/>
      <c r="REW12" s="41"/>
      <c r="REX12" s="41"/>
      <c r="REY12" s="41"/>
      <c r="REZ12" s="41"/>
      <c r="RFA12" s="41"/>
      <c r="RFB12" s="41"/>
      <c r="RFC12" s="41"/>
      <c r="RFD12" s="41"/>
      <c r="RFE12" s="41"/>
      <c r="RFF12" s="41"/>
      <c r="RFG12" s="41"/>
      <c r="RFH12" s="41"/>
      <c r="RFI12" s="41"/>
      <c r="RFJ12" s="41"/>
      <c r="RFK12" s="41"/>
      <c r="RFL12" s="41"/>
      <c r="RFM12" s="41"/>
      <c r="RFN12" s="41"/>
      <c r="RFO12" s="41"/>
      <c r="RFP12" s="41"/>
      <c r="RFQ12" s="41"/>
      <c r="RFR12" s="41"/>
      <c r="RFS12" s="41"/>
      <c r="RFT12" s="41"/>
      <c r="RFU12" s="41"/>
      <c r="RFV12" s="41"/>
      <c r="RFW12" s="41"/>
      <c r="RFX12" s="41"/>
      <c r="RFY12" s="41"/>
      <c r="RFZ12" s="41"/>
      <c r="RGA12" s="41"/>
      <c r="RGB12" s="41"/>
      <c r="RGC12" s="41"/>
      <c r="RGD12" s="41"/>
      <c r="RGE12" s="41"/>
      <c r="RGF12" s="41"/>
      <c r="RGG12" s="41"/>
      <c r="RGH12" s="41"/>
      <c r="RGI12" s="41"/>
      <c r="RGJ12" s="41"/>
      <c r="RGK12" s="41"/>
      <c r="RGL12" s="41"/>
      <c r="RGM12" s="41"/>
      <c r="RGN12" s="41"/>
      <c r="RGO12" s="41"/>
      <c r="RGP12" s="41"/>
      <c r="RGQ12" s="41"/>
      <c r="RGR12" s="41"/>
      <c r="RGS12" s="41"/>
      <c r="RGT12" s="41"/>
      <c r="RGU12" s="41"/>
      <c r="RGV12" s="41"/>
      <c r="RGW12" s="41"/>
      <c r="RGX12" s="41"/>
      <c r="RGY12" s="41"/>
      <c r="RGZ12" s="41"/>
      <c r="RHA12" s="41"/>
      <c r="RHB12" s="41"/>
      <c r="RHC12" s="41"/>
      <c r="RHD12" s="41"/>
      <c r="RHE12" s="41"/>
      <c r="RHF12" s="41"/>
      <c r="RHG12" s="41"/>
      <c r="RHH12" s="41"/>
      <c r="RHI12" s="41"/>
      <c r="RHJ12" s="41"/>
      <c r="RHK12" s="41"/>
      <c r="RHL12" s="41"/>
      <c r="RHM12" s="41"/>
      <c r="RHN12" s="41"/>
      <c r="RHO12" s="41"/>
      <c r="RHP12" s="41"/>
      <c r="RHQ12" s="41"/>
      <c r="RHR12" s="41"/>
      <c r="RHS12" s="41"/>
      <c r="RHT12" s="41"/>
      <c r="RHU12" s="41"/>
      <c r="RHV12" s="41"/>
      <c r="RHW12" s="41"/>
      <c r="RHX12" s="41"/>
      <c r="RHY12" s="41"/>
      <c r="RHZ12" s="41"/>
      <c r="RIA12" s="41"/>
      <c r="RIB12" s="41"/>
      <c r="RIC12" s="41"/>
      <c r="RID12" s="41"/>
      <c r="RIE12" s="41"/>
      <c r="RIF12" s="41"/>
      <c r="RIG12" s="41"/>
      <c r="RIH12" s="41"/>
      <c r="RII12" s="41"/>
      <c r="RIJ12" s="41"/>
      <c r="RIK12" s="41"/>
      <c r="RIL12" s="41"/>
      <c r="RIM12" s="41"/>
      <c r="RIN12" s="41"/>
      <c r="RIO12" s="41"/>
      <c r="RIP12" s="41"/>
      <c r="RIQ12" s="41"/>
      <c r="RIR12" s="41"/>
      <c r="RIS12" s="41"/>
      <c r="RIT12" s="41"/>
      <c r="RIU12" s="41"/>
      <c r="RIV12" s="41"/>
      <c r="RIW12" s="41"/>
      <c r="RIX12" s="41"/>
      <c r="RIY12" s="41"/>
      <c r="RIZ12" s="41"/>
      <c r="RJA12" s="41"/>
      <c r="RJB12" s="41"/>
      <c r="RJC12" s="41"/>
      <c r="RJD12" s="41"/>
      <c r="RJE12" s="41"/>
      <c r="RJF12" s="41"/>
      <c r="RJG12" s="41"/>
      <c r="RJH12" s="41"/>
      <c r="RJI12" s="41"/>
      <c r="RJJ12" s="41"/>
      <c r="RJK12" s="41"/>
      <c r="RJL12" s="41"/>
      <c r="RJM12" s="41"/>
      <c r="RJN12" s="41"/>
      <c r="RJO12" s="41"/>
      <c r="RJP12" s="41"/>
      <c r="RJQ12" s="41"/>
      <c r="RJR12" s="41"/>
      <c r="RJS12" s="41"/>
      <c r="RJT12" s="41"/>
      <c r="RJU12" s="41"/>
      <c r="RJV12" s="41"/>
      <c r="RJW12" s="41"/>
      <c r="RJX12" s="41"/>
      <c r="RJY12" s="41"/>
      <c r="RJZ12" s="41"/>
      <c r="RKA12" s="41"/>
      <c r="RKB12" s="41"/>
      <c r="RKC12" s="41"/>
      <c r="RKD12" s="41"/>
      <c r="RKE12" s="41"/>
      <c r="RKF12" s="41"/>
      <c r="RKG12" s="41"/>
      <c r="RKH12" s="41"/>
      <c r="RKI12" s="41"/>
      <c r="RKJ12" s="41"/>
      <c r="RKK12" s="41"/>
      <c r="RKL12" s="41"/>
      <c r="RKM12" s="41"/>
      <c r="RKN12" s="41"/>
      <c r="RKO12" s="41"/>
      <c r="RKP12" s="41"/>
      <c r="RKQ12" s="41"/>
      <c r="RKR12" s="41"/>
      <c r="RKS12" s="41"/>
      <c r="RKT12" s="41"/>
      <c r="RKU12" s="41"/>
      <c r="RKV12" s="41"/>
      <c r="RKW12" s="41"/>
      <c r="RKX12" s="41"/>
      <c r="RKY12" s="41"/>
      <c r="RKZ12" s="41"/>
      <c r="RLA12" s="41"/>
      <c r="RLB12" s="41"/>
      <c r="RLC12" s="41"/>
      <c r="RLD12" s="41"/>
      <c r="RLE12" s="41"/>
      <c r="RLF12" s="41"/>
      <c r="RLG12" s="41"/>
      <c r="RLH12" s="41"/>
      <c r="RLI12" s="41"/>
      <c r="RLJ12" s="41"/>
      <c r="RLK12" s="41"/>
      <c r="RLL12" s="41"/>
      <c r="RLM12" s="41"/>
      <c r="RLN12" s="41"/>
      <c r="RLO12" s="41"/>
      <c r="RLP12" s="41"/>
      <c r="RLQ12" s="41"/>
      <c r="RLR12" s="41"/>
      <c r="RLS12" s="41"/>
      <c r="RLT12" s="41"/>
      <c r="RLU12" s="41"/>
      <c r="RLV12" s="41"/>
      <c r="RLW12" s="41"/>
      <c r="RLX12" s="41"/>
      <c r="RLY12" s="41"/>
      <c r="RLZ12" s="41"/>
      <c r="RMA12" s="41"/>
      <c r="RMB12" s="41"/>
      <c r="RMC12" s="41"/>
      <c r="RMD12" s="41"/>
      <c r="RME12" s="41"/>
      <c r="RMF12" s="41"/>
      <c r="RMG12" s="41"/>
      <c r="RMH12" s="41"/>
      <c r="RMI12" s="41"/>
      <c r="RMJ12" s="41"/>
      <c r="RMK12" s="41"/>
      <c r="RML12" s="41"/>
      <c r="RMM12" s="41"/>
      <c r="RMN12" s="41"/>
      <c r="RMO12" s="41"/>
      <c r="RMP12" s="41"/>
      <c r="RMQ12" s="41"/>
      <c r="RMR12" s="41"/>
      <c r="RMS12" s="41"/>
      <c r="RMT12" s="41"/>
      <c r="RMU12" s="41"/>
      <c r="RMV12" s="41"/>
      <c r="RMW12" s="41"/>
      <c r="RMX12" s="41"/>
      <c r="RMY12" s="41"/>
      <c r="RMZ12" s="41"/>
      <c r="RNA12" s="41"/>
      <c r="RNB12" s="41"/>
      <c r="RNC12" s="41"/>
      <c r="RND12" s="41"/>
      <c r="RNE12" s="41"/>
      <c r="RNF12" s="41"/>
      <c r="RNG12" s="41"/>
      <c r="RNH12" s="41"/>
      <c r="RNI12" s="41"/>
      <c r="RNJ12" s="41"/>
      <c r="RNK12" s="41"/>
      <c r="RNL12" s="41"/>
      <c r="RNM12" s="41"/>
      <c r="RNN12" s="41"/>
      <c r="RNO12" s="41"/>
      <c r="RNP12" s="41"/>
      <c r="RNQ12" s="41"/>
      <c r="RNR12" s="41"/>
      <c r="RNS12" s="41"/>
      <c r="RNT12" s="41"/>
      <c r="RNU12" s="41"/>
      <c r="RNV12" s="41"/>
      <c r="RNW12" s="41"/>
      <c r="RNX12" s="41"/>
      <c r="RNY12" s="41"/>
      <c r="RNZ12" s="41"/>
      <c r="ROA12" s="41"/>
      <c r="ROB12" s="41"/>
      <c r="ROC12" s="41"/>
      <c r="ROD12" s="41"/>
      <c r="ROE12" s="41"/>
      <c r="ROF12" s="41"/>
      <c r="ROG12" s="41"/>
      <c r="ROH12" s="41"/>
      <c r="ROI12" s="41"/>
      <c r="ROJ12" s="41"/>
      <c r="ROK12" s="41"/>
      <c r="ROL12" s="41"/>
      <c r="ROM12" s="41"/>
      <c r="RON12" s="41"/>
      <c r="ROO12" s="41"/>
      <c r="ROP12" s="41"/>
      <c r="ROQ12" s="41"/>
      <c r="ROR12" s="41"/>
      <c r="ROS12" s="41"/>
      <c r="ROT12" s="41"/>
      <c r="ROU12" s="41"/>
      <c r="ROV12" s="41"/>
      <c r="ROW12" s="41"/>
      <c r="ROX12" s="41"/>
      <c r="ROY12" s="41"/>
      <c r="ROZ12" s="41"/>
      <c r="RPA12" s="41"/>
      <c r="RPB12" s="41"/>
      <c r="RPC12" s="41"/>
      <c r="RPD12" s="41"/>
      <c r="RPE12" s="41"/>
      <c r="RPF12" s="41"/>
      <c r="RPG12" s="41"/>
      <c r="RPH12" s="41"/>
      <c r="RPI12" s="41"/>
      <c r="RPJ12" s="41"/>
      <c r="RPK12" s="41"/>
      <c r="RPL12" s="41"/>
      <c r="RPM12" s="41"/>
      <c r="RPN12" s="41"/>
      <c r="RPO12" s="41"/>
      <c r="RPP12" s="41"/>
      <c r="RPQ12" s="41"/>
      <c r="RPR12" s="41"/>
      <c r="RPS12" s="41"/>
      <c r="RPT12" s="41"/>
      <c r="RPU12" s="41"/>
      <c r="RPV12" s="41"/>
      <c r="RPW12" s="41"/>
      <c r="RPX12" s="41"/>
      <c r="RPY12" s="41"/>
      <c r="RPZ12" s="41"/>
      <c r="RQA12" s="41"/>
      <c r="RQB12" s="41"/>
      <c r="RQC12" s="41"/>
      <c r="RQD12" s="41"/>
      <c r="RQE12" s="41"/>
      <c r="RQF12" s="41"/>
      <c r="RQG12" s="41"/>
      <c r="RQH12" s="41"/>
      <c r="RQI12" s="41"/>
      <c r="RQJ12" s="41"/>
      <c r="RQK12" s="41"/>
      <c r="RQL12" s="41"/>
      <c r="RQM12" s="41"/>
      <c r="RQN12" s="41"/>
      <c r="RQO12" s="41"/>
      <c r="RQP12" s="41"/>
      <c r="RQQ12" s="41"/>
      <c r="RQR12" s="41"/>
      <c r="RQS12" s="41"/>
      <c r="RQT12" s="41"/>
      <c r="RQU12" s="41"/>
      <c r="RQV12" s="41"/>
      <c r="RQW12" s="41"/>
      <c r="RQX12" s="41"/>
      <c r="RQY12" s="41"/>
      <c r="RQZ12" s="41"/>
      <c r="RRA12" s="41"/>
      <c r="RRB12" s="41"/>
      <c r="RRC12" s="41"/>
      <c r="RRD12" s="41"/>
      <c r="RRE12" s="41"/>
      <c r="RRF12" s="41"/>
      <c r="RRG12" s="41"/>
      <c r="RRH12" s="41"/>
      <c r="RRI12" s="41"/>
      <c r="RRJ12" s="41"/>
      <c r="RRK12" s="41"/>
      <c r="RRL12" s="41"/>
      <c r="RRM12" s="41"/>
      <c r="RRN12" s="41"/>
      <c r="RRO12" s="41"/>
      <c r="RRP12" s="41"/>
      <c r="RRQ12" s="41"/>
      <c r="RRR12" s="41"/>
      <c r="RRS12" s="41"/>
      <c r="RRT12" s="41"/>
      <c r="RRU12" s="41"/>
      <c r="RRV12" s="41"/>
      <c r="RRW12" s="41"/>
      <c r="RRX12" s="41"/>
      <c r="RRY12" s="41"/>
      <c r="RRZ12" s="41"/>
      <c r="RSA12" s="41"/>
      <c r="RSB12" s="41"/>
      <c r="RSC12" s="41"/>
      <c r="RSD12" s="41"/>
      <c r="RSE12" s="41"/>
      <c r="RSF12" s="41"/>
      <c r="RSG12" s="41"/>
      <c r="RSH12" s="41"/>
      <c r="RSI12" s="41"/>
      <c r="RSJ12" s="41"/>
      <c r="RSK12" s="41"/>
      <c r="RSL12" s="41"/>
      <c r="RSM12" s="41"/>
      <c r="RSN12" s="41"/>
      <c r="RSO12" s="41"/>
      <c r="RSP12" s="41"/>
      <c r="RSQ12" s="41"/>
      <c r="RSR12" s="41"/>
      <c r="RSS12" s="41"/>
      <c r="RST12" s="41"/>
      <c r="RSU12" s="41"/>
      <c r="RSV12" s="41"/>
      <c r="RSW12" s="41"/>
      <c r="RSX12" s="41"/>
      <c r="RSY12" s="41"/>
      <c r="RSZ12" s="41"/>
      <c r="RTA12" s="41"/>
      <c r="RTB12" s="41"/>
      <c r="RTC12" s="41"/>
      <c r="RTD12" s="41"/>
      <c r="RTE12" s="41"/>
      <c r="RTF12" s="41"/>
      <c r="RTG12" s="41"/>
      <c r="RTH12" s="41"/>
      <c r="RTI12" s="41"/>
      <c r="RTJ12" s="41"/>
      <c r="RTK12" s="41"/>
      <c r="RTL12" s="41"/>
      <c r="RTM12" s="41"/>
      <c r="RTN12" s="41"/>
      <c r="RTO12" s="41"/>
      <c r="RTP12" s="41"/>
      <c r="RTQ12" s="41"/>
      <c r="RTR12" s="41"/>
      <c r="RTS12" s="41"/>
      <c r="RTT12" s="41"/>
      <c r="RTU12" s="41"/>
      <c r="RTV12" s="41"/>
      <c r="RTW12" s="41"/>
      <c r="RTX12" s="41"/>
      <c r="RTY12" s="41"/>
      <c r="RTZ12" s="41"/>
      <c r="RUA12" s="41"/>
      <c r="RUB12" s="41"/>
      <c r="RUC12" s="41"/>
      <c r="RUD12" s="41"/>
      <c r="RUE12" s="41"/>
      <c r="RUF12" s="41"/>
      <c r="RUG12" s="41"/>
      <c r="RUH12" s="41"/>
      <c r="RUI12" s="41"/>
      <c r="RUJ12" s="41"/>
      <c r="RUK12" s="41"/>
      <c r="RUL12" s="41"/>
      <c r="RUM12" s="41"/>
      <c r="RUN12" s="41"/>
      <c r="RUO12" s="41"/>
      <c r="RUP12" s="41"/>
      <c r="RUQ12" s="41"/>
      <c r="RUR12" s="41"/>
      <c r="RUS12" s="41"/>
      <c r="RUT12" s="41"/>
      <c r="RUU12" s="41"/>
      <c r="RUV12" s="41"/>
      <c r="RUW12" s="41"/>
      <c r="RUX12" s="41"/>
      <c r="RUY12" s="41"/>
      <c r="RUZ12" s="41"/>
      <c r="RVA12" s="41"/>
      <c r="RVB12" s="41"/>
      <c r="RVC12" s="41"/>
      <c r="RVD12" s="41"/>
      <c r="RVE12" s="41"/>
      <c r="RVF12" s="41"/>
      <c r="RVG12" s="41"/>
      <c r="RVH12" s="41"/>
      <c r="RVI12" s="41"/>
      <c r="RVJ12" s="41"/>
      <c r="RVK12" s="41"/>
      <c r="RVL12" s="41"/>
      <c r="RVM12" s="41"/>
      <c r="RVN12" s="41"/>
      <c r="RVO12" s="41"/>
      <c r="RVP12" s="41"/>
      <c r="RVQ12" s="41"/>
      <c r="RVR12" s="41"/>
      <c r="RVS12" s="41"/>
      <c r="RVT12" s="41"/>
      <c r="RVU12" s="41"/>
      <c r="RVV12" s="41"/>
      <c r="RVW12" s="41"/>
      <c r="RVX12" s="41"/>
      <c r="RVY12" s="41"/>
      <c r="RVZ12" s="41"/>
      <c r="RWA12" s="41"/>
      <c r="RWB12" s="41"/>
      <c r="RWC12" s="41"/>
      <c r="RWD12" s="41"/>
      <c r="RWE12" s="41"/>
      <c r="RWF12" s="41"/>
      <c r="RWG12" s="41"/>
      <c r="RWH12" s="41"/>
      <c r="RWI12" s="41"/>
      <c r="RWJ12" s="41"/>
      <c r="RWK12" s="41"/>
      <c r="RWL12" s="41"/>
      <c r="RWM12" s="41"/>
      <c r="RWN12" s="41"/>
      <c r="RWO12" s="41"/>
      <c r="RWP12" s="41"/>
      <c r="RWQ12" s="41"/>
      <c r="RWR12" s="41"/>
      <c r="RWS12" s="41"/>
      <c r="RWT12" s="41"/>
      <c r="RWU12" s="41"/>
      <c r="RWV12" s="41"/>
      <c r="RWW12" s="41"/>
      <c r="RWX12" s="41"/>
      <c r="RWY12" s="41"/>
      <c r="RWZ12" s="41"/>
      <c r="RXA12" s="41"/>
      <c r="RXB12" s="41"/>
      <c r="RXC12" s="41"/>
      <c r="RXD12" s="41"/>
      <c r="RXE12" s="41"/>
      <c r="RXF12" s="41"/>
      <c r="RXG12" s="41"/>
      <c r="RXH12" s="41"/>
      <c r="RXI12" s="41"/>
      <c r="RXJ12" s="41"/>
      <c r="RXK12" s="41"/>
      <c r="RXL12" s="41"/>
      <c r="RXM12" s="41"/>
      <c r="RXN12" s="41"/>
      <c r="RXO12" s="41"/>
      <c r="RXP12" s="41"/>
      <c r="RXQ12" s="41"/>
      <c r="RXR12" s="41"/>
      <c r="RXS12" s="41"/>
      <c r="RXT12" s="41"/>
      <c r="RXU12" s="41"/>
      <c r="RXV12" s="41"/>
      <c r="RXW12" s="41"/>
      <c r="RXX12" s="41"/>
      <c r="RXY12" s="41"/>
      <c r="RXZ12" s="41"/>
      <c r="RYA12" s="41"/>
      <c r="RYB12" s="41"/>
      <c r="RYC12" s="41"/>
      <c r="RYD12" s="41"/>
      <c r="RYE12" s="41"/>
      <c r="RYF12" s="41"/>
      <c r="RYG12" s="41"/>
      <c r="RYH12" s="41"/>
      <c r="RYI12" s="41"/>
      <c r="RYJ12" s="41"/>
      <c r="RYK12" s="41"/>
      <c r="RYL12" s="41"/>
      <c r="RYM12" s="41"/>
      <c r="RYN12" s="41"/>
      <c r="RYO12" s="41"/>
      <c r="RYP12" s="41"/>
      <c r="RYQ12" s="41"/>
      <c r="RYR12" s="41"/>
      <c r="RYS12" s="41"/>
      <c r="RYT12" s="41"/>
      <c r="RYU12" s="41"/>
      <c r="RYV12" s="41"/>
      <c r="RYW12" s="41"/>
      <c r="RYX12" s="41"/>
      <c r="RYY12" s="41"/>
      <c r="RYZ12" s="41"/>
      <c r="RZA12" s="41"/>
      <c r="RZB12" s="41"/>
      <c r="RZC12" s="41"/>
      <c r="RZD12" s="41"/>
      <c r="RZE12" s="41"/>
      <c r="RZF12" s="41"/>
      <c r="RZG12" s="41"/>
      <c r="RZH12" s="41"/>
      <c r="RZI12" s="41"/>
      <c r="RZJ12" s="41"/>
      <c r="RZK12" s="41"/>
      <c r="RZL12" s="41"/>
      <c r="RZM12" s="41"/>
      <c r="RZN12" s="41"/>
      <c r="RZO12" s="41"/>
      <c r="RZP12" s="41"/>
      <c r="RZQ12" s="41"/>
      <c r="RZR12" s="41"/>
      <c r="RZS12" s="41"/>
      <c r="RZT12" s="41"/>
      <c r="RZU12" s="41"/>
      <c r="RZV12" s="41"/>
      <c r="RZW12" s="41"/>
      <c r="RZX12" s="41"/>
      <c r="RZY12" s="41"/>
      <c r="RZZ12" s="41"/>
      <c r="SAA12" s="41"/>
      <c r="SAB12" s="41"/>
      <c r="SAC12" s="41"/>
      <c r="SAD12" s="41"/>
      <c r="SAE12" s="41"/>
      <c r="SAF12" s="41"/>
      <c r="SAG12" s="41"/>
      <c r="SAH12" s="41"/>
      <c r="SAI12" s="41"/>
      <c r="SAJ12" s="41"/>
      <c r="SAK12" s="41"/>
      <c r="SAL12" s="41"/>
      <c r="SAM12" s="41"/>
      <c r="SAN12" s="41"/>
      <c r="SAO12" s="41"/>
      <c r="SAP12" s="41"/>
      <c r="SAQ12" s="41"/>
      <c r="SAR12" s="41"/>
      <c r="SAS12" s="41"/>
      <c r="SAT12" s="41"/>
      <c r="SAU12" s="41"/>
      <c r="SAV12" s="41"/>
      <c r="SAW12" s="41"/>
      <c r="SAX12" s="41"/>
      <c r="SAY12" s="41"/>
      <c r="SAZ12" s="41"/>
      <c r="SBA12" s="41"/>
      <c r="SBB12" s="41"/>
      <c r="SBC12" s="41"/>
      <c r="SBD12" s="41"/>
      <c r="SBE12" s="41"/>
      <c r="SBF12" s="41"/>
      <c r="SBG12" s="41"/>
      <c r="SBH12" s="41"/>
      <c r="SBI12" s="41"/>
      <c r="SBJ12" s="41"/>
      <c r="SBK12" s="41"/>
      <c r="SBL12" s="41"/>
      <c r="SBM12" s="41"/>
      <c r="SBN12" s="41"/>
      <c r="SBO12" s="41"/>
      <c r="SBP12" s="41"/>
      <c r="SBQ12" s="41"/>
      <c r="SBR12" s="41"/>
      <c r="SBS12" s="41"/>
      <c r="SBT12" s="41"/>
      <c r="SBU12" s="41"/>
      <c r="SBV12" s="41"/>
      <c r="SBW12" s="41"/>
      <c r="SBX12" s="41"/>
      <c r="SBY12" s="41"/>
      <c r="SBZ12" s="41"/>
      <c r="SCA12" s="41"/>
      <c r="SCB12" s="41"/>
      <c r="SCC12" s="41"/>
      <c r="SCD12" s="41"/>
      <c r="SCE12" s="41"/>
      <c r="SCF12" s="41"/>
      <c r="SCG12" s="41"/>
      <c r="SCH12" s="41"/>
      <c r="SCI12" s="41"/>
      <c r="SCJ12" s="41"/>
      <c r="SCK12" s="41"/>
      <c r="SCL12" s="41"/>
      <c r="SCM12" s="41"/>
      <c r="SCN12" s="41"/>
      <c r="SCO12" s="41"/>
      <c r="SCP12" s="41"/>
      <c r="SCQ12" s="41"/>
      <c r="SCR12" s="41"/>
      <c r="SCS12" s="41"/>
      <c r="SCT12" s="41"/>
      <c r="SCU12" s="41"/>
      <c r="SCV12" s="41"/>
      <c r="SCW12" s="41"/>
      <c r="SCX12" s="41"/>
      <c r="SCY12" s="41"/>
      <c r="SCZ12" s="41"/>
      <c r="SDA12" s="41"/>
      <c r="SDB12" s="41"/>
      <c r="SDC12" s="41"/>
      <c r="SDD12" s="41"/>
      <c r="SDE12" s="41"/>
      <c r="SDF12" s="41"/>
      <c r="SDG12" s="41"/>
      <c r="SDH12" s="41"/>
      <c r="SDI12" s="41"/>
      <c r="SDJ12" s="41"/>
      <c r="SDK12" s="41"/>
      <c r="SDL12" s="41"/>
      <c r="SDM12" s="41"/>
      <c r="SDN12" s="41"/>
      <c r="SDO12" s="41"/>
      <c r="SDP12" s="41"/>
      <c r="SDQ12" s="41"/>
      <c r="SDR12" s="41"/>
      <c r="SDS12" s="41"/>
      <c r="SDT12" s="41"/>
      <c r="SDU12" s="41"/>
      <c r="SDV12" s="41"/>
      <c r="SDW12" s="41"/>
      <c r="SDX12" s="41"/>
      <c r="SDY12" s="41"/>
      <c r="SDZ12" s="41"/>
      <c r="SEA12" s="41"/>
      <c r="SEB12" s="41"/>
      <c r="SEC12" s="41"/>
      <c r="SED12" s="41"/>
      <c r="SEE12" s="41"/>
      <c r="SEF12" s="41"/>
      <c r="SEG12" s="41"/>
      <c r="SEH12" s="41"/>
      <c r="SEI12" s="41"/>
      <c r="SEJ12" s="41"/>
      <c r="SEK12" s="41"/>
      <c r="SEL12" s="41"/>
      <c r="SEM12" s="41"/>
      <c r="SEN12" s="41"/>
      <c r="SEO12" s="41"/>
      <c r="SEP12" s="41"/>
      <c r="SEQ12" s="41"/>
      <c r="SER12" s="41"/>
      <c r="SES12" s="41"/>
      <c r="SET12" s="41"/>
      <c r="SEU12" s="41"/>
      <c r="SEV12" s="41"/>
      <c r="SEW12" s="41"/>
      <c r="SEX12" s="41"/>
      <c r="SEY12" s="41"/>
      <c r="SEZ12" s="41"/>
      <c r="SFA12" s="41"/>
      <c r="SFB12" s="41"/>
      <c r="SFC12" s="41"/>
      <c r="SFD12" s="41"/>
      <c r="SFE12" s="41"/>
      <c r="SFF12" s="41"/>
      <c r="SFG12" s="41"/>
      <c r="SFH12" s="41"/>
      <c r="SFI12" s="41"/>
      <c r="SFJ12" s="41"/>
      <c r="SFK12" s="41"/>
      <c r="SFL12" s="41"/>
      <c r="SFM12" s="41"/>
      <c r="SFN12" s="41"/>
      <c r="SFO12" s="41"/>
      <c r="SFP12" s="41"/>
      <c r="SFQ12" s="41"/>
      <c r="SFR12" s="41"/>
      <c r="SFS12" s="41"/>
      <c r="SFT12" s="41"/>
      <c r="SFU12" s="41"/>
      <c r="SFV12" s="41"/>
      <c r="SFW12" s="41"/>
      <c r="SFX12" s="41"/>
      <c r="SFY12" s="41"/>
      <c r="SFZ12" s="41"/>
      <c r="SGA12" s="41"/>
      <c r="SGB12" s="41"/>
      <c r="SGC12" s="41"/>
      <c r="SGD12" s="41"/>
      <c r="SGE12" s="41"/>
      <c r="SGF12" s="41"/>
      <c r="SGG12" s="41"/>
      <c r="SGH12" s="41"/>
      <c r="SGI12" s="41"/>
      <c r="SGJ12" s="41"/>
      <c r="SGK12" s="41"/>
      <c r="SGL12" s="41"/>
      <c r="SGM12" s="41"/>
      <c r="SGN12" s="41"/>
      <c r="SGO12" s="41"/>
      <c r="SGP12" s="41"/>
      <c r="SGQ12" s="41"/>
      <c r="SGR12" s="41"/>
      <c r="SGS12" s="41"/>
      <c r="SGT12" s="41"/>
      <c r="SGU12" s="41"/>
      <c r="SGV12" s="41"/>
      <c r="SGW12" s="41"/>
      <c r="SGX12" s="41"/>
      <c r="SGY12" s="41"/>
      <c r="SGZ12" s="41"/>
      <c r="SHA12" s="41"/>
      <c r="SHB12" s="41"/>
      <c r="SHC12" s="41"/>
      <c r="SHD12" s="41"/>
      <c r="SHE12" s="41"/>
      <c r="SHF12" s="41"/>
      <c r="SHG12" s="41"/>
      <c r="SHH12" s="41"/>
      <c r="SHI12" s="41"/>
      <c r="SHJ12" s="41"/>
      <c r="SHK12" s="41"/>
      <c r="SHL12" s="41"/>
      <c r="SHM12" s="41"/>
      <c r="SHN12" s="41"/>
      <c r="SHO12" s="41"/>
      <c r="SHP12" s="41"/>
      <c r="SHQ12" s="41"/>
      <c r="SHR12" s="41"/>
      <c r="SHS12" s="41"/>
      <c r="SHT12" s="41"/>
      <c r="SHU12" s="41"/>
      <c r="SHV12" s="41"/>
      <c r="SHW12" s="41"/>
      <c r="SHX12" s="41"/>
      <c r="SHY12" s="41"/>
      <c r="SHZ12" s="41"/>
      <c r="SIA12" s="41"/>
      <c r="SIB12" s="41"/>
      <c r="SIC12" s="41"/>
      <c r="SID12" s="41"/>
      <c r="SIE12" s="41"/>
      <c r="SIF12" s="41"/>
      <c r="SIG12" s="41"/>
      <c r="SIH12" s="41"/>
      <c r="SII12" s="41"/>
      <c r="SIJ12" s="41"/>
      <c r="SIK12" s="41"/>
      <c r="SIL12" s="41"/>
      <c r="SIM12" s="41"/>
      <c r="SIN12" s="41"/>
      <c r="SIO12" s="41"/>
      <c r="SIP12" s="41"/>
      <c r="SIQ12" s="41"/>
      <c r="SIR12" s="41"/>
      <c r="SIS12" s="41"/>
      <c r="SIT12" s="41"/>
      <c r="SIU12" s="41"/>
      <c r="SIV12" s="41"/>
      <c r="SIW12" s="41"/>
      <c r="SIX12" s="41"/>
      <c r="SIY12" s="41"/>
      <c r="SIZ12" s="41"/>
      <c r="SJA12" s="41"/>
      <c r="SJB12" s="41"/>
      <c r="SJC12" s="41"/>
      <c r="SJD12" s="41"/>
      <c r="SJE12" s="41"/>
      <c r="SJF12" s="41"/>
      <c r="SJG12" s="41"/>
      <c r="SJH12" s="41"/>
      <c r="SJI12" s="41"/>
      <c r="SJJ12" s="41"/>
      <c r="SJK12" s="41"/>
      <c r="SJL12" s="41"/>
      <c r="SJM12" s="41"/>
      <c r="SJN12" s="41"/>
      <c r="SJO12" s="41"/>
      <c r="SJP12" s="41"/>
      <c r="SJQ12" s="41"/>
      <c r="SJR12" s="41"/>
      <c r="SJS12" s="41"/>
      <c r="SJT12" s="41"/>
      <c r="SJU12" s="41"/>
      <c r="SJV12" s="41"/>
      <c r="SJW12" s="41"/>
      <c r="SJX12" s="41"/>
      <c r="SJY12" s="41"/>
      <c r="SJZ12" s="41"/>
      <c r="SKA12" s="41"/>
      <c r="SKB12" s="41"/>
      <c r="SKC12" s="41"/>
      <c r="SKD12" s="41"/>
      <c r="SKE12" s="41"/>
      <c r="SKF12" s="41"/>
      <c r="SKG12" s="41"/>
      <c r="SKH12" s="41"/>
      <c r="SKI12" s="41"/>
      <c r="SKJ12" s="41"/>
      <c r="SKK12" s="41"/>
      <c r="SKL12" s="41"/>
      <c r="SKM12" s="41"/>
      <c r="SKN12" s="41"/>
      <c r="SKO12" s="41"/>
      <c r="SKP12" s="41"/>
      <c r="SKQ12" s="41"/>
      <c r="SKR12" s="41"/>
      <c r="SKS12" s="41"/>
      <c r="SKT12" s="41"/>
      <c r="SKU12" s="41"/>
      <c r="SKV12" s="41"/>
      <c r="SKW12" s="41"/>
      <c r="SKX12" s="41"/>
      <c r="SKY12" s="41"/>
      <c r="SKZ12" s="41"/>
      <c r="SLA12" s="41"/>
      <c r="SLB12" s="41"/>
      <c r="SLC12" s="41"/>
      <c r="SLD12" s="41"/>
      <c r="SLE12" s="41"/>
      <c r="SLF12" s="41"/>
      <c r="SLG12" s="41"/>
      <c r="SLH12" s="41"/>
      <c r="SLI12" s="41"/>
      <c r="SLJ12" s="41"/>
      <c r="SLK12" s="41"/>
      <c r="SLL12" s="41"/>
      <c r="SLM12" s="41"/>
      <c r="SLN12" s="41"/>
      <c r="SLO12" s="41"/>
      <c r="SLP12" s="41"/>
      <c r="SLQ12" s="41"/>
      <c r="SLR12" s="41"/>
      <c r="SLS12" s="41"/>
      <c r="SLT12" s="41"/>
      <c r="SLU12" s="41"/>
      <c r="SLV12" s="41"/>
      <c r="SLW12" s="41"/>
      <c r="SLX12" s="41"/>
      <c r="SLY12" s="41"/>
      <c r="SLZ12" s="41"/>
      <c r="SMA12" s="41"/>
      <c r="SMB12" s="41"/>
      <c r="SMC12" s="41"/>
      <c r="SMD12" s="41"/>
      <c r="SME12" s="41"/>
      <c r="SMF12" s="41"/>
      <c r="SMG12" s="41"/>
      <c r="SMH12" s="41"/>
      <c r="SMI12" s="41"/>
      <c r="SMJ12" s="41"/>
      <c r="SMK12" s="41"/>
      <c r="SML12" s="41"/>
      <c r="SMM12" s="41"/>
      <c r="SMN12" s="41"/>
      <c r="SMO12" s="41"/>
      <c r="SMP12" s="41"/>
      <c r="SMQ12" s="41"/>
      <c r="SMR12" s="41"/>
      <c r="SMS12" s="41"/>
      <c r="SMT12" s="41"/>
      <c r="SMU12" s="41"/>
      <c r="SMV12" s="41"/>
      <c r="SMW12" s="41"/>
      <c r="SMX12" s="41"/>
      <c r="SMY12" s="41"/>
      <c r="SMZ12" s="41"/>
      <c r="SNA12" s="41"/>
      <c r="SNB12" s="41"/>
      <c r="SNC12" s="41"/>
      <c r="SND12" s="41"/>
      <c r="SNE12" s="41"/>
      <c r="SNF12" s="41"/>
      <c r="SNG12" s="41"/>
      <c r="SNH12" s="41"/>
      <c r="SNI12" s="41"/>
      <c r="SNJ12" s="41"/>
      <c r="SNK12" s="41"/>
      <c r="SNL12" s="41"/>
      <c r="SNM12" s="41"/>
      <c r="SNN12" s="41"/>
      <c r="SNO12" s="41"/>
      <c r="SNP12" s="41"/>
      <c r="SNQ12" s="41"/>
      <c r="SNR12" s="41"/>
      <c r="SNS12" s="41"/>
      <c r="SNT12" s="41"/>
      <c r="SNU12" s="41"/>
      <c r="SNV12" s="41"/>
      <c r="SNW12" s="41"/>
      <c r="SNX12" s="41"/>
      <c r="SNY12" s="41"/>
      <c r="SNZ12" s="41"/>
      <c r="SOA12" s="41"/>
      <c r="SOB12" s="41"/>
      <c r="SOC12" s="41"/>
      <c r="SOD12" s="41"/>
      <c r="SOE12" s="41"/>
      <c r="SOF12" s="41"/>
      <c r="SOG12" s="41"/>
      <c r="SOH12" s="41"/>
      <c r="SOI12" s="41"/>
      <c r="SOJ12" s="41"/>
      <c r="SOK12" s="41"/>
      <c r="SOL12" s="41"/>
      <c r="SOM12" s="41"/>
      <c r="SON12" s="41"/>
      <c r="SOO12" s="41"/>
      <c r="SOP12" s="41"/>
      <c r="SOQ12" s="41"/>
      <c r="SOR12" s="41"/>
      <c r="SOS12" s="41"/>
      <c r="SOT12" s="41"/>
      <c r="SOU12" s="41"/>
      <c r="SOV12" s="41"/>
      <c r="SOW12" s="41"/>
      <c r="SOX12" s="41"/>
      <c r="SOY12" s="41"/>
      <c r="SOZ12" s="41"/>
      <c r="SPA12" s="41"/>
      <c r="SPB12" s="41"/>
      <c r="SPC12" s="41"/>
      <c r="SPD12" s="41"/>
      <c r="SPE12" s="41"/>
      <c r="SPF12" s="41"/>
      <c r="SPG12" s="41"/>
      <c r="SPH12" s="41"/>
      <c r="SPI12" s="41"/>
      <c r="SPJ12" s="41"/>
      <c r="SPK12" s="41"/>
      <c r="SPL12" s="41"/>
      <c r="SPM12" s="41"/>
      <c r="SPN12" s="41"/>
      <c r="SPO12" s="41"/>
      <c r="SPP12" s="41"/>
      <c r="SPQ12" s="41"/>
      <c r="SPR12" s="41"/>
      <c r="SPS12" s="41"/>
      <c r="SPT12" s="41"/>
      <c r="SPU12" s="41"/>
      <c r="SPV12" s="41"/>
      <c r="SPW12" s="41"/>
      <c r="SPX12" s="41"/>
      <c r="SPY12" s="41"/>
      <c r="SPZ12" s="41"/>
      <c r="SQA12" s="41"/>
      <c r="SQB12" s="41"/>
      <c r="SQC12" s="41"/>
      <c r="SQD12" s="41"/>
      <c r="SQE12" s="41"/>
      <c r="SQF12" s="41"/>
      <c r="SQG12" s="41"/>
      <c r="SQH12" s="41"/>
      <c r="SQI12" s="41"/>
      <c r="SQJ12" s="41"/>
      <c r="SQK12" s="41"/>
      <c r="SQL12" s="41"/>
      <c r="SQM12" s="41"/>
      <c r="SQN12" s="41"/>
      <c r="SQO12" s="41"/>
      <c r="SQP12" s="41"/>
      <c r="SQQ12" s="41"/>
      <c r="SQR12" s="41"/>
      <c r="SQS12" s="41"/>
      <c r="SQT12" s="41"/>
      <c r="SQU12" s="41"/>
      <c r="SQV12" s="41"/>
      <c r="SQW12" s="41"/>
      <c r="SQX12" s="41"/>
      <c r="SQY12" s="41"/>
      <c r="SQZ12" s="41"/>
      <c r="SRA12" s="41"/>
      <c r="SRB12" s="41"/>
      <c r="SRC12" s="41"/>
      <c r="SRD12" s="41"/>
      <c r="SRE12" s="41"/>
      <c r="SRF12" s="41"/>
      <c r="SRG12" s="41"/>
      <c r="SRH12" s="41"/>
      <c r="SRI12" s="41"/>
      <c r="SRJ12" s="41"/>
      <c r="SRK12" s="41"/>
      <c r="SRL12" s="41"/>
      <c r="SRM12" s="41"/>
      <c r="SRN12" s="41"/>
      <c r="SRO12" s="41"/>
      <c r="SRP12" s="41"/>
      <c r="SRQ12" s="41"/>
      <c r="SRR12" s="41"/>
      <c r="SRS12" s="41"/>
      <c r="SRT12" s="41"/>
      <c r="SRU12" s="41"/>
      <c r="SRV12" s="41"/>
      <c r="SRW12" s="41"/>
      <c r="SRX12" s="41"/>
      <c r="SRY12" s="41"/>
      <c r="SRZ12" s="41"/>
      <c r="SSA12" s="41"/>
      <c r="SSB12" s="41"/>
      <c r="SSC12" s="41"/>
      <c r="SSD12" s="41"/>
      <c r="SSE12" s="41"/>
      <c r="SSF12" s="41"/>
      <c r="SSG12" s="41"/>
      <c r="SSH12" s="41"/>
      <c r="SSI12" s="41"/>
      <c r="SSJ12" s="41"/>
      <c r="SSK12" s="41"/>
      <c r="SSL12" s="41"/>
      <c r="SSM12" s="41"/>
      <c r="SSN12" s="41"/>
      <c r="SSO12" s="41"/>
      <c r="SSP12" s="41"/>
      <c r="SSQ12" s="41"/>
      <c r="SSR12" s="41"/>
      <c r="SSS12" s="41"/>
      <c r="SST12" s="41"/>
      <c r="SSU12" s="41"/>
      <c r="SSV12" s="41"/>
      <c r="SSW12" s="41"/>
      <c r="SSX12" s="41"/>
      <c r="SSY12" s="41"/>
      <c r="SSZ12" s="41"/>
      <c r="STA12" s="41"/>
      <c r="STB12" s="41"/>
      <c r="STC12" s="41"/>
      <c r="STD12" s="41"/>
      <c r="STE12" s="41"/>
      <c r="STF12" s="41"/>
      <c r="STG12" s="41"/>
      <c r="STH12" s="41"/>
      <c r="STI12" s="41"/>
      <c r="STJ12" s="41"/>
      <c r="STK12" s="41"/>
      <c r="STL12" s="41"/>
      <c r="STM12" s="41"/>
      <c r="STN12" s="41"/>
      <c r="STO12" s="41"/>
      <c r="STP12" s="41"/>
      <c r="STQ12" s="41"/>
      <c r="STR12" s="41"/>
      <c r="STS12" s="41"/>
      <c r="STT12" s="41"/>
      <c r="STU12" s="41"/>
      <c r="STV12" s="41"/>
      <c r="STW12" s="41"/>
      <c r="STX12" s="41"/>
      <c r="STY12" s="41"/>
      <c r="STZ12" s="41"/>
      <c r="SUA12" s="41"/>
      <c r="SUB12" s="41"/>
      <c r="SUC12" s="41"/>
      <c r="SUD12" s="41"/>
      <c r="SUE12" s="41"/>
      <c r="SUF12" s="41"/>
      <c r="SUG12" s="41"/>
      <c r="SUH12" s="41"/>
      <c r="SUI12" s="41"/>
      <c r="SUJ12" s="41"/>
      <c r="SUK12" s="41"/>
      <c r="SUL12" s="41"/>
      <c r="SUM12" s="41"/>
      <c r="SUN12" s="41"/>
      <c r="SUO12" s="41"/>
      <c r="SUP12" s="41"/>
      <c r="SUQ12" s="41"/>
      <c r="SUR12" s="41"/>
      <c r="SUS12" s="41"/>
      <c r="SUT12" s="41"/>
      <c r="SUU12" s="41"/>
      <c r="SUV12" s="41"/>
      <c r="SUW12" s="41"/>
      <c r="SUX12" s="41"/>
      <c r="SUY12" s="41"/>
      <c r="SUZ12" s="41"/>
      <c r="SVA12" s="41"/>
      <c r="SVB12" s="41"/>
      <c r="SVC12" s="41"/>
      <c r="SVD12" s="41"/>
      <c r="SVE12" s="41"/>
      <c r="SVF12" s="41"/>
      <c r="SVG12" s="41"/>
      <c r="SVH12" s="41"/>
      <c r="SVI12" s="41"/>
      <c r="SVJ12" s="41"/>
      <c r="SVK12" s="41"/>
      <c r="SVL12" s="41"/>
      <c r="SVM12" s="41"/>
      <c r="SVN12" s="41"/>
      <c r="SVO12" s="41"/>
      <c r="SVP12" s="41"/>
      <c r="SVQ12" s="41"/>
      <c r="SVR12" s="41"/>
      <c r="SVS12" s="41"/>
      <c r="SVT12" s="41"/>
      <c r="SVU12" s="41"/>
      <c r="SVV12" s="41"/>
      <c r="SVW12" s="41"/>
      <c r="SVX12" s="41"/>
      <c r="SVY12" s="41"/>
      <c r="SVZ12" s="41"/>
      <c r="SWA12" s="41"/>
      <c r="SWB12" s="41"/>
      <c r="SWC12" s="41"/>
      <c r="SWD12" s="41"/>
      <c r="SWE12" s="41"/>
      <c r="SWF12" s="41"/>
      <c r="SWG12" s="41"/>
      <c r="SWH12" s="41"/>
      <c r="SWI12" s="41"/>
      <c r="SWJ12" s="41"/>
      <c r="SWK12" s="41"/>
      <c r="SWL12" s="41"/>
      <c r="SWM12" s="41"/>
      <c r="SWN12" s="41"/>
      <c r="SWO12" s="41"/>
      <c r="SWP12" s="41"/>
      <c r="SWQ12" s="41"/>
      <c r="SWR12" s="41"/>
      <c r="SWS12" s="41"/>
      <c r="SWT12" s="41"/>
      <c r="SWU12" s="41"/>
      <c r="SWV12" s="41"/>
      <c r="SWW12" s="41"/>
      <c r="SWX12" s="41"/>
      <c r="SWY12" s="41"/>
      <c r="SWZ12" s="41"/>
      <c r="SXA12" s="41"/>
      <c r="SXB12" s="41"/>
      <c r="SXC12" s="41"/>
      <c r="SXD12" s="41"/>
      <c r="SXE12" s="41"/>
      <c r="SXF12" s="41"/>
      <c r="SXG12" s="41"/>
      <c r="SXH12" s="41"/>
      <c r="SXI12" s="41"/>
      <c r="SXJ12" s="41"/>
      <c r="SXK12" s="41"/>
      <c r="SXL12" s="41"/>
      <c r="SXM12" s="41"/>
      <c r="SXN12" s="41"/>
      <c r="SXO12" s="41"/>
      <c r="SXP12" s="41"/>
      <c r="SXQ12" s="41"/>
      <c r="SXR12" s="41"/>
      <c r="SXS12" s="41"/>
      <c r="SXT12" s="41"/>
      <c r="SXU12" s="41"/>
      <c r="SXV12" s="41"/>
      <c r="SXW12" s="41"/>
      <c r="SXX12" s="41"/>
      <c r="SXY12" s="41"/>
      <c r="SXZ12" s="41"/>
      <c r="SYA12" s="41"/>
      <c r="SYB12" s="41"/>
      <c r="SYC12" s="41"/>
      <c r="SYD12" s="41"/>
      <c r="SYE12" s="41"/>
      <c r="SYF12" s="41"/>
      <c r="SYG12" s="41"/>
      <c r="SYH12" s="41"/>
      <c r="SYI12" s="41"/>
      <c r="SYJ12" s="41"/>
      <c r="SYK12" s="41"/>
      <c r="SYL12" s="41"/>
      <c r="SYM12" s="41"/>
      <c r="SYN12" s="41"/>
      <c r="SYO12" s="41"/>
      <c r="SYP12" s="41"/>
      <c r="SYQ12" s="41"/>
      <c r="SYR12" s="41"/>
      <c r="SYS12" s="41"/>
      <c r="SYT12" s="41"/>
      <c r="SYU12" s="41"/>
      <c r="SYV12" s="41"/>
      <c r="SYW12" s="41"/>
      <c r="SYX12" s="41"/>
      <c r="SYY12" s="41"/>
      <c r="SYZ12" s="41"/>
      <c r="SZA12" s="41"/>
      <c r="SZB12" s="41"/>
      <c r="SZC12" s="41"/>
      <c r="SZD12" s="41"/>
      <c r="SZE12" s="41"/>
      <c r="SZF12" s="41"/>
      <c r="SZG12" s="41"/>
      <c r="SZH12" s="41"/>
      <c r="SZI12" s="41"/>
      <c r="SZJ12" s="41"/>
      <c r="SZK12" s="41"/>
      <c r="SZL12" s="41"/>
      <c r="SZM12" s="41"/>
      <c r="SZN12" s="41"/>
      <c r="SZO12" s="41"/>
      <c r="SZP12" s="41"/>
      <c r="SZQ12" s="41"/>
      <c r="SZR12" s="41"/>
      <c r="SZS12" s="41"/>
      <c r="SZT12" s="41"/>
      <c r="SZU12" s="41"/>
      <c r="SZV12" s="41"/>
      <c r="SZW12" s="41"/>
      <c r="SZX12" s="41"/>
      <c r="SZY12" s="41"/>
      <c r="SZZ12" s="41"/>
      <c r="TAA12" s="41"/>
      <c r="TAB12" s="41"/>
      <c r="TAC12" s="41"/>
      <c r="TAD12" s="41"/>
      <c r="TAE12" s="41"/>
      <c r="TAF12" s="41"/>
      <c r="TAG12" s="41"/>
      <c r="TAH12" s="41"/>
      <c r="TAI12" s="41"/>
      <c r="TAJ12" s="41"/>
      <c r="TAK12" s="41"/>
      <c r="TAL12" s="41"/>
      <c r="TAM12" s="41"/>
      <c r="TAN12" s="41"/>
      <c r="TAO12" s="41"/>
      <c r="TAP12" s="41"/>
      <c r="TAQ12" s="41"/>
      <c r="TAR12" s="41"/>
      <c r="TAS12" s="41"/>
      <c r="TAT12" s="41"/>
      <c r="TAU12" s="41"/>
      <c r="TAV12" s="41"/>
      <c r="TAW12" s="41"/>
      <c r="TAX12" s="41"/>
      <c r="TAY12" s="41"/>
      <c r="TAZ12" s="41"/>
      <c r="TBA12" s="41"/>
      <c r="TBB12" s="41"/>
      <c r="TBC12" s="41"/>
      <c r="TBD12" s="41"/>
      <c r="TBE12" s="41"/>
      <c r="TBF12" s="41"/>
      <c r="TBG12" s="41"/>
      <c r="TBH12" s="41"/>
      <c r="TBI12" s="41"/>
      <c r="TBJ12" s="41"/>
      <c r="TBK12" s="41"/>
      <c r="TBL12" s="41"/>
      <c r="TBM12" s="41"/>
      <c r="TBN12" s="41"/>
      <c r="TBO12" s="41"/>
      <c r="TBP12" s="41"/>
      <c r="TBQ12" s="41"/>
      <c r="TBR12" s="41"/>
      <c r="TBS12" s="41"/>
      <c r="TBT12" s="41"/>
      <c r="TBU12" s="41"/>
      <c r="TBV12" s="41"/>
      <c r="TBW12" s="41"/>
      <c r="TBX12" s="41"/>
      <c r="TBY12" s="41"/>
      <c r="TBZ12" s="41"/>
      <c r="TCA12" s="41"/>
      <c r="TCB12" s="41"/>
      <c r="TCC12" s="41"/>
      <c r="TCD12" s="41"/>
      <c r="TCE12" s="41"/>
      <c r="TCF12" s="41"/>
      <c r="TCG12" s="41"/>
      <c r="TCH12" s="41"/>
      <c r="TCI12" s="41"/>
      <c r="TCJ12" s="41"/>
      <c r="TCK12" s="41"/>
      <c r="TCL12" s="41"/>
      <c r="TCM12" s="41"/>
      <c r="TCN12" s="41"/>
      <c r="TCO12" s="41"/>
      <c r="TCP12" s="41"/>
      <c r="TCQ12" s="41"/>
      <c r="TCR12" s="41"/>
      <c r="TCS12" s="41"/>
      <c r="TCT12" s="41"/>
      <c r="TCU12" s="41"/>
      <c r="TCV12" s="41"/>
      <c r="TCW12" s="41"/>
      <c r="TCX12" s="41"/>
      <c r="TCY12" s="41"/>
      <c r="TCZ12" s="41"/>
      <c r="TDA12" s="41"/>
      <c r="TDB12" s="41"/>
      <c r="TDC12" s="41"/>
      <c r="TDD12" s="41"/>
      <c r="TDE12" s="41"/>
      <c r="TDF12" s="41"/>
      <c r="TDG12" s="41"/>
      <c r="TDH12" s="41"/>
      <c r="TDI12" s="41"/>
      <c r="TDJ12" s="41"/>
      <c r="TDK12" s="41"/>
      <c r="TDL12" s="41"/>
      <c r="TDM12" s="41"/>
      <c r="TDN12" s="41"/>
      <c r="TDO12" s="41"/>
      <c r="TDP12" s="41"/>
      <c r="TDQ12" s="41"/>
      <c r="TDR12" s="41"/>
      <c r="TDS12" s="41"/>
      <c r="TDT12" s="41"/>
      <c r="TDU12" s="41"/>
      <c r="TDV12" s="41"/>
      <c r="TDW12" s="41"/>
      <c r="TDX12" s="41"/>
      <c r="TDY12" s="41"/>
      <c r="TDZ12" s="41"/>
      <c r="TEA12" s="41"/>
      <c r="TEB12" s="41"/>
      <c r="TEC12" s="41"/>
      <c r="TED12" s="41"/>
      <c r="TEE12" s="41"/>
      <c r="TEF12" s="41"/>
      <c r="TEG12" s="41"/>
      <c r="TEH12" s="41"/>
      <c r="TEI12" s="41"/>
      <c r="TEJ12" s="41"/>
      <c r="TEK12" s="41"/>
      <c r="TEL12" s="41"/>
      <c r="TEM12" s="41"/>
      <c r="TEN12" s="41"/>
      <c r="TEO12" s="41"/>
      <c r="TEP12" s="41"/>
      <c r="TEQ12" s="41"/>
      <c r="TER12" s="41"/>
      <c r="TES12" s="41"/>
      <c r="TET12" s="41"/>
      <c r="TEU12" s="41"/>
      <c r="TEV12" s="41"/>
      <c r="TEW12" s="41"/>
      <c r="TEX12" s="41"/>
      <c r="TEY12" s="41"/>
      <c r="TEZ12" s="41"/>
      <c r="TFA12" s="41"/>
      <c r="TFB12" s="41"/>
      <c r="TFC12" s="41"/>
      <c r="TFD12" s="41"/>
      <c r="TFE12" s="41"/>
      <c r="TFF12" s="41"/>
      <c r="TFG12" s="41"/>
      <c r="TFH12" s="41"/>
      <c r="TFI12" s="41"/>
      <c r="TFJ12" s="41"/>
      <c r="TFK12" s="41"/>
      <c r="TFL12" s="41"/>
      <c r="TFM12" s="41"/>
      <c r="TFN12" s="41"/>
      <c r="TFO12" s="41"/>
      <c r="TFP12" s="41"/>
      <c r="TFQ12" s="41"/>
      <c r="TFR12" s="41"/>
      <c r="TFS12" s="41"/>
      <c r="TFT12" s="41"/>
      <c r="TFU12" s="41"/>
      <c r="TFV12" s="41"/>
      <c r="TFW12" s="41"/>
      <c r="TFX12" s="41"/>
      <c r="TFY12" s="41"/>
      <c r="TFZ12" s="41"/>
      <c r="TGA12" s="41"/>
      <c r="TGB12" s="41"/>
      <c r="TGC12" s="41"/>
      <c r="TGD12" s="41"/>
      <c r="TGE12" s="41"/>
      <c r="TGF12" s="41"/>
      <c r="TGG12" s="41"/>
      <c r="TGH12" s="41"/>
      <c r="TGI12" s="41"/>
      <c r="TGJ12" s="41"/>
      <c r="TGK12" s="41"/>
      <c r="TGL12" s="41"/>
      <c r="TGM12" s="41"/>
      <c r="TGN12" s="41"/>
      <c r="TGO12" s="41"/>
      <c r="TGP12" s="41"/>
      <c r="TGQ12" s="41"/>
      <c r="TGR12" s="41"/>
      <c r="TGS12" s="41"/>
      <c r="TGT12" s="41"/>
      <c r="TGU12" s="41"/>
      <c r="TGV12" s="41"/>
      <c r="TGW12" s="41"/>
      <c r="TGX12" s="41"/>
      <c r="TGY12" s="41"/>
      <c r="TGZ12" s="41"/>
      <c r="THA12" s="41"/>
      <c r="THB12" s="41"/>
      <c r="THC12" s="41"/>
      <c r="THD12" s="41"/>
      <c r="THE12" s="41"/>
      <c r="THF12" s="41"/>
      <c r="THG12" s="41"/>
      <c r="THH12" s="41"/>
      <c r="THI12" s="41"/>
      <c r="THJ12" s="41"/>
      <c r="THK12" s="41"/>
      <c r="THL12" s="41"/>
      <c r="THM12" s="41"/>
      <c r="THN12" s="41"/>
      <c r="THO12" s="41"/>
      <c r="THP12" s="41"/>
      <c r="THQ12" s="41"/>
      <c r="THR12" s="41"/>
      <c r="THS12" s="41"/>
      <c r="THT12" s="41"/>
      <c r="THU12" s="41"/>
      <c r="THV12" s="41"/>
      <c r="THW12" s="41"/>
      <c r="THX12" s="41"/>
      <c r="THY12" s="41"/>
      <c r="THZ12" s="41"/>
      <c r="TIA12" s="41"/>
      <c r="TIB12" s="41"/>
      <c r="TIC12" s="41"/>
      <c r="TID12" s="41"/>
      <c r="TIE12" s="41"/>
      <c r="TIF12" s="41"/>
      <c r="TIG12" s="41"/>
      <c r="TIH12" s="41"/>
      <c r="TII12" s="41"/>
      <c r="TIJ12" s="41"/>
      <c r="TIK12" s="41"/>
      <c r="TIL12" s="41"/>
      <c r="TIM12" s="41"/>
      <c r="TIN12" s="41"/>
      <c r="TIO12" s="41"/>
      <c r="TIP12" s="41"/>
      <c r="TIQ12" s="41"/>
      <c r="TIR12" s="41"/>
      <c r="TIS12" s="41"/>
      <c r="TIT12" s="41"/>
      <c r="TIU12" s="41"/>
      <c r="TIV12" s="41"/>
      <c r="TIW12" s="41"/>
      <c r="TIX12" s="41"/>
      <c r="TIY12" s="41"/>
      <c r="TIZ12" s="41"/>
      <c r="TJA12" s="41"/>
      <c r="TJB12" s="41"/>
      <c r="TJC12" s="41"/>
      <c r="TJD12" s="41"/>
      <c r="TJE12" s="41"/>
      <c r="TJF12" s="41"/>
      <c r="TJG12" s="41"/>
      <c r="TJH12" s="41"/>
      <c r="TJI12" s="41"/>
      <c r="TJJ12" s="41"/>
      <c r="TJK12" s="41"/>
      <c r="TJL12" s="41"/>
      <c r="TJM12" s="41"/>
      <c r="TJN12" s="41"/>
      <c r="TJO12" s="41"/>
      <c r="TJP12" s="41"/>
      <c r="TJQ12" s="41"/>
      <c r="TJR12" s="41"/>
      <c r="TJS12" s="41"/>
      <c r="TJT12" s="41"/>
      <c r="TJU12" s="41"/>
      <c r="TJV12" s="41"/>
      <c r="TJW12" s="41"/>
      <c r="TJX12" s="41"/>
      <c r="TJY12" s="41"/>
      <c r="TJZ12" s="41"/>
      <c r="TKA12" s="41"/>
      <c r="TKB12" s="41"/>
      <c r="TKC12" s="41"/>
      <c r="TKD12" s="41"/>
      <c r="TKE12" s="41"/>
      <c r="TKF12" s="41"/>
      <c r="TKG12" s="41"/>
      <c r="TKH12" s="41"/>
      <c r="TKI12" s="41"/>
      <c r="TKJ12" s="41"/>
      <c r="TKK12" s="41"/>
      <c r="TKL12" s="41"/>
      <c r="TKM12" s="41"/>
      <c r="TKN12" s="41"/>
      <c r="TKO12" s="41"/>
      <c r="TKP12" s="41"/>
      <c r="TKQ12" s="41"/>
      <c r="TKR12" s="41"/>
      <c r="TKS12" s="41"/>
      <c r="TKT12" s="41"/>
      <c r="TKU12" s="41"/>
      <c r="TKV12" s="41"/>
      <c r="TKW12" s="41"/>
      <c r="TKX12" s="41"/>
      <c r="TKY12" s="41"/>
      <c r="TKZ12" s="41"/>
      <c r="TLA12" s="41"/>
      <c r="TLB12" s="41"/>
      <c r="TLC12" s="41"/>
      <c r="TLD12" s="41"/>
      <c r="TLE12" s="41"/>
      <c r="TLF12" s="41"/>
      <c r="TLG12" s="41"/>
      <c r="TLH12" s="41"/>
      <c r="TLI12" s="41"/>
      <c r="TLJ12" s="41"/>
      <c r="TLK12" s="41"/>
      <c r="TLL12" s="41"/>
      <c r="TLM12" s="41"/>
      <c r="TLN12" s="41"/>
      <c r="TLO12" s="41"/>
      <c r="TLP12" s="41"/>
      <c r="TLQ12" s="41"/>
      <c r="TLR12" s="41"/>
      <c r="TLS12" s="41"/>
      <c r="TLT12" s="41"/>
      <c r="TLU12" s="41"/>
      <c r="TLV12" s="41"/>
      <c r="TLW12" s="41"/>
      <c r="TLX12" s="41"/>
      <c r="TLY12" s="41"/>
      <c r="TLZ12" s="41"/>
      <c r="TMA12" s="41"/>
      <c r="TMB12" s="41"/>
      <c r="TMC12" s="41"/>
      <c r="TMD12" s="41"/>
      <c r="TME12" s="41"/>
      <c r="TMF12" s="41"/>
      <c r="TMG12" s="41"/>
      <c r="TMH12" s="41"/>
      <c r="TMI12" s="41"/>
      <c r="TMJ12" s="41"/>
      <c r="TMK12" s="41"/>
      <c r="TML12" s="41"/>
      <c r="TMM12" s="41"/>
      <c r="TMN12" s="41"/>
      <c r="TMO12" s="41"/>
      <c r="TMP12" s="41"/>
      <c r="TMQ12" s="41"/>
      <c r="TMR12" s="41"/>
      <c r="TMS12" s="41"/>
      <c r="TMT12" s="41"/>
      <c r="TMU12" s="41"/>
      <c r="TMV12" s="41"/>
      <c r="TMW12" s="41"/>
      <c r="TMX12" s="41"/>
      <c r="TMY12" s="41"/>
      <c r="TMZ12" s="41"/>
      <c r="TNA12" s="41"/>
      <c r="TNB12" s="41"/>
      <c r="TNC12" s="41"/>
      <c r="TND12" s="41"/>
      <c r="TNE12" s="41"/>
      <c r="TNF12" s="41"/>
      <c r="TNG12" s="41"/>
      <c r="TNH12" s="41"/>
      <c r="TNI12" s="41"/>
      <c r="TNJ12" s="41"/>
      <c r="TNK12" s="41"/>
      <c r="TNL12" s="41"/>
      <c r="TNM12" s="41"/>
      <c r="TNN12" s="41"/>
      <c r="TNO12" s="41"/>
      <c r="TNP12" s="41"/>
      <c r="TNQ12" s="41"/>
      <c r="TNR12" s="41"/>
      <c r="TNS12" s="41"/>
      <c r="TNT12" s="41"/>
      <c r="TNU12" s="41"/>
      <c r="TNV12" s="41"/>
      <c r="TNW12" s="41"/>
      <c r="TNX12" s="41"/>
      <c r="TNY12" s="41"/>
      <c r="TNZ12" s="41"/>
      <c r="TOA12" s="41"/>
      <c r="TOB12" s="41"/>
      <c r="TOC12" s="41"/>
      <c r="TOD12" s="41"/>
      <c r="TOE12" s="41"/>
      <c r="TOF12" s="41"/>
      <c r="TOG12" s="41"/>
      <c r="TOH12" s="41"/>
      <c r="TOI12" s="41"/>
      <c r="TOJ12" s="41"/>
      <c r="TOK12" s="41"/>
      <c r="TOL12" s="41"/>
      <c r="TOM12" s="41"/>
      <c r="TON12" s="41"/>
      <c r="TOO12" s="41"/>
      <c r="TOP12" s="41"/>
      <c r="TOQ12" s="41"/>
      <c r="TOR12" s="41"/>
      <c r="TOS12" s="41"/>
      <c r="TOT12" s="41"/>
      <c r="TOU12" s="41"/>
      <c r="TOV12" s="41"/>
      <c r="TOW12" s="41"/>
      <c r="TOX12" s="41"/>
      <c r="TOY12" s="41"/>
      <c r="TOZ12" s="41"/>
      <c r="TPA12" s="41"/>
      <c r="TPB12" s="41"/>
      <c r="TPC12" s="41"/>
      <c r="TPD12" s="41"/>
      <c r="TPE12" s="41"/>
      <c r="TPF12" s="41"/>
      <c r="TPG12" s="41"/>
      <c r="TPH12" s="41"/>
      <c r="TPI12" s="41"/>
      <c r="TPJ12" s="41"/>
      <c r="TPK12" s="41"/>
      <c r="TPL12" s="41"/>
      <c r="TPM12" s="41"/>
      <c r="TPN12" s="41"/>
      <c r="TPO12" s="41"/>
      <c r="TPP12" s="41"/>
      <c r="TPQ12" s="41"/>
      <c r="TPR12" s="41"/>
      <c r="TPS12" s="41"/>
      <c r="TPT12" s="41"/>
      <c r="TPU12" s="41"/>
      <c r="TPV12" s="41"/>
      <c r="TPW12" s="41"/>
      <c r="TPX12" s="41"/>
      <c r="TPY12" s="41"/>
      <c r="TPZ12" s="41"/>
      <c r="TQA12" s="41"/>
      <c r="TQB12" s="41"/>
      <c r="TQC12" s="41"/>
      <c r="TQD12" s="41"/>
      <c r="TQE12" s="41"/>
      <c r="TQF12" s="41"/>
      <c r="TQG12" s="41"/>
      <c r="TQH12" s="41"/>
      <c r="TQI12" s="41"/>
      <c r="TQJ12" s="41"/>
      <c r="TQK12" s="41"/>
      <c r="TQL12" s="41"/>
      <c r="TQM12" s="41"/>
      <c r="TQN12" s="41"/>
      <c r="TQO12" s="41"/>
      <c r="TQP12" s="41"/>
      <c r="TQQ12" s="41"/>
      <c r="TQR12" s="41"/>
      <c r="TQS12" s="41"/>
      <c r="TQT12" s="41"/>
      <c r="TQU12" s="41"/>
      <c r="TQV12" s="41"/>
      <c r="TQW12" s="41"/>
      <c r="TQX12" s="41"/>
      <c r="TQY12" s="41"/>
      <c r="TQZ12" s="41"/>
      <c r="TRA12" s="41"/>
      <c r="TRB12" s="41"/>
      <c r="TRC12" s="41"/>
      <c r="TRD12" s="41"/>
      <c r="TRE12" s="41"/>
      <c r="TRF12" s="41"/>
      <c r="TRG12" s="41"/>
      <c r="TRH12" s="41"/>
      <c r="TRI12" s="41"/>
      <c r="TRJ12" s="41"/>
      <c r="TRK12" s="41"/>
      <c r="TRL12" s="41"/>
      <c r="TRM12" s="41"/>
      <c r="TRN12" s="41"/>
      <c r="TRO12" s="41"/>
      <c r="TRP12" s="41"/>
      <c r="TRQ12" s="41"/>
      <c r="TRR12" s="41"/>
      <c r="TRS12" s="41"/>
      <c r="TRT12" s="41"/>
      <c r="TRU12" s="41"/>
      <c r="TRV12" s="41"/>
      <c r="TRW12" s="41"/>
      <c r="TRX12" s="41"/>
      <c r="TRY12" s="41"/>
      <c r="TRZ12" s="41"/>
      <c r="TSA12" s="41"/>
      <c r="TSB12" s="41"/>
      <c r="TSC12" s="41"/>
      <c r="TSD12" s="41"/>
      <c r="TSE12" s="41"/>
      <c r="TSF12" s="41"/>
      <c r="TSG12" s="41"/>
      <c r="TSH12" s="41"/>
      <c r="TSI12" s="41"/>
      <c r="TSJ12" s="41"/>
      <c r="TSK12" s="41"/>
      <c r="TSL12" s="41"/>
      <c r="TSM12" s="41"/>
      <c r="TSN12" s="41"/>
      <c r="TSO12" s="41"/>
      <c r="TSP12" s="41"/>
      <c r="TSQ12" s="41"/>
      <c r="TSR12" s="41"/>
      <c r="TSS12" s="41"/>
      <c r="TST12" s="41"/>
      <c r="TSU12" s="41"/>
      <c r="TSV12" s="41"/>
      <c r="TSW12" s="41"/>
      <c r="TSX12" s="41"/>
      <c r="TSY12" s="41"/>
      <c r="TSZ12" s="41"/>
      <c r="TTA12" s="41"/>
      <c r="TTB12" s="41"/>
      <c r="TTC12" s="41"/>
      <c r="TTD12" s="41"/>
      <c r="TTE12" s="41"/>
      <c r="TTF12" s="41"/>
      <c r="TTG12" s="41"/>
      <c r="TTH12" s="41"/>
      <c r="TTI12" s="41"/>
      <c r="TTJ12" s="41"/>
      <c r="TTK12" s="41"/>
      <c r="TTL12" s="41"/>
      <c r="TTM12" s="41"/>
      <c r="TTN12" s="41"/>
      <c r="TTO12" s="41"/>
      <c r="TTP12" s="41"/>
      <c r="TTQ12" s="41"/>
      <c r="TTR12" s="41"/>
      <c r="TTS12" s="41"/>
      <c r="TTT12" s="41"/>
      <c r="TTU12" s="41"/>
      <c r="TTV12" s="41"/>
      <c r="TTW12" s="41"/>
      <c r="TTX12" s="41"/>
      <c r="TTY12" s="41"/>
      <c r="TTZ12" s="41"/>
      <c r="TUA12" s="41"/>
      <c r="TUB12" s="41"/>
      <c r="TUC12" s="41"/>
      <c r="TUD12" s="41"/>
      <c r="TUE12" s="41"/>
      <c r="TUF12" s="41"/>
      <c r="TUG12" s="41"/>
      <c r="TUH12" s="41"/>
      <c r="TUI12" s="41"/>
      <c r="TUJ12" s="41"/>
      <c r="TUK12" s="41"/>
      <c r="TUL12" s="41"/>
      <c r="TUM12" s="41"/>
      <c r="TUN12" s="41"/>
      <c r="TUO12" s="41"/>
      <c r="TUP12" s="41"/>
      <c r="TUQ12" s="41"/>
      <c r="TUR12" s="41"/>
      <c r="TUS12" s="41"/>
      <c r="TUT12" s="41"/>
      <c r="TUU12" s="41"/>
      <c r="TUV12" s="41"/>
      <c r="TUW12" s="41"/>
      <c r="TUX12" s="41"/>
      <c r="TUY12" s="41"/>
      <c r="TUZ12" s="41"/>
      <c r="TVA12" s="41"/>
      <c r="TVB12" s="41"/>
      <c r="TVC12" s="41"/>
      <c r="TVD12" s="41"/>
      <c r="TVE12" s="41"/>
      <c r="TVF12" s="41"/>
      <c r="TVG12" s="41"/>
      <c r="TVH12" s="41"/>
      <c r="TVI12" s="41"/>
      <c r="TVJ12" s="41"/>
      <c r="TVK12" s="41"/>
      <c r="TVL12" s="41"/>
      <c r="TVM12" s="41"/>
      <c r="TVN12" s="41"/>
      <c r="TVO12" s="41"/>
      <c r="TVP12" s="41"/>
      <c r="TVQ12" s="41"/>
      <c r="TVR12" s="41"/>
      <c r="TVS12" s="41"/>
      <c r="TVT12" s="41"/>
      <c r="TVU12" s="41"/>
      <c r="TVV12" s="41"/>
      <c r="TVW12" s="41"/>
      <c r="TVX12" s="41"/>
      <c r="TVY12" s="41"/>
      <c r="TVZ12" s="41"/>
      <c r="TWA12" s="41"/>
      <c r="TWB12" s="41"/>
      <c r="TWC12" s="41"/>
      <c r="TWD12" s="41"/>
      <c r="TWE12" s="41"/>
      <c r="TWF12" s="41"/>
      <c r="TWG12" s="41"/>
      <c r="TWH12" s="41"/>
      <c r="TWI12" s="41"/>
      <c r="TWJ12" s="41"/>
      <c r="TWK12" s="41"/>
      <c r="TWL12" s="41"/>
      <c r="TWM12" s="41"/>
      <c r="TWN12" s="41"/>
      <c r="TWO12" s="41"/>
      <c r="TWP12" s="41"/>
      <c r="TWQ12" s="41"/>
      <c r="TWR12" s="41"/>
      <c r="TWS12" s="41"/>
      <c r="TWT12" s="41"/>
      <c r="TWU12" s="41"/>
      <c r="TWV12" s="41"/>
      <c r="TWW12" s="41"/>
      <c r="TWX12" s="41"/>
      <c r="TWY12" s="41"/>
      <c r="TWZ12" s="41"/>
      <c r="TXA12" s="41"/>
      <c r="TXB12" s="41"/>
      <c r="TXC12" s="41"/>
      <c r="TXD12" s="41"/>
      <c r="TXE12" s="41"/>
      <c r="TXF12" s="41"/>
      <c r="TXG12" s="41"/>
      <c r="TXH12" s="41"/>
      <c r="TXI12" s="41"/>
      <c r="TXJ12" s="41"/>
      <c r="TXK12" s="41"/>
      <c r="TXL12" s="41"/>
      <c r="TXM12" s="41"/>
      <c r="TXN12" s="41"/>
      <c r="TXO12" s="41"/>
      <c r="TXP12" s="41"/>
      <c r="TXQ12" s="41"/>
      <c r="TXR12" s="41"/>
      <c r="TXS12" s="41"/>
      <c r="TXT12" s="41"/>
      <c r="TXU12" s="41"/>
      <c r="TXV12" s="41"/>
      <c r="TXW12" s="41"/>
      <c r="TXX12" s="41"/>
      <c r="TXY12" s="41"/>
      <c r="TXZ12" s="41"/>
      <c r="TYA12" s="41"/>
      <c r="TYB12" s="41"/>
      <c r="TYC12" s="41"/>
      <c r="TYD12" s="41"/>
      <c r="TYE12" s="41"/>
      <c r="TYF12" s="41"/>
      <c r="TYG12" s="41"/>
      <c r="TYH12" s="41"/>
      <c r="TYI12" s="41"/>
      <c r="TYJ12" s="41"/>
      <c r="TYK12" s="41"/>
      <c r="TYL12" s="41"/>
      <c r="TYM12" s="41"/>
      <c r="TYN12" s="41"/>
      <c r="TYO12" s="41"/>
      <c r="TYP12" s="41"/>
      <c r="TYQ12" s="41"/>
      <c r="TYR12" s="41"/>
      <c r="TYS12" s="41"/>
      <c r="TYT12" s="41"/>
      <c r="TYU12" s="41"/>
      <c r="TYV12" s="41"/>
      <c r="TYW12" s="41"/>
      <c r="TYX12" s="41"/>
      <c r="TYY12" s="41"/>
      <c r="TYZ12" s="41"/>
      <c r="TZA12" s="41"/>
      <c r="TZB12" s="41"/>
      <c r="TZC12" s="41"/>
      <c r="TZD12" s="41"/>
      <c r="TZE12" s="41"/>
      <c r="TZF12" s="41"/>
      <c r="TZG12" s="41"/>
      <c r="TZH12" s="41"/>
      <c r="TZI12" s="41"/>
      <c r="TZJ12" s="41"/>
      <c r="TZK12" s="41"/>
      <c r="TZL12" s="41"/>
      <c r="TZM12" s="41"/>
      <c r="TZN12" s="41"/>
      <c r="TZO12" s="41"/>
      <c r="TZP12" s="41"/>
      <c r="TZQ12" s="41"/>
      <c r="TZR12" s="41"/>
      <c r="TZS12" s="41"/>
      <c r="TZT12" s="41"/>
      <c r="TZU12" s="41"/>
      <c r="TZV12" s="41"/>
      <c r="TZW12" s="41"/>
      <c r="TZX12" s="41"/>
      <c r="TZY12" s="41"/>
      <c r="TZZ12" s="41"/>
      <c r="UAA12" s="41"/>
      <c r="UAB12" s="41"/>
      <c r="UAC12" s="41"/>
      <c r="UAD12" s="41"/>
      <c r="UAE12" s="41"/>
      <c r="UAF12" s="41"/>
      <c r="UAG12" s="41"/>
      <c r="UAH12" s="41"/>
      <c r="UAI12" s="41"/>
      <c r="UAJ12" s="41"/>
      <c r="UAK12" s="41"/>
      <c r="UAL12" s="41"/>
      <c r="UAM12" s="41"/>
      <c r="UAN12" s="41"/>
      <c r="UAO12" s="41"/>
      <c r="UAP12" s="41"/>
      <c r="UAQ12" s="41"/>
      <c r="UAR12" s="41"/>
      <c r="UAS12" s="41"/>
      <c r="UAT12" s="41"/>
      <c r="UAU12" s="41"/>
      <c r="UAV12" s="41"/>
      <c r="UAW12" s="41"/>
      <c r="UAX12" s="41"/>
      <c r="UAY12" s="41"/>
      <c r="UAZ12" s="41"/>
      <c r="UBA12" s="41"/>
      <c r="UBB12" s="41"/>
      <c r="UBC12" s="41"/>
      <c r="UBD12" s="41"/>
      <c r="UBE12" s="41"/>
      <c r="UBF12" s="41"/>
      <c r="UBG12" s="41"/>
      <c r="UBH12" s="41"/>
      <c r="UBI12" s="41"/>
      <c r="UBJ12" s="41"/>
      <c r="UBK12" s="41"/>
      <c r="UBL12" s="41"/>
      <c r="UBM12" s="41"/>
      <c r="UBN12" s="41"/>
      <c r="UBO12" s="41"/>
      <c r="UBP12" s="41"/>
      <c r="UBQ12" s="41"/>
      <c r="UBR12" s="41"/>
      <c r="UBS12" s="41"/>
      <c r="UBT12" s="41"/>
      <c r="UBU12" s="41"/>
      <c r="UBV12" s="41"/>
      <c r="UBW12" s="41"/>
      <c r="UBX12" s="41"/>
      <c r="UBY12" s="41"/>
      <c r="UBZ12" s="41"/>
      <c r="UCA12" s="41"/>
      <c r="UCB12" s="41"/>
      <c r="UCC12" s="41"/>
      <c r="UCD12" s="41"/>
      <c r="UCE12" s="41"/>
      <c r="UCF12" s="41"/>
      <c r="UCG12" s="41"/>
      <c r="UCH12" s="41"/>
      <c r="UCI12" s="41"/>
      <c r="UCJ12" s="41"/>
      <c r="UCK12" s="41"/>
      <c r="UCL12" s="41"/>
      <c r="UCM12" s="41"/>
      <c r="UCN12" s="41"/>
      <c r="UCO12" s="41"/>
      <c r="UCP12" s="41"/>
      <c r="UCQ12" s="41"/>
      <c r="UCR12" s="41"/>
      <c r="UCS12" s="41"/>
      <c r="UCT12" s="41"/>
      <c r="UCU12" s="41"/>
      <c r="UCV12" s="41"/>
      <c r="UCW12" s="41"/>
      <c r="UCX12" s="41"/>
      <c r="UCY12" s="41"/>
      <c r="UCZ12" s="41"/>
      <c r="UDA12" s="41"/>
      <c r="UDB12" s="41"/>
      <c r="UDC12" s="41"/>
      <c r="UDD12" s="41"/>
      <c r="UDE12" s="41"/>
      <c r="UDF12" s="41"/>
      <c r="UDG12" s="41"/>
      <c r="UDH12" s="41"/>
      <c r="UDI12" s="41"/>
      <c r="UDJ12" s="41"/>
      <c r="UDK12" s="41"/>
      <c r="UDL12" s="41"/>
      <c r="UDM12" s="41"/>
      <c r="UDN12" s="41"/>
      <c r="UDO12" s="41"/>
      <c r="UDP12" s="41"/>
      <c r="UDQ12" s="41"/>
      <c r="UDR12" s="41"/>
      <c r="UDS12" s="41"/>
      <c r="UDT12" s="41"/>
      <c r="UDU12" s="41"/>
      <c r="UDV12" s="41"/>
      <c r="UDW12" s="41"/>
      <c r="UDX12" s="41"/>
      <c r="UDY12" s="41"/>
      <c r="UDZ12" s="41"/>
      <c r="UEA12" s="41"/>
      <c r="UEB12" s="41"/>
      <c r="UEC12" s="41"/>
      <c r="UED12" s="41"/>
      <c r="UEE12" s="41"/>
      <c r="UEF12" s="41"/>
      <c r="UEG12" s="41"/>
      <c r="UEH12" s="41"/>
      <c r="UEI12" s="41"/>
      <c r="UEJ12" s="41"/>
      <c r="UEK12" s="41"/>
      <c r="UEL12" s="41"/>
      <c r="UEM12" s="41"/>
      <c r="UEN12" s="41"/>
      <c r="UEO12" s="41"/>
      <c r="UEP12" s="41"/>
      <c r="UEQ12" s="41"/>
      <c r="UER12" s="41"/>
      <c r="UES12" s="41"/>
      <c r="UET12" s="41"/>
      <c r="UEU12" s="41"/>
      <c r="UEV12" s="41"/>
      <c r="UEW12" s="41"/>
      <c r="UEX12" s="41"/>
      <c r="UEY12" s="41"/>
      <c r="UEZ12" s="41"/>
      <c r="UFA12" s="41"/>
      <c r="UFB12" s="41"/>
      <c r="UFC12" s="41"/>
      <c r="UFD12" s="41"/>
      <c r="UFE12" s="41"/>
      <c r="UFF12" s="41"/>
      <c r="UFG12" s="41"/>
      <c r="UFH12" s="41"/>
      <c r="UFI12" s="41"/>
      <c r="UFJ12" s="41"/>
      <c r="UFK12" s="41"/>
      <c r="UFL12" s="41"/>
      <c r="UFM12" s="41"/>
      <c r="UFN12" s="41"/>
      <c r="UFO12" s="41"/>
      <c r="UFP12" s="41"/>
      <c r="UFQ12" s="41"/>
      <c r="UFR12" s="41"/>
      <c r="UFS12" s="41"/>
      <c r="UFT12" s="41"/>
      <c r="UFU12" s="41"/>
      <c r="UFV12" s="41"/>
      <c r="UFW12" s="41"/>
      <c r="UFX12" s="41"/>
      <c r="UFY12" s="41"/>
      <c r="UFZ12" s="41"/>
      <c r="UGA12" s="41"/>
      <c r="UGB12" s="41"/>
      <c r="UGC12" s="41"/>
      <c r="UGD12" s="41"/>
      <c r="UGE12" s="41"/>
      <c r="UGF12" s="41"/>
      <c r="UGG12" s="41"/>
      <c r="UGH12" s="41"/>
      <c r="UGI12" s="41"/>
      <c r="UGJ12" s="41"/>
      <c r="UGK12" s="41"/>
      <c r="UGL12" s="41"/>
      <c r="UGM12" s="41"/>
      <c r="UGN12" s="41"/>
      <c r="UGO12" s="41"/>
      <c r="UGP12" s="41"/>
      <c r="UGQ12" s="41"/>
      <c r="UGR12" s="41"/>
      <c r="UGS12" s="41"/>
      <c r="UGT12" s="41"/>
      <c r="UGU12" s="41"/>
      <c r="UGV12" s="41"/>
      <c r="UGW12" s="41"/>
      <c r="UGX12" s="41"/>
      <c r="UGY12" s="41"/>
      <c r="UGZ12" s="41"/>
      <c r="UHA12" s="41"/>
      <c r="UHB12" s="41"/>
      <c r="UHC12" s="41"/>
      <c r="UHD12" s="41"/>
      <c r="UHE12" s="41"/>
      <c r="UHF12" s="41"/>
      <c r="UHG12" s="41"/>
      <c r="UHH12" s="41"/>
      <c r="UHI12" s="41"/>
      <c r="UHJ12" s="41"/>
      <c r="UHK12" s="41"/>
      <c r="UHL12" s="41"/>
      <c r="UHM12" s="41"/>
      <c r="UHN12" s="41"/>
      <c r="UHO12" s="41"/>
      <c r="UHP12" s="41"/>
      <c r="UHQ12" s="41"/>
      <c r="UHR12" s="41"/>
      <c r="UHS12" s="41"/>
      <c r="UHT12" s="41"/>
      <c r="UHU12" s="41"/>
      <c r="UHV12" s="41"/>
      <c r="UHW12" s="41"/>
      <c r="UHX12" s="41"/>
      <c r="UHY12" s="41"/>
      <c r="UHZ12" s="41"/>
      <c r="UIA12" s="41"/>
      <c r="UIB12" s="41"/>
      <c r="UIC12" s="41"/>
      <c r="UID12" s="41"/>
      <c r="UIE12" s="41"/>
      <c r="UIF12" s="41"/>
      <c r="UIG12" s="41"/>
      <c r="UIH12" s="41"/>
      <c r="UII12" s="41"/>
      <c r="UIJ12" s="41"/>
      <c r="UIK12" s="41"/>
      <c r="UIL12" s="41"/>
      <c r="UIM12" s="41"/>
      <c r="UIN12" s="41"/>
      <c r="UIO12" s="41"/>
      <c r="UIP12" s="41"/>
      <c r="UIQ12" s="41"/>
      <c r="UIR12" s="41"/>
      <c r="UIS12" s="41"/>
      <c r="UIT12" s="41"/>
      <c r="UIU12" s="41"/>
      <c r="UIV12" s="41"/>
      <c r="UIW12" s="41"/>
      <c r="UIX12" s="41"/>
      <c r="UIY12" s="41"/>
      <c r="UIZ12" s="41"/>
      <c r="UJA12" s="41"/>
      <c r="UJB12" s="41"/>
      <c r="UJC12" s="41"/>
      <c r="UJD12" s="41"/>
      <c r="UJE12" s="41"/>
      <c r="UJF12" s="41"/>
      <c r="UJG12" s="41"/>
      <c r="UJH12" s="41"/>
      <c r="UJI12" s="41"/>
      <c r="UJJ12" s="41"/>
      <c r="UJK12" s="41"/>
      <c r="UJL12" s="41"/>
      <c r="UJM12" s="41"/>
      <c r="UJN12" s="41"/>
      <c r="UJO12" s="41"/>
      <c r="UJP12" s="41"/>
      <c r="UJQ12" s="41"/>
      <c r="UJR12" s="41"/>
      <c r="UJS12" s="41"/>
      <c r="UJT12" s="41"/>
      <c r="UJU12" s="41"/>
      <c r="UJV12" s="41"/>
      <c r="UJW12" s="41"/>
      <c r="UJX12" s="41"/>
      <c r="UJY12" s="41"/>
      <c r="UJZ12" s="41"/>
      <c r="UKA12" s="41"/>
      <c r="UKB12" s="41"/>
      <c r="UKC12" s="41"/>
      <c r="UKD12" s="41"/>
      <c r="UKE12" s="41"/>
      <c r="UKF12" s="41"/>
      <c r="UKG12" s="41"/>
      <c r="UKH12" s="41"/>
      <c r="UKI12" s="41"/>
      <c r="UKJ12" s="41"/>
      <c r="UKK12" s="41"/>
      <c r="UKL12" s="41"/>
      <c r="UKM12" s="41"/>
      <c r="UKN12" s="41"/>
      <c r="UKO12" s="41"/>
      <c r="UKP12" s="41"/>
      <c r="UKQ12" s="41"/>
      <c r="UKR12" s="41"/>
      <c r="UKS12" s="41"/>
      <c r="UKT12" s="41"/>
      <c r="UKU12" s="41"/>
      <c r="UKV12" s="41"/>
      <c r="UKW12" s="41"/>
      <c r="UKX12" s="41"/>
      <c r="UKY12" s="41"/>
      <c r="UKZ12" s="41"/>
      <c r="ULA12" s="41"/>
      <c r="ULB12" s="41"/>
      <c r="ULC12" s="41"/>
      <c r="ULD12" s="41"/>
      <c r="ULE12" s="41"/>
      <c r="ULF12" s="41"/>
      <c r="ULG12" s="41"/>
      <c r="ULH12" s="41"/>
      <c r="ULI12" s="41"/>
      <c r="ULJ12" s="41"/>
      <c r="ULK12" s="41"/>
      <c r="ULL12" s="41"/>
      <c r="ULM12" s="41"/>
      <c r="ULN12" s="41"/>
      <c r="ULO12" s="41"/>
      <c r="ULP12" s="41"/>
      <c r="ULQ12" s="41"/>
      <c r="ULR12" s="41"/>
      <c r="ULS12" s="41"/>
      <c r="ULT12" s="41"/>
      <c r="ULU12" s="41"/>
      <c r="ULV12" s="41"/>
      <c r="ULW12" s="41"/>
      <c r="ULX12" s="41"/>
      <c r="ULY12" s="41"/>
      <c r="ULZ12" s="41"/>
      <c r="UMA12" s="41"/>
      <c r="UMB12" s="41"/>
      <c r="UMC12" s="41"/>
      <c r="UMD12" s="41"/>
      <c r="UME12" s="41"/>
      <c r="UMF12" s="41"/>
      <c r="UMG12" s="41"/>
      <c r="UMH12" s="41"/>
      <c r="UMI12" s="41"/>
      <c r="UMJ12" s="41"/>
      <c r="UMK12" s="41"/>
      <c r="UML12" s="41"/>
      <c r="UMM12" s="41"/>
      <c r="UMN12" s="41"/>
      <c r="UMO12" s="41"/>
      <c r="UMP12" s="41"/>
      <c r="UMQ12" s="41"/>
      <c r="UMR12" s="41"/>
      <c r="UMS12" s="41"/>
      <c r="UMT12" s="41"/>
      <c r="UMU12" s="41"/>
      <c r="UMV12" s="41"/>
      <c r="UMW12" s="41"/>
      <c r="UMX12" s="41"/>
      <c r="UMY12" s="41"/>
      <c r="UMZ12" s="41"/>
      <c r="UNA12" s="41"/>
      <c r="UNB12" s="41"/>
      <c r="UNC12" s="41"/>
      <c r="UND12" s="41"/>
      <c r="UNE12" s="41"/>
      <c r="UNF12" s="41"/>
      <c r="UNG12" s="41"/>
      <c r="UNH12" s="41"/>
      <c r="UNI12" s="41"/>
      <c r="UNJ12" s="41"/>
      <c r="UNK12" s="41"/>
      <c r="UNL12" s="41"/>
      <c r="UNM12" s="41"/>
      <c r="UNN12" s="41"/>
      <c r="UNO12" s="41"/>
      <c r="UNP12" s="41"/>
      <c r="UNQ12" s="41"/>
      <c r="UNR12" s="41"/>
      <c r="UNS12" s="41"/>
      <c r="UNT12" s="41"/>
      <c r="UNU12" s="41"/>
      <c r="UNV12" s="41"/>
      <c r="UNW12" s="41"/>
      <c r="UNX12" s="41"/>
      <c r="UNY12" s="41"/>
      <c r="UNZ12" s="41"/>
      <c r="UOA12" s="41"/>
      <c r="UOB12" s="41"/>
      <c r="UOC12" s="41"/>
      <c r="UOD12" s="41"/>
      <c r="UOE12" s="41"/>
      <c r="UOF12" s="41"/>
      <c r="UOG12" s="41"/>
      <c r="UOH12" s="41"/>
      <c r="UOI12" s="41"/>
      <c r="UOJ12" s="41"/>
      <c r="UOK12" s="41"/>
      <c r="UOL12" s="41"/>
      <c r="UOM12" s="41"/>
      <c r="UON12" s="41"/>
      <c r="UOO12" s="41"/>
      <c r="UOP12" s="41"/>
      <c r="UOQ12" s="41"/>
      <c r="UOR12" s="41"/>
      <c r="UOS12" s="41"/>
      <c r="UOT12" s="41"/>
      <c r="UOU12" s="41"/>
      <c r="UOV12" s="41"/>
      <c r="UOW12" s="41"/>
      <c r="UOX12" s="41"/>
      <c r="UOY12" s="41"/>
      <c r="UOZ12" s="41"/>
      <c r="UPA12" s="41"/>
      <c r="UPB12" s="41"/>
      <c r="UPC12" s="41"/>
      <c r="UPD12" s="41"/>
      <c r="UPE12" s="41"/>
      <c r="UPF12" s="41"/>
      <c r="UPG12" s="41"/>
      <c r="UPH12" s="41"/>
      <c r="UPI12" s="41"/>
      <c r="UPJ12" s="41"/>
      <c r="UPK12" s="41"/>
      <c r="UPL12" s="41"/>
      <c r="UPM12" s="41"/>
      <c r="UPN12" s="41"/>
      <c r="UPO12" s="41"/>
      <c r="UPP12" s="41"/>
      <c r="UPQ12" s="41"/>
      <c r="UPR12" s="41"/>
      <c r="UPS12" s="41"/>
      <c r="UPT12" s="41"/>
      <c r="UPU12" s="41"/>
      <c r="UPV12" s="41"/>
      <c r="UPW12" s="41"/>
      <c r="UPX12" s="41"/>
      <c r="UPY12" s="41"/>
      <c r="UPZ12" s="41"/>
      <c r="UQA12" s="41"/>
      <c r="UQB12" s="41"/>
      <c r="UQC12" s="41"/>
      <c r="UQD12" s="41"/>
      <c r="UQE12" s="41"/>
      <c r="UQF12" s="41"/>
      <c r="UQG12" s="41"/>
      <c r="UQH12" s="41"/>
      <c r="UQI12" s="41"/>
      <c r="UQJ12" s="41"/>
      <c r="UQK12" s="41"/>
      <c r="UQL12" s="41"/>
      <c r="UQM12" s="41"/>
      <c r="UQN12" s="41"/>
      <c r="UQO12" s="41"/>
      <c r="UQP12" s="41"/>
      <c r="UQQ12" s="41"/>
      <c r="UQR12" s="41"/>
      <c r="UQS12" s="41"/>
      <c r="UQT12" s="41"/>
      <c r="UQU12" s="41"/>
      <c r="UQV12" s="41"/>
      <c r="UQW12" s="41"/>
      <c r="UQX12" s="41"/>
      <c r="UQY12" s="41"/>
      <c r="UQZ12" s="41"/>
      <c r="URA12" s="41"/>
      <c r="URB12" s="41"/>
      <c r="URC12" s="41"/>
      <c r="URD12" s="41"/>
      <c r="URE12" s="41"/>
      <c r="URF12" s="41"/>
      <c r="URG12" s="41"/>
      <c r="URH12" s="41"/>
      <c r="URI12" s="41"/>
      <c r="URJ12" s="41"/>
      <c r="URK12" s="41"/>
      <c r="URL12" s="41"/>
      <c r="URM12" s="41"/>
      <c r="URN12" s="41"/>
      <c r="URO12" s="41"/>
      <c r="URP12" s="41"/>
      <c r="URQ12" s="41"/>
      <c r="URR12" s="41"/>
      <c r="URS12" s="41"/>
      <c r="URT12" s="41"/>
      <c r="URU12" s="41"/>
      <c r="URV12" s="41"/>
      <c r="URW12" s="41"/>
      <c r="URX12" s="41"/>
      <c r="URY12" s="41"/>
      <c r="URZ12" s="41"/>
      <c r="USA12" s="41"/>
      <c r="USB12" s="41"/>
      <c r="USC12" s="41"/>
      <c r="USD12" s="41"/>
      <c r="USE12" s="41"/>
      <c r="USF12" s="41"/>
      <c r="USG12" s="41"/>
      <c r="USH12" s="41"/>
      <c r="USI12" s="41"/>
      <c r="USJ12" s="41"/>
      <c r="USK12" s="41"/>
      <c r="USL12" s="41"/>
      <c r="USM12" s="41"/>
      <c r="USN12" s="41"/>
      <c r="USO12" s="41"/>
      <c r="USP12" s="41"/>
      <c r="USQ12" s="41"/>
      <c r="USR12" s="41"/>
      <c r="USS12" s="41"/>
      <c r="UST12" s="41"/>
      <c r="USU12" s="41"/>
      <c r="USV12" s="41"/>
      <c r="USW12" s="41"/>
      <c r="USX12" s="41"/>
      <c r="USY12" s="41"/>
      <c r="USZ12" s="41"/>
      <c r="UTA12" s="41"/>
      <c r="UTB12" s="41"/>
      <c r="UTC12" s="41"/>
      <c r="UTD12" s="41"/>
      <c r="UTE12" s="41"/>
      <c r="UTF12" s="41"/>
      <c r="UTG12" s="41"/>
      <c r="UTH12" s="41"/>
      <c r="UTI12" s="41"/>
      <c r="UTJ12" s="41"/>
      <c r="UTK12" s="41"/>
      <c r="UTL12" s="41"/>
      <c r="UTM12" s="41"/>
      <c r="UTN12" s="41"/>
      <c r="UTO12" s="41"/>
      <c r="UTP12" s="41"/>
      <c r="UTQ12" s="41"/>
      <c r="UTR12" s="41"/>
      <c r="UTS12" s="41"/>
      <c r="UTT12" s="41"/>
      <c r="UTU12" s="41"/>
      <c r="UTV12" s="41"/>
      <c r="UTW12" s="41"/>
      <c r="UTX12" s="41"/>
      <c r="UTY12" s="41"/>
      <c r="UTZ12" s="41"/>
      <c r="UUA12" s="41"/>
      <c r="UUB12" s="41"/>
      <c r="UUC12" s="41"/>
      <c r="UUD12" s="41"/>
      <c r="UUE12" s="41"/>
      <c r="UUF12" s="41"/>
      <c r="UUG12" s="41"/>
      <c r="UUH12" s="41"/>
      <c r="UUI12" s="41"/>
      <c r="UUJ12" s="41"/>
      <c r="UUK12" s="41"/>
      <c r="UUL12" s="41"/>
      <c r="UUM12" s="41"/>
      <c r="UUN12" s="41"/>
      <c r="UUO12" s="41"/>
      <c r="UUP12" s="41"/>
      <c r="UUQ12" s="41"/>
      <c r="UUR12" s="41"/>
      <c r="UUS12" s="41"/>
      <c r="UUT12" s="41"/>
      <c r="UUU12" s="41"/>
      <c r="UUV12" s="41"/>
      <c r="UUW12" s="41"/>
      <c r="UUX12" s="41"/>
      <c r="UUY12" s="41"/>
      <c r="UUZ12" s="41"/>
      <c r="UVA12" s="41"/>
      <c r="UVB12" s="41"/>
      <c r="UVC12" s="41"/>
      <c r="UVD12" s="41"/>
      <c r="UVE12" s="41"/>
      <c r="UVF12" s="41"/>
      <c r="UVG12" s="41"/>
      <c r="UVH12" s="41"/>
      <c r="UVI12" s="41"/>
      <c r="UVJ12" s="41"/>
      <c r="UVK12" s="41"/>
      <c r="UVL12" s="41"/>
      <c r="UVM12" s="41"/>
      <c r="UVN12" s="41"/>
      <c r="UVO12" s="41"/>
      <c r="UVP12" s="41"/>
      <c r="UVQ12" s="41"/>
      <c r="UVR12" s="41"/>
      <c r="UVS12" s="41"/>
      <c r="UVT12" s="41"/>
      <c r="UVU12" s="41"/>
      <c r="UVV12" s="41"/>
      <c r="UVW12" s="41"/>
      <c r="UVX12" s="41"/>
      <c r="UVY12" s="41"/>
      <c r="UVZ12" s="41"/>
      <c r="UWA12" s="41"/>
      <c r="UWB12" s="41"/>
      <c r="UWC12" s="41"/>
      <c r="UWD12" s="41"/>
      <c r="UWE12" s="41"/>
      <c r="UWF12" s="41"/>
      <c r="UWG12" s="41"/>
      <c r="UWH12" s="41"/>
      <c r="UWI12" s="41"/>
      <c r="UWJ12" s="41"/>
      <c r="UWK12" s="41"/>
      <c r="UWL12" s="41"/>
      <c r="UWM12" s="41"/>
      <c r="UWN12" s="41"/>
      <c r="UWO12" s="41"/>
      <c r="UWP12" s="41"/>
      <c r="UWQ12" s="41"/>
      <c r="UWR12" s="41"/>
      <c r="UWS12" s="41"/>
      <c r="UWT12" s="41"/>
      <c r="UWU12" s="41"/>
      <c r="UWV12" s="41"/>
      <c r="UWW12" s="41"/>
      <c r="UWX12" s="41"/>
      <c r="UWY12" s="41"/>
      <c r="UWZ12" s="41"/>
      <c r="UXA12" s="41"/>
      <c r="UXB12" s="41"/>
      <c r="UXC12" s="41"/>
      <c r="UXD12" s="41"/>
      <c r="UXE12" s="41"/>
      <c r="UXF12" s="41"/>
      <c r="UXG12" s="41"/>
      <c r="UXH12" s="41"/>
      <c r="UXI12" s="41"/>
      <c r="UXJ12" s="41"/>
      <c r="UXK12" s="41"/>
      <c r="UXL12" s="41"/>
      <c r="UXM12" s="41"/>
      <c r="UXN12" s="41"/>
      <c r="UXO12" s="41"/>
      <c r="UXP12" s="41"/>
      <c r="UXQ12" s="41"/>
      <c r="UXR12" s="41"/>
      <c r="UXS12" s="41"/>
      <c r="UXT12" s="41"/>
      <c r="UXU12" s="41"/>
      <c r="UXV12" s="41"/>
      <c r="UXW12" s="41"/>
      <c r="UXX12" s="41"/>
      <c r="UXY12" s="41"/>
      <c r="UXZ12" s="41"/>
      <c r="UYA12" s="41"/>
      <c r="UYB12" s="41"/>
      <c r="UYC12" s="41"/>
      <c r="UYD12" s="41"/>
      <c r="UYE12" s="41"/>
      <c r="UYF12" s="41"/>
      <c r="UYG12" s="41"/>
      <c r="UYH12" s="41"/>
      <c r="UYI12" s="41"/>
      <c r="UYJ12" s="41"/>
      <c r="UYK12" s="41"/>
      <c r="UYL12" s="41"/>
      <c r="UYM12" s="41"/>
      <c r="UYN12" s="41"/>
      <c r="UYO12" s="41"/>
      <c r="UYP12" s="41"/>
      <c r="UYQ12" s="41"/>
      <c r="UYR12" s="41"/>
      <c r="UYS12" s="41"/>
      <c r="UYT12" s="41"/>
      <c r="UYU12" s="41"/>
      <c r="UYV12" s="41"/>
      <c r="UYW12" s="41"/>
      <c r="UYX12" s="41"/>
      <c r="UYY12" s="41"/>
      <c r="UYZ12" s="41"/>
      <c r="UZA12" s="41"/>
      <c r="UZB12" s="41"/>
      <c r="UZC12" s="41"/>
      <c r="UZD12" s="41"/>
      <c r="UZE12" s="41"/>
      <c r="UZF12" s="41"/>
      <c r="UZG12" s="41"/>
      <c r="UZH12" s="41"/>
      <c r="UZI12" s="41"/>
      <c r="UZJ12" s="41"/>
      <c r="UZK12" s="41"/>
      <c r="UZL12" s="41"/>
      <c r="UZM12" s="41"/>
      <c r="UZN12" s="41"/>
      <c r="UZO12" s="41"/>
      <c r="UZP12" s="41"/>
      <c r="UZQ12" s="41"/>
      <c r="UZR12" s="41"/>
      <c r="UZS12" s="41"/>
      <c r="UZT12" s="41"/>
      <c r="UZU12" s="41"/>
      <c r="UZV12" s="41"/>
      <c r="UZW12" s="41"/>
      <c r="UZX12" s="41"/>
      <c r="UZY12" s="41"/>
      <c r="UZZ12" s="41"/>
      <c r="VAA12" s="41"/>
      <c r="VAB12" s="41"/>
      <c r="VAC12" s="41"/>
      <c r="VAD12" s="41"/>
      <c r="VAE12" s="41"/>
      <c r="VAF12" s="41"/>
      <c r="VAG12" s="41"/>
      <c r="VAH12" s="41"/>
      <c r="VAI12" s="41"/>
      <c r="VAJ12" s="41"/>
      <c r="VAK12" s="41"/>
      <c r="VAL12" s="41"/>
      <c r="VAM12" s="41"/>
      <c r="VAN12" s="41"/>
      <c r="VAO12" s="41"/>
      <c r="VAP12" s="41"/>
      <c r="VAQ12" s="41"/>
      <c r="VAR12" s="41"/>
      <c r="VAS12" s="41"/>
      <c r="VAT12" s="41"/>
      <c r="VAU12" s="41"/>
      <c r="VAV12" s="41"/>
      <c r="VAW12" s="41"/>
      <c r="VAX12" s="41"/>
      <c r="VAY12" s="41"/>
      <c r="VAZ12" s="41"/>
      <c r="VBA12" s="41"/>
      <c r="VBB12" s="41"/>
      <c r="VBC12" s="41"/>
      <c r="VBD12" s="41"/>
      <c r="VBE12" s="41"/>
      <c r="VBF12" s="41"/>
      <c r="VBG12" s="41"/>
      <c r="VBH12" s="41"/>
      <c r="VBI12" s="41"/>
      <c r="VBJ12" s="41"/>
      <c r="VBK12" s="41"/>
      <c r="VBL12" s="41"/>
      <c r="VBM12" s="41"/>
      <c r="VBN12" s="41"/>
      <c r="VBO12" s="41"/>
      <c r="VBP12" s="41"/>
      <c r="VBQ12" s="41"/>
      <c r="VBR12" s="41"/>
      <c r="VBS12" s="41"/>
      <c r="VBT12" s="41"/>
      <c r="VBU12" s="41"/>
      <c r="VBV12" s="41"/>
      <c r="VBW12" s="41"/>
      <c r="VBX12" s="41"/>
      <c r="VBY12" s="41"/>
      <c r="VBZ12" s="41"/>
      <c r="VCA12" s="41"/>
      <c r="VCB12" s="41"/>
      <c r="VCC12" s="41"/>
      <c r="VCD12" s="41"/>
      <c r="VCE12" s="41"/>
      <c r="VCF12" s="41"/>
      <c r="VCG12" s="41"/>
      <c r="VCH12" s="41"/>
      <c r="VCI12" s="41"/>
      <c r="VCJ12" s="41"/>
      <c r="VCK12" s="41"/>
      <c r="VCL12" s="41"/>
      <c r="VCM12" s="41"/>
      <c r="VCN12" s="41"/>
      <c r="VCO12" s="41"/>
      <c r="VCP12" s="41"/>
      <c r="VCQ12" s="41"/>
      <c r="VCR12" s="41"/>
      <c r="VCS12" s="41"/>
      <c r="VCT12" s="41"/>
      <c r="VCU12" s="41"/>
      <c r="VCV12" s="41"/>
      <c r="VCW12" s="41"/>
      <c r="VCX12" s="41"/>
      <c r="VCY12" s="41"/>
      <c r="VCZ12" s="41"/>
      <c r="VDA12" s="41"/>
      <c r="VDB12" s="41"/>
      <c r="VDC12" s="41"/>
      <c r="VDD12" s="41"/>
      <c r="VDE12" s="41"/>
      <c r="VDF12" s="41"/>
      <c r="VDG12" s="41"/>
      <c r="VDH12" s="41"/>
      <c r="VDI12" s="41"/>
      <c r="VDJ12" s="41"/>
      <c r="VDK12" s="41"/>
      <c r="VDL12" s="41"/>
      <c r="VDM12" s="41"/>
      <c r="VDN12" s="41"/>
      <c r="VDO12" s="41"/>
      <c r="VDP12" s="41"/>
      <c r="VDQ12" s="41"/>
      <c r="VDR12" s="41"/>
      <c r="VDS12" s="41"/>
      <c r="VDT12" s="41"/>
      <c r="VDU12" s="41"/>
      <c r="VDV12" s="41"/>
      <c r="VDW12" s="41"/>
      <c r="VDX12" s="41"/>
      <c r="VDY12" s="41"/>
      <c r="VDZ12" s="41"/>
      <c r="VEA12" s="41"/>
      <c r="VEB12" s="41"/>
      <c r="VEC12" s="41"/>
      <c r="VED12" s="41"/>
      <c r="VEE12" s="41"/>
      <c r="VEF12" s="41"/>
      <c r="VEG12" s="41"/>
      <c r="VEH12" s="41"/>
      <c r="VEI12" s="41"/>
      <c r="VEJ12" s="41"/>
      <c r="VEK12" s="41"/>
      <c r="VEL12" s="41"/>
      <c r="VEM12" s="41"/>
      <c r="VEN12" s="41"/>
      <c r="VEO12" s="41"/>
      <c r="VEP12" s="41"/>
      <c r="VEQ12" s="41"/>
      <c r="VER12" s="41"/>
      <c r="VES12" s="41"/>
      <c r="VET12" s="41"/>
      <c r="VEU12" s="41"/>
      <c r="VEV12" s="41"/>
      <c r="VEW12" s="41"/>
      <c r="VEX12" s="41"/>
      <c r="VEY12" s="41"/>
      <c r="VEZ12" s="41"/>
      <c r="VFA12" s="41"/>
      <c r="VFB12" s="41"/>
      <c r="VFC12" s="41"/>
      <c r="VFD12" s="41"/>
      <c r="VFE12" s="41"/>
      <c r="VFF12" s="41"/>
      <c r="VFG12" s="41"/>
      <c r="VFH12" s="41"/>
      <c r="VFI12" s="41"/>
      <c r="VFJ12" s="41"/>
      <c r="VFK12" s="41"/>
      <c r="VFL12" s="41"/>
      <c r="VFM12" s="41"/>
      <c r="VFN12" s="41"/>
      <c r="VFO12" s="41"/>
      <c r="VFP12" s="41"/>
      <c r="VFQ12" s="41"/>
      <c r="VFR12" s="41"/>
      <c r="VFS12" s="41"/>
      <c r="VFT12" s="41"/>
      <c r="VFU12" s="41"/>
      <c r="VFV12" s="41"/>
      <c r="VFW12" s="41"/>
      <c r="VFX12" s="41"/>
      <c r="VFY12" s="41"/>
      <c r="VFZ12" s="41"/>
      <c r="VGA12" s="41"/>
      <c r="VGB12" s="41"/>
      <c r="VGC12" s="41"/>
      <c r="VGD12" s="41"/>
      <c r="VGE12" s="41"/>
      <c r="VGF12" s="41"/>
      <c r="VGG12" s="41"/>
      <c r="VGH12" s="41"/>
      <c r="VGI12" s="41"/>
      <c r="VGJ12" s="41"/>
      <c r="VGK12" s="41"/>
      <c r="VGL12" s="41"/>
      <c r="VGM12" s="41"/>
      <c r="VGN12" s="41"/>
      <c r="VGO12" s="41"/>
      <c r="VGP12" s="41"/>
      <c r="VGQ12" s="41"/>
      <c r="VGR12" s="41"/>
      <c r="VGS12" s="41"/>
      <c r="VGT12" s="41"/>
      <c r="VGU12" s="41"/>
      <c r="VGV12" s="41"/>
      <c r="VGW12" s="41"/>
      <c r="VGX12" s="41"/>
      <c r="VGY12" s="41"/>
      <c r="VGZ12" s="41"/>
      <c r="VHA12" s="41"/>
      <c r="VHB12" s="41"/>
      <c r="VHC12" s="41"/>
      <c r="VHD12" s="41"/>
      <c r="VHE12" s="41"/>
      <c r="VHF12" s="41"/>
      <c r="VHG12" s="41"/>
      <c r="VHH12" s="41"/>
      <c r="VHI12" s="41"/>
      <c r="VHJ12" s="41"/>
      <c r="VHK12" s="41"/>
      <c r="VHL12" s="41"/>
      <c r="VHM12" s="41"/>
      <c r="VHN12" s="41"/>
      <c r="VHO12" s="41"/>
      <c r="VHP12" s="41"/>
      <c r="VHQ12" s="41"/>
      <c r="VHR12" s="41"/>
      <c r="VHS12" s="41"/>
      <c r="VHT12" s="41"/>
      <c r="VHU12" s="41"/>
      <c r="VHV12" s="41"/>
      <c r="VHW12" s="41"/>
      <c r="VHX12" s="41"/>
      <c r="VHY12" s="41"/>
      <c r="VHZ12" s="41"/>
      <c r="VIA12" s="41"/>
      <c r="VIB12" s="41"/>
      <c r="VIC12" s="41"/>
      <c r="VID12" s="41"/>
      <c r="VIE12" s="41"/>
      <c r="VIF12" s="41"/>
      <c r="VIG12" s="41"/>
      <c r="VIH12" s="41"/>
      <c r="VII12" s="41"/>
      <c r="VIJ12" s="41"/>
      <c r="VIK12" s="41"/>
      <c r="VIL12" s="41"/>
      <c r="VIM12" s="41"/>
      <c r="VIN12" s="41"/>
      <c r="VIO12" s="41"/>
      <c r="VIP12" s="41"/>
      <c r="VIQ12" s="41"/>
      <c r="VIR12" s="41"/>
      <c r="VIS12" s="41"/>
      <c r="VIT12" s="41"/>
      <c r="VIU12" s="41"/>
      <c r="VIV12" s="41"/>
      <c r="VIW12" s="41"/>
      <c r="VIX12" s="41"/>
      <c r="VIY12" s="41"/>
      <c r="VIZ12" s="41"/>
      <c r="VJA12" s="41"/>
      <c r="VJB12" s="41"/>
      <c r="VJC12" s="41"/>
      <c r="VJD12" s="41"/>
      <c r="VJE12" s="41"/>
      <c r="VJF12" s="41"/>
      <c r="VJG12" s="41"/>
      <c r="VJH12" s="41"/>
      <c r="VJI12" s="41"/>
      <c r="VJJ12" s="41"/>
      <c r="VJK12" s="41"/>
      <c r="VJL12" s="41"/>
      <c r="VJM12" s="41"/>
      <c r="VJN12" s="41"/>
      <c r="VJO12" s="41"/>
      <c r="VJP12" s="41"/>
      <c r="VJQ12" s="41"/>
      <c r="VJR12" s="41"/>
      <c r="VJS12" s="41"/>
      <c r="VJT12" s="41"/>
      <c r="VJU12" s="41"/>
      <c r="VJV12" s="41"/>
      <c r="VJW12" s="41"/>
      <c r="VJX12" s="41"/>
      <c r="VJY12" s="41"/>
      <c r="VJZ12" s="41"/>
      <c r="VKA12" s="41"/>
      <c r="VKB12" s="41"/>
      <c r="VKC12" s="41"/>
      <c r="VKD12" s="41"/>
      <c r="VKE12" s="41"/>
      <c r="VKF12" s="41"/>
      <c r="VKG12" s="41"/>
      <c r="VKH12" s="41"/>
      <c r="VKI12" s="41"/>
      <c r="VKJ12" s="41"/>
      <c r="VKK12" s="41"/>
      <c r="VKL12" s="41"/>
      <c r="VKM12" s="41"/>
      <c r="VKN12" s="41"/>
      <c r="VKO12" s="41"/>
      <c r="VKP12" s="41"/>
      <c r="VKQ12" s="41"/>
      <c r="VKR12" s="41"/>
      <c r="VKS12" s="41"/>
      <c r="VKT12" s="41"/>
      <c r="VKU12" s="41"/>
      <c r="VKV12" s="41"/>
      <c r="VKW12" s="41"/>
      <c r="VKX12" s="41"/>
      <c r="VKY12" s="41"/>
      <c r="VKZ12" s="41"/>
      <c r="VLA12" s="41"/>
      <c r="VLB12" s="41"/>
      <c r="VLC12" s="41"/>
      <c r="VLD12" s="41"/>
      <c r="VLE12" s="41"/>
      <c r="VLF12" s="41"/>
      <c r="VLG12" s="41"/>
      <c r="VLH12" s="41"/>
      <c r="VLI12" s="41"/>
      <c r="VLJ12" s="41"/>
      <c r="VLK12" s="41"/>
      <c r="VLL12" s="41"/>
      <c r="VLM12" s="41"/>
      <c r="VLN12" s="41"/>
      <c r="VLO12" s="41"/>
      <c r="VLP12" s="41"/>
      <c r="VLQ12" s="41"/>
      <c r="VLR12" s="41"/>
      <c r="VLS12" s="41"/>
      <c r="VLT12" s="41"/>
      <c r="VLU12" s="41"/>
      <c r="VLV12" s="41"/>
      <c r="VLW12" s="41"/>
      <c r="VLX12" s="41"/>
      <c r="VLY12" s="41"/>
      <c r="VLZ12" s="41"/>
      <c r="VMA12" s="41"/>
      <c r="VMB12" s="41"/>
      <c r="VMC12" s="41"/>
      <c r="VMD12" s="41"/>
      <c r="VME12" s="41"/>
      <c r="VMF12" s="41"/>
      <c r="VMG12" s="41"/>
      <c r="VMH12" s="41"/>
      <c r="VMI12" s="41"/>
      <c r="VMJ12" s="41"/>
      <c r="VMK12" s="41"/>
      <c r="VML12" s="41"/>
      <c r="VMM12" s="41"/>
      <c r="VMN12" s="41"/>
      <c r="VMO12" s="41"/>
      <c r="VMP12" s="41"/>
      <c r="VMQ12" s="41"/>
      <c r="VMR12" s="41"/>
      <c r="VMS12" s="41"/>
      <c r="VMT12" s="41"/>
      <c r="VMU12" s="41"/>
      <c r="VMV12" s="41"/>
      <c r="VMW12" s="41"/>
      <c r="VMX12" s="41"/>
      <c r="VMY12" s="41"/>
      <c r="VMZ12" s="41"/>
      <c r="VNA12" s="41"/>
      <c r="VNB12" s="41"/>
      <c r="VNC12" s="41"/>
      <c r="VND12" s="41"/>
      <c r="VNE12" s="41"/>
      <c r="VNF12" s="41"/>
      <c r="VNG12" s="41"/>
      <c r="VNH12" s="41"/>
      <c r="VNI12" s="41"/>
      <c r="VNJ12" s="41"/>
      <c r="VNK12" s="41"/>
      <c r="VNL12" s="41"/>
      <c r="VNM12" s="41"/>
      <c r="VNN12" s="41"/>
      <c r="VNO12" s="41"/>
      <c r="VNP12" s="41"/>
      <c r="VNQ12" s="41"/>
      <c r="VNR12" s="41"/>
      <c r="VNS12" s="41"/>
      <c r="VNT12" s="41"/>
      <c r="VNU12" s="41"/>
      <c r="VNV12" s="41"/>
      <c r="VNW12" s="41"/>
      <c r="VNX12" s="41"/>
      <c r="VNY12" s="41"/>
      <c r="VNZ12" s="41"/>
      <c r="VOA12" s="41"/>
      <c r="VOB12" s="41"/>
      <c r="VOC12" s="41"/>
      <c r="VOD12" s="41"/>
      <c r="VOE12" s="41"/>
      <c r="VOF12" s="41"/>
      <c r="VOG12" s="41"/>
      <c r="VOH12" s="41"/>
      <c r="VOI12" s="41"/>
      <c r="VOJ12" s="41"/>
      <c r="VOK12" s="41"/>
      <c r="VOL12" s="41"/>
      <c r="VOM12" s="41"/>
      <c r="VON12" s="41"/>
      <c r="VOO12" s="41"/>
      <c r="VOP12" s="41"/>
      <c r="VOQ12" s="41"/>
      <c r="VOR12" s="41"/>
      <c r="VOS12" s="41"/>
      <c r="VOT12" s="41"/>
      <c r="VOU12" s="41"/>
      <c r="VOV12" s="41"/>
      <c r="VOW12" s="41"/>
      <c r="VOX12" s="41"/>
      <c r="VOY12" s="41"/>
      <c r="VOZ12" s="41"/>
      <c r="VPA12" s="41"/>
      <c r="VPB12" s="41"/>
      <c r="VPC12" s="41"/>
      <c r="VPD12" s="41"/>
      <c r="VPE12" s="41"/>
      <c r="VPF12" s="41"/>
      <c r="VPG12" s="41"/>
      <c r="VPH12" s="41"/>
      <c r="VPI12" s="41"/>
      <c r="VPJ12" s="41"/>
      <c r="VPK12" s="41"/>
      <c r="VPL12" s="41"/>
      <c r="VPM12" s="41"/>
      <c r="VPN12" s="41"/>
      <c r="VPO12" s="41"/>
      <c r="VPP12" s="41"/>
      <c r="VPQ12" s="41"/>
      <c r="VPR12" s="41"/>
      <c r="VPS12" s="41"/>
      <c r="VPT12" s="41"/>
      <c r="VPU12" s="41"/>
      <c r="VPV12" s="41"/>
      <c r="VPW12" s="41"/>
      <c r="VPX12" s="41"/>
      <c r="VPY12" s="41"/>
      <c r="VPZ12" s="41"/>
      <c r="VQA12" s="41"/>
      <c r="VQB12" s="41"/>
      <c r="VQC12" s="41"/>
      <c r="VQD12" s="41"/>
      <c r="VQE12" s="41"/>
      <c r="VQF12" s="41"/>
      <c r="VQG12" s="41"/>
      <c r="VQH12" s="41"/>
      <c r="VQI12" s="41"/>
      <c r="VQJ12" s="41"/>
      <c r="VQK12" s="41"/>
      <c r="VQL12" s="41"/>
      <c r="VQM12" s="41"/>
      <c r="VQN12" s="41"/>
      <c r="VQO12" s="41"/>
      <c r="VQP12" s="41"/>
      <c r="VQQ12" s="41"/>
      <c r="VQR12" s="41"/>
      <c r="VQS12" s="41"/>
      <c r="VQT12" s="41"/>
      <c r="VQU12" s="41"/>
      <c r="VQV12" s="41"/>
      <c r="VQW12" s="41"/>
      <c r="VQX12" s="41"/>
      <c r="VQY12" s="41"/>
      <c r="VQZ12" s="41"/>
      <c r="VRA12" s="41"/>
      <c r="VRB12" s="41"/>
      <c r="VRC12" s="41"/>
      <c r="VRD12" s="41"/>
      <c r="VRE12" s="41"/>
      <c r="VRF12" s="41"/>
      <c r="VRG12" s="41"/>
      <c r="VRH12" s="41"/>
      <c r="VRI12" s="41"/>
      <c r="VRJ12" s="41"/>
      <c r="VRK12" s="41"/>
      <c r="VRL12" s="41"/>
      <c r="VRM12" s="41"/>
      <c r="VRN12" s="41"/>
      <c r="VRO12" s="41"/>
      <c r="VRP12" s="41"/>
      <c r="VRQ12" s="41"/>
      <c r="VRR12" s="41"/>
      <c r="VRS12" s="41"/>
      <c r="VRT12" s="41"/>
      <c r="VRU12" s="41"/>
      <c r="VRV12" s="41"/>
      <c r="VRW12" s="41"/>
      <c r="VRX12" s="41"/>
      <c r="VRY12" s="41"/>
      <c r="VRZ12" s="41"/>
      <c r="VSA12" s="41"/>
      <c r="VSB12" s="41"/>
      <c r="VSC12" s="41"/>
      <c r="VSD12" s="41"/>
      <c r="VSE12" s="41"/>
      <c r="VSF12" s="41"/>
      <c r="VSG12" s="41"/>
      <c r="VSH12" s="41"/>
      <c r="VSI12" s="41"/>
      <c r="VSJ12" s="41"/>
      <c r="VSK12" s="41"/>
      <c r="VSL12" s="41"/>
      <c r="VSM12" s="41"/>
      <c r="VSN12" s="41"/>
      <c r="VSO12" s="41"/>
      <c r="VSP12" s="41"/>
      <c r="VSQ12" s="41"/>
      <c r="VSR12" s="41"/>
      <c r="VSS12" s="41"/>
      <c r="VST12" s="41"/>
      <c r="VSU12" s="41"/>
      <c r="VSV12" s="41"/>
      <c r="VSW12" s="41"/>
      <c r="VSX12" s="41"/>
      <c r="VSY12" s="41"/>
      <c r="VSZ12" s="41"/>
      <c r="VTA12" s="41"/>
      <c r="VTB12" s="41"/>
      <c r="VTC12" s="41"/>
      <c r="VTD12" s="41"/>
      <c r="VTE12" s="41"/>
      <c r="VTF12" s="41"/>
      <c r="VTG12" s="41"/>
      <c r="VTH12" s="41"/>
      <c r="VTI12" s="41"/>
      <c r="VTJ12" s="41"/>
      <c r="VTK12" s="41"/>
      <c r="VTL12" s="41"/>
      <c r="VTM12" s="41"/>
      <c r="VTN12" s="41"/>
      <c r="VTO12" s="41"/>
      <c r="VTP12" s="41"/>
      <c r="VTQ12" s="41"/>
      <c r="VTR12" s="41"/>
      <c r="VTS12" s="41"/>
      <c r="VTT12" s="41"/>
      <c r="VTU12" s="41"/>
      <c r="VTV12" s="41"/>
      <c r="VTW12" s="41"/>
      <c r="VTX12" s="41"/>
      <c r="VTY12" s="41"/>
      <c r="VTZ12" s="41"/>
      <c r="VUA12" s="41"/>
      <c r="VUB12" s="41"/>
      <c r="VUC12" s="41"/>
      <c r="VUD12" s="41"/>
      <c r="VUE12" s="41"/>
      <c r="VUF12" s="41"/>
      <c r="VUG12" s="41"/>
      <c r="VUH12" s="41"/>
      <c r="VUI12" s="41"/>
      <c r="VUJ12" s="41"/>
      <c r="VUK12" s="41"/>
      <c r="VUL12" s="41"/>
      <c r="VUM12" s="41"/>
      <c r="VUN12" s="41"/>
      <c r="VUO12" s="41"/>
      <c r="VUP12" s="41"/>
      <c r="VUQ12" s="41"/>
      <c r="VUR12" s="41"/>
      <c r="VUS12" s="41"/>
      <c r="VUT12" s="41"/>
      <c r="VUU12" s="41"/>
      <c r="VUV12" s="41"/>
      <c r="VUW12" s="41"/>
      <c r="VUX12" s="41"/>
      <c r="VUY12" s="41"/>
      <c r="VUZ12" s="41"/>
      <c r="VVA12" s="41"/>
      <c r="VVB12" s="41"/>
      <c r="VVC12" s="41"/>
      <c r="VVD12" s="41"/>
      <c r="VVE12" s="41"/>
      <c r="VVF12" s="41"/>
      <c r="VVG12" s="41"/>
      <c r="VVH12" s="41"/>
      <c r="VVI12" s="41"/>
      <c r="VVJ12" s="41"/>
      <c r="VVK12" s="41"/>
      <c r="VVL12" s="41"/>
      <c r="VVM12" s="41"/>
      <c r="VVN12" s="41"/>
      <c r="VVO12" s="41"/>
      <c r="VVP12" s="41"/>
      <c r="VVQ12" s="41"/>
      <c r="VVR12" s="41"/>
      <c r="VVS12" s="41"/>
      <c r="VVT12" s="41"/>
      <c r="VVU12" s="41"/>
      <c r="VVV12" s="41"/>
      <c r="VVW12" s="41"/>
      <c r="VVX12" s="41"/>
      <c r="VVY12" s="41"/>
      <c r="VVZ12" s="41"/>
      <c r="VWA12" s="41"/>
      <c r="VWB12" s="41"/>
      <c r="VWC12" s="41"/>
      <c r="VWD12" s="41"/>
      <c r="VWE12" s="41"/>
      <c r="VWF12" s="41"/>
      <c r="VWG12" s="41"/>
      <c r="VWH12" s="41"/>
      <c r="VWI12" s="41"/>
      <c r="VWJ12" s="41"/>
      <c r="VWK12" s="41"/>
      <c r="VWL12" s="41"/>
      <c r="VWM12" s="41"/>
      <c r="VWN12" s="41"/>
      <c r="VWO12" s="41"/>
      <c r="VWP12" s="41"/>
      <c r="VWQ12" s="41"/>
      <c r="VWR12" s="41"/>
      <c r="VWS12" s="41"/>
      <c r="VWT12" s="41"/>
      <c r="VWU12" s="41"/>
      <c r="VWV12" s="41"/>
      <c r="VWW12" s="41"/>
      <c r="VWX12" s="41"/>
      <c r="VWY12" s="41"/>
      <c r="VWZ12" s="41"/>
      <c r="VXA12" s="41"/>
      <c r="VXB12" s="41"/>
      <c r="VXC12" s="41"/>
      <c r="VXD12" s="41"/>
      <c r="VXE12" s="41"/>
      <c r="VXF12" s="41"/>
      <c r="VXG12" s="41"/>
      <c r="VXH12" s="41"/>
      <c r="VXI12" s="41"/>
      <c r="VXJ12" s="41"/>
      <c r="VXK12" s="41"/>
      <c r="VXL12" s="41"/>
      <c r="VXM12" s="41"/>
      <c r="VXN12" s="41"/>
      <c r="VXO12" s="41"/>
      <c r="VXP12" s="41"/>
      <c r="VXQ12" s="41"/>
      <c r="VXR12" s="41"/>
      <c r="VXS12" s="41"/>
      <c r="VXT12" s="41"/>
      <c r="VXU12" s="41"/>
      <c r="VXV12" s="41"/>
      <c r="VXW12" s="41"/>
      <c r="VXX12" s="41"/>
      <c r="VXY12" s="41"/>
      <c r="VXZ12" s="41"/>
      <c r="VYA12" s="41"/>
      <c r="VYB12" s="41"/>
      <c r="VYC12" s="41"/>
      <c r="VYD12" s="41"/>
      <c r="VYE12" s="41"/>
      <c r="VYF12" s="41"/>
      <c r="VYG12" s="41"/>
      <c r="VYH12" s="41"/>
      <c r="VYI12" s="41"/>
      <c r="VYJ12" s="41"/>
      <c r="VYK12" s="41"/>
      <c r="VYL12" s="41"/>
      <c r="VYM12" s="41"/>
      <c r="VYN12" s="41"/>
      <c r="VYO12" s="41"/>
      <c r="VYP12" s="41"/>
      <c r="VYQ12" s="41"/>
      <c r="VYR12" s="41"/>
      <c r="VYS12" s="41"/>
      <c r="VYT12" s="41"/>
      <c r="VYU12" s="41"/>
      <c r="VYV12" s="41"/>
      <c r="VYW12" s="41"/>
      <c r="VYX12" s="41"/>
      <c r="VYY12" s="41"/>
      <c r="VYZ12" s="41"/>
      <c r="VZA12" s="41"/>
      <c r="VZB12" s="41"/>
      <c r="VZC12" s="41"/>
      <c r="VZD12" s="41"/>
      <c r="VZE12" s="41"/>
      <c r="VZF12" s="41"/>
      <c r="VZG12" s="41"/>
      <c r="VZH12" s="41"/>
      <c r="VZI12" s="41"/>
      <c r="VZJ12" s="41"/>
      <c r="VZK12" s="41"/>
      <c r="VZL12" s="41"/>
      <c r="VZM12" s="41"/>
      <c r="VZN12" s="41"/>
      <c r="VZO12" s="41"/>
      <c r="VZP12" s="41"/>
      <c r="VZQ12" s="41"/>
      <c r="VZR12" s="41"/>
      <c r="VZS12" s="41"/>
      <c r="VZT12" s="41"/>
      <c r="VZU12" s="41"/>
      <c r="VZV12" s="41"/>
      <c r="VZW12" s="41"/>
      <c r="VZX12" s="41"/>
      <c r="VZY12" s="41"/>
      <c r="VZZ12" s="41"/>
      <c r="WAA12" s="41"/>
      <c r="WAB12" s="41"/>
      <c r="WAC12" s="41"/>
      <c r="WAD12" s="41"/>
      <c r="WAE12" s="41"/>
      <c r="WAF12" s="41"/>
      <c r="WAG12" s="41"/>
      <c r="WAH12" s="41"/>
      <c r="WAI12" s="41"/>
      <c r="WAJ12" s="41"/>
      <c r="WAK12" s="41"/>
      <c r="WAL12" s="41"/>
      <c r="WAM12" s="41"/>
      <c r="WAN12" s="41"/>
      <c r="WAO12" s="41"/>
      <c r="WAP12" s="41"/>
      <c r="WAQ12" s="41"/>
      <c r="WAR12" s="41"/>
      <c r="WAS12" s="41"/>
      <c r="WAT12" s="41"/>
      <c r="WAU12" s="41"/>
      <c r="WAV12" s="41"/>
      <c r="WAW12" s="41"/>
      <c r="WAX12" s="41"/>
      <c r="WAY12" s="41"/>
      <c r="WAZ12" s="41"/>
      <c r="WBA12" s="41"/>
      <c r="WBB12" s="41"/>
      <c r="WBC12" s="41"/>
      <c r="WBD12" s="41"/>
      <c r="WBE12" s="41"/>
      <c r="WBF12" s="41"/>
      <c r="WBG12" s="41"/>
      <c r="WBH12" s="41"/>
      <c r="WBI12" s="41"/>
      <c r="WBJ12" s="41"/>
      <c r="WBK12" s="41"/>
      <c r="WBL12" s="41"/>
      <c r="WBM12" s="41"/>
      <c r="WBN12" s="41"/>
      <c r="WBO12" s="41"/>
      <c r="WBP12" s="41"/>
      <c r="WBQ12" s="41"/>
      <c r="WBR12" s="41"/>
      <c r="WBS12" s="41"/>
      <c r="WBT12" s="41"/>
      <c r="WBU12" s="41"/>
      <c r="WBV12" s="41"/>
      <c r="WBW12" s="41"/>
      <c r="WBX12" s="41"/>
      <c r="WBY12" s="41"/>
      <c r="WBZ12" s="41"/>
      <c r="WCA12" s="41"/>
      <c r="WCB12" s="41"/>
      <c r="WCC12" s="41"/>
      <c r="WCD12" s="41"/>
      <c r="WCE12" s="41"/>
      <c r="WCF12" s="41"/>
      <c r="WCG12" s="41"/>
      <c r="WCH12" s="41"/>
      <c r="WCI12" s="41"/>
      <c r="WCJ12" s="41"/>
      <c r="WCK12" s="41"/>
      <c r="WCL12" s="41"/>
      <c r="WCM12" s="41"/>
      <c r="WCN12" s="41"/>
      <c r="WCO12" s="41"/>
      <c r="WCP12" s="41"/>
      <c r="WCQ12" s="41"/>
      <c r="WCR12" s="41"/>
      <c r="WCS12" s="41"/>
      <c r="WCT12" s="41"/>
      <c r="WCU12" s="41"/>
      <c r="WCV12" s="41"/>
      <c r="WCW12" s="41"/>
      <c r="WCX12" s="41"/>
      <c r="WCY12" s="41"/>
      <c r="WCZ12" s="41"/>
      <c r="WDA12" s="41"/>
      <c r="WDB12" s="41"/>
      <c r="WDC12" s="41"/>
      <c r="WDD12" s="41"/>
      <c r="WDE12" s="41"/>
      <c r="WDF12" s="41"/>
      <c r="WDG12" s="41"/>
      <c r="WDH12" s="41"/>
      <c r="WDI12" s="41"/>
      <c r="WDJ12" s="41"/>
      <c r="WDK12" s="41"/>
      <c r="WDL12" s="41"/>
      <c r="WDM12" s="41"/>
      <c r="WDN12" s="41"/>
      <c r="WDO12" s="41"/>
      <c r="WDP12" s="41"/>
      <c r="WDQ12" s="41"/>
      <c r="WDR12" s="41"/>
      <c r="WDS12" s="41"/>
      <c r="WDT12" s="41"/>
      <c r="WDU12" s="41"/>
      <c r="WDV12" s="41"/>
      <c r="WDW12" s="41"/>
      <c r="WDX12" s="41"/>
      <c r="WDY12" s="41"/>
      <c r="WDZ12" s="41"/>
      <c r="WEA12" s="41"/>
      <c r="WEB12" s="41"/>
      <c r="WEC12" s="41"/>
      <c r="WED12" s="41"/>
      <c r="WEE12" s="41"/>
      <c r="WEF12" s="41"/>
      <c r="WEG12" s="41"/>
      <c r="WEH12" s="41"/>
      <c r="WEI12" s="41"/>
      <c r="WEJ12" s="41"/>
      <c r="WEK12" s="41"/>
      <c r="WEL12" s="41"/>
      <c r="WEM12" s="41"/>
      <c r="WEN12" s="41"/>
      <c r="WEO12" s="41"/>
      <c r="WEP12" s="41"/>
      <c r="WEQ12" s="41"/>
      <c r="WER12" s="41"/>
      <c r="WES12" s="41"/>
      <c r="WET12" s="41"/>
      <c r="WEU12" s="41"/>
      <c r="WEV12" s="41"/>
      <c r="WEW12" s="41"/>
      <c r="WEX12" s="41"/>
      <c r="WEY12" s="41"/>
      <c r="WEZ12" s="41"/>
      <c r="WFA12" s="41"/>
      <c r="WFB12" s="41"/>
      <c r="WFC12" s="41"/>
      <c r="WFD12" s="41"/>
      <c r="WFE12" s="41"/>
      <c r="WFF12" s="41"/>
      <c r="WFG12" s="41"/>
      <c r="WFH12" s="41"/>
      <c r="WFI12" s="41"/>
      <c r="WFJ12" s="41"/>
      <c r="WFK12" s="41"/>
      <c r="WFL12" s="41"/>
      <c r="WFM12" s="41"/>
      <c r="WFN12" s="41"/>
      <c r="WFO12" s="41"/>
      <c r="WFP12" s="41"/>
      <c r="WFQ12" s="41"/>
      <c r="WFR12" s="41"/>
      <c r="WFS12" s="41"/>
      <c r="WFT12" s="41"/>
      <c r="WFU12" s="41"/>
      <c r="WFV12" s="41"/>
      <c r="WFW12" s="41"/>
      <c r="WFX12" s="41"/>
      <c r="WFY12" s="41"/>
      <c r="WFZ12" s="41"/>
      <c r="WGA12" s="41"/>
      <c r="WGB12" s="41"/>
      <c r="WGC12" s="41"/>
      <c r="WGD12" s="41"/>
      <c r="WGE12" s="41"/>
      <c r="WGF12" s="41"/>
      <c r="WGG12" s="41"/>
      <c r="WGH12" s="41"/>
      <c r="WGI12" s="41"/>
      <c r="WGJ12" s="41"/>
      <c r="WGK12" s="41"/>
      <c r="WGL12" s="41"/>
      <c r="WGM12" s="41"/>
      <c r="WGN12" s="41"/>
      <c r="WGO12" s="41"/>
      <c r="WGP12" s="41"/>
      <c r="WGQ12" s="41"/>
      <c r="WGR12" s="41"/>
      <c r="WGS12" s="41"/>
      <c r="WGT12" s="41"/>
      <c r="WGU12" s="41"/>
      <c r="WGV12" s="41"/>
      <c r="WGW12" s="41"/>
      <c r="WGX12" s="41"/>
      <c r="WGY12" s="41"/>
      <c r="WGZ12" s="41"/>
      <c r="WHA12" s="41"/>
      <c r="WHB12" s="41"/>
      <c r="WHC12" s="41"/>
      <c r="WHD12" s="41"/>
      <c r="WHE12" s="41"/>
      <c r="WHF12" s="41"/>
      <c r="WHG12" s="41"/>
      <c r="WHH12" s="41"/>
      <c r="WHI12" s="41"/>
      <c r="WHJ12" s="41"/>
      <c r="WHK12" s="41"/>
      <c r="WHL12" s="41"/>
      <c r="WHM12" s="41"/>
      <c r="WHN12" s="41"/>
      <c r="WHO12" s="41"/>
      <c r="WHP12" s="41"/>
      <c r="WHQ12" s="41"/>
      <c r="WHR12" s="41"/>
      <c r="WHS12" s="41"/>
      <c r="WHT12" s="41"/>
      <c r="WHU12" s="41"/>
      <c r="WHV12" s="41"/>
      <c r="WHW12" s="41"/>
      <c r="WHX12" s="41"/>
      <c r="WHY12" s="41"/>
      <c r="WHZ12" s="41"/>
      <c r="WIA12" s="41"/>
      <c r="WIB12" s="41"/>
      <c r="WIC12" s="41"/>
      <c r="WID12" s="41"/>
      <c r="WIE12" s="41"/>
      <c r="WIF12" s="41"/>
      <c r="WIG12" s="41"/>
      <c r="WIH12" s="41"/>
      <c r="WII12" s="41"/>
      <c r="WIJ12" s="41"/>
      <c r="WIK12" s="41"/>
      <c r="WIL12" s="41"/>
      <c r="WIM12" s="41"/>
      <c r="WIN12" s="41"/>
      <c r="WIO12" s="41"/>
      <c r="WIP12" s="41"/>
      <c r="WIQ12" s="41"/>
      <c r="WIR12" s="41"/>
      <c r="WIS12" s="41"/>
      <c r="WIT12" s="41"/>
      <c r="WIU12" s="41"/>
      <c r="WIV12" s="41"/>
      <c r="WIW12" s="41"/>
      <c r="WIX12" s="41"/>
      <c r="WIY12" s="41"/>
      <c r="WIZ12" s="41"/>
      <c r="WJA12" s="41"/>
      <c r="WJB12" s="41"/>
      <c r="WJC12" s="41"/>
      <c r="WJD12" s="41"/>
      <c r="WJE12" s="41"/>
      <c r="WJF12" s="41"/>
      <c r="WJG12" s="41"/>
      <c r="WJH12" s="41"/>
      <c r="WJI12" s="41"/>
      <c r="WJJ12" s="41"/>
      <c r="WJK12" s="41"/>
      <c r="WJL12" s="41"/>
      <c r="WJM12" s="41"/>
      <c r="WJN12" s="41"/>
      <c r="WJO12" s="41"/>
      <c r="WJP12" s="41"/>
      <c r="WJQ12" s="41"/>
      <c r="WJR12" s="41"/>
      <c r="WJS12" s="41"/>
      <c r="WJT12" s="41"/>
      <c r="WJU12" s="41"/>
      <c r="WJV12" s="41"/>
      <c r="WJW12" s="41"/>
      <c r="WJX12" s="41"/>
      <c r="WJY12" s="41"/>
      <c r="WJZ12" s="41"/>
      <c r="WKA12" s="41"/>
      <c r="WKB12" s="41"/>
      <c r="WKC12" s="41"/>
      <c r="WKD12" s="41"/>
      <c r="WKE12" s="41"/>
      <c r="WKF12" s="41"/>
      <c r="WKG12" s="41"/>
      <c r="WKH12" s="41"/>
      <c r="WKI12" s="41"/>
      <c r="WKJ12" s="41"/>
      <c r="WKK12" s="41"/>
      <c r="WKL12" s="41"/>
      <c r="WKM12" s="41"/>
      <c r="WKN12" s="41"/>
      <c r="WKO12" s="41"/>
      <c r="WKP12" s="41"/>
      <c r="WKQ12" s="41"/>
      <c r="WKR12" s="41"/>
      <c r="WKS12" s="41"/>
      <c r="WKT12" s="41"/>
      <c r="WKU12" s="41"/>
      <c r="WKV12" s="41"/>
      <c r="WKW12" s="41"/>
      <c r="WKX12" s="41"/>
      <c r="WKY12" s="41"/>
      <c r="WKZ12" s="41"/>
      <c r="WLA12" s="41"/>
      <c r="WLB12" s="41"/>
      <c r="WLC12" s="41"/>
      <c r="WLD12" s="41"/>
      <c r="WLE12" s="41"/>
      <c r="WLF12" s="41"/>
      <c r="WLG12" s="41"/>
      <c r="WLH12" s="41"/>
      <c r="WLI12" s="41"/>
      <c r="WLJ12" s="41"/>
      <c r="WLK12" s="41"/>
      <c r="WLL12" s="41"/>
      <c r="WLM12" s="41"/>
      <c r="WLN12" s="41"/>
      <c r="WLO12" s="41"/>
      <c r="WLP12" s="41"/>
      <c r="WLQ12" s="41"/>
      <c r="WLR12" s="41"/>
      <c r="WLS12" s="41"/>
      <c r="WLT12" s="41"/>
      <c r="WLU12" s="41"/>
      <c r="WLV12" s="41"/>
      <c r="WLW12" s="41"/>
      <c r="WLX12" s="41"/>
      <c r="WLY12" s="41"/>
      <c r="WLZ12" s="41"/>
      <c r="WMA12" s="41"/>
      <c r="WMB12" s="41"/>
      <c r="WMC12" s="41"/>
      <c r="WMD12" s="41"/>
      <c r="WME12" s="41"/>
      <c r="WMF12" s="41"/>
      <c r="WMG12" s="41"/>
      <c r="WMH12" s="41"/>
      <c r="WMI12" s="41"/>
      <c r="WMJ12" s="41"/>
      <c r="WMK12" s="41"/>
      <c r="WML12" s="41"/>
      <c r="WMM12" s="41"/>
      <c r="WMN12" s="41"/>
      <c r="WMO12" s="41"/>
      <c r="WMP12" s="41"/>
      <c r="WMQ12" s="41"/>
      <c r="WMR12" s="41"/>
      <c r="WMS12" s="41"/>
      <c r="WMT12" s="41"/>
      <c r="WMU12" s="41"/>
      <c r="WMV12" s="41"/>
      <c r="WMW12" s="41"/>
      <c r="WMX12" s="41"/>
      <c r="WMY12" s="41"/>
      <c r="WMZ12" s="41"/>
      <c r="WNA12" s="41"/>
      <c r="WNB12" s="41"/>
      <c r="WNC12" s="41"/>
      <c r="WND12" s="41"/>
      <c r="WNE12" s="41"/>
      <c r="WNF12" s="41"/>
      <c r="WNG12" s="41"/>
      <c r="WNH12" s="41"/>
      <c r="WNI12" s="41"/>
      <c r="WNJ12" s="41"/>
      <c r="WNK12" s="41"/>
      <c r="WNL12" s="41"/>
      <c r="WNM12" s="41"/>
      <c r="WNN12" s="41"/>
      <c r="WNO12" s="41"/>
      <c r="WNP12" s="41"/>
      <c r="WNQ12" s="41"/>
      <c r="WNR12" s="41"/>
      <c r="WNS12" s="41"/>
      <c r="WNT12" s="41"/>
      <c r="WNU12" s="41"/>
      <c r="WNV12" s="41"/>
      <c r="WNW12" s="41"/>
      <c r="WNX12" s="41"/>
      <c r="WNY12" s="41"/>
      <c r="WNZ12" s="41"/>
      <c r="WOA12" s="41"/>
      <c r="WOB12" s="41"/>
      <c r="WOC12" s="41"/>
      <c r="WOD12" s="41"/>
      <c r="WOE12" s="41"/>
      <c r="WOF12" s="41"/>
      <c r="WOG12" s="41"/>
      <c r="WOH12" s="41"/>
      <c r="WOI12" s="41"/>
      <c r="WOJ12" s="41"/>
      <c r="WOK12" s="41"/>
      <c r="WOL12" s="41"/>
      <c r="WOM12" s="41"/>
      <c r="WON12" s="41"/>
      <c r="WOO12" s="41"/>
      <c r="WOP12" s="41"/>
      <c r="WOQ12" s="41"/>
      <c r="WOR12" s="41"/>
      <c r="WOS12" s="41"/>
      <c r="WOT12" s="41"/>
      <c r="WOU12" s="41"/>
      <c r="WOV12" s="41"/>
      <c r="WOW12" s="41"/>
      <c r="WOX12" s="41"/>
      <c r="WOY12" s="41"/>
      <c r="WOZ12" s="41"/>
      <c r="WPA12" s="41"/>
      <c r="WPB12" s="41"/>
      <c r="WPC12" s="41"/>
      <c r="WPD12" s="41"/>
      <c r="WPE12" s="41"/>
      <c r="WPF12" s="41"/>
      <c r="WPG12" s="41"/>
      <c r="WPH12" s="41"/>
      <c r="WPI12" s="41"/>
      <c r="WPJ12" s="41"/>
      <c r="WPK12" s="41"/>
      <c r="WPL12" s="41"/>
      <c r="WPM12" s="41"/>
      <c r="WPN12" s="41"/>
      <c r="WPO12" s="41"/>
      <c r="WPP12" s="41"/>
      <c r="WPQ12" s="41"/>
      <c r="WPR12" s="41"/>
      <c r="WPS12" s="41"/>
      <c r="WPT12" s="41"/>
      <c r="WPU12" s="41"/>
      <c r="WPV12" s="41"/>
      <c r="WPW12" s="41"/>
      <c r="WPX12" s="41"/>
      <c r="WPY12" s="41"/>
      <c r="WPZ12" s="41"/>
      <c r="WQA12" s="41"/>
      <c r="WQB12" s="41"/>
      <c r="WQC12" s="41"/>
      <c r="WQD12" s="41"/>
      <c r="WQE12" s="41"/>
      <c r="WQF12" s="41"/>
      <c r="WQG12" s="41"/>
      <c r="WQH12" s="41"/>
      <c r="WQI12" s="41"/>
      <c r="WQJ12" s="41"/>
      <c r="WQK12" s="41"/>
      <c r="WQL12" s="41"/>
      <c r="WQM12" s="41"/>
      <c r="WQN12" s="41"/>
      <c r="WQO12" s="41"/>
      <c r="WQP12" s="41"/>
      <c r="WQQ12" s="41"/>
      <c r="WQR12" s="41"/>
      <c r="WQS12" s="41"/>
      <c r="WQT12" s="41"/>
      <c r="WQU12" s="41"/>
      <c r="WQV12" s="41"/>
      <c r="WQW12" s="41"/>
      <c r="WQX12" s="41"/>
      <c r="WQY12" s="41"/>
      <c r="WQZ12" s="41"/>
      <c r="WRA12" s="41"/>
      <c r="WRB12" s="41"/>
      <c r="WRC12" s="41"/>
      <c r="WRD12" s="41"/>
      <c r="WRE12" s="41"/>
      <c r="WRF12" s="41"/>
      <c r="WRG12" s="41"/>
      <c r="WRH12" s="41"/>
      <c r="WRI12" s="41"/>
      <c r="WRJ12" s="41"/>
      <c r="WRK12" s="41"/>
      <c r="WRL12" s="41"/>
      <c r="WRM12" s="41"/>
      <c r="WRN12" s="41"/>
      <c r="WRO12" s="41"/>
      <c r="WRP12" s="41"/>
      <c r="WRQ12" s="41"/>
      <c r="WRR12" s="41"/>
      <c r="WRS12" s="41"/>
      <c r="WRT12" s="41"/>
      <c r="WRU12" s="41"/>
      <c r="WRV12" s="41"/>
      <c r="WRW12" s="41"/>
      <c r="WRX12" s="41"/>
      <c r="WRY12" s="41"/>
      <c r="WRZ12" s="41"/>
      <c r="WSA12" s="41"/>
      <c r="WSB12" s="41"/>
      <c r="WSC12" s="41"/>
      <c r="WSD12" s="41"/>
      <c r="WSE12" s="41"/>
      <c r="WSF12" s="41"/>
      <c r="WSG12" s="41"/>
      <c r="WSH12" s="41"/>
      <c r="WSI12" s="41"/>
      <c r="WSJ12" s="41"/>
      <c r="WSK12" s="41"/>
      <c r="WSL12" s="41"/>
      <c r="WSM12" s="41"/>
      <c r="WSN12" s="41"/>
      <c r="WSO12" s="41"/>
      <c r="WSP12" s="41"/>
      <c r="WSQ12" s="41"/>
      <c r="WSR12" s="41"/>
      <c r="WSS12" s="41"/>
      <c r="WST12" s="41"/>
      <c r="WSU12" s="41"/>
      <c r="WSV12" s="41"/>
      <c r="WSW12" s="41"/>
      <c r="WSX12" s="41"/>
      <c r="WSY12" s="41"/>
      <c r="WSZ12" s="41"/>
      <c r="WTA12" s="41"/>
      <c r="WTB12" s="41"/>
      <c r="WTC12" s="41"/>
      <c r="WTD12" s="41"/>
      <c r="WTE12" s="41"/>
      <c r="WTF12" s="41"/>
      <c r="WTG12" s="41"/>
      <c r="WTH12" s="41"/>
      <c r="WTI12" s="41"/>
      <c r="WTJ12" s="41"/>
      <c r="WTK12" s="41"/>
      <c r="WTL12" s="41"/>
      <c r="WTM12" s="41"/>
      <c r="WTN12" s="41"/>
      <c r="WTO12" s="41"/>
      <c r="WTP12" s="41"/>
      <c r="WTQ12" s="41"/>
      <c r="WTR12" s="41"/>
      <c r="WTS12" s="41"/>
      <c r="WTT12" s="41"/>
      <c r="WTU12" s="41"/>
      <c r="WTV12" s="41"/>
      <c r="WTW12" s="41"/>
      <c r="WTX12" s="41"/>
      <c r="WTY12" s="41"/>
      <c r="WTZ12" s="41"/>
      <c r="WUA12" s="41"/>
      <c r="WUB12" s="41"/>
      <c r="WUC12" s="41"/>
      <c r="WUD12" s="41"/>
      <c r="WUE12" s="41"/>
      <c r="WUF12" s="41"/>
      <c r="WUG12" s="41"/>
      <c r="WUH12" s="41"/>
      <c r="WUI12" s="41"/>
      <c r="WUJ12" s="41"/>
      <c r="WUK12" s="41"/>
      <c r="WUL12" s="41"/>
      <c r="WUM12" s="41"/>
      <c r="WUN12" s="41"/>
      <c r="WUO12" s="41"/>
      <c r="WUP12" s="41"/>
      <c r="WUQ12" s="41"/>
      <c r="WUR12" s="41"/>
      <c r="WUS12" s="41"/>
      <c r="WUT12" s="41"/>
      <c r="WUU12" s="41"/>
      <c r="WUV12" s="41"/>
      <c r="WUW12" s="41"/>
      <c r="WUX12" s="41"/>
      <c r="WUY12" s="41"/>
      <c r="WUZ12" s="41"/>
      <c r="WVA12" s="41"/>
      <c r="WVB12" s="41"/>
      <c r="WVC12" s="41"/>
      <c r="WVD12" s="41"/>
      <c r="WVE12" s="41"/>
      <c r="WVF12" s="41"/>
      <c r="WVG12" s="41"/>
      <c r="WVH12" s="41"/>
      <c r="WVI12" s="41"/>
      <c r="WVJ12" s="41"/>
      <c r="WVK12" s="41"/>
      <c r="WVL12" s="41"/>
      <c r="WVM12" s="41"/>
      <c r="WVN12" s="41"/>
      <c r="WVO12" s="41"/>
      <c r="WVP12" s="41"/>
      <c r="WVQ12" s="41"/>
      <c r="WVR12" s="41"/>
      <c r="WVS12" s="41"/>
      <c r="WVT12" s="41"/>
      <c r="WVU12" s="41"/>
      <c r="WVV12" s="41"/>
      <c r="WVW12" s="41"/>
      <c r="WVX12" s="41"/>
      <c r="WVY12" s="41"/>
      <c r="WVZ12" s="41"/>
      <c r="WWA12" s="41"/>
      <c r="WWB12" s="41"/>
      <c r="WWC12" s="41"/>
      <c r="WWD12" s="41"/>
      <c r="WWE12" s="41"/>
      <c r="WWF12" s="41"/>
      <c r="WWG12" s="41"/>
      <c r="WWH12" s="41"/>
      <c r="WWI12" s="41"/>
      <c r="WWJ12" s="41"/>
      <c r="WWK12" s="41"/>
      <c r="WWL12" s="41"/>
      <c r="WWM12" s="41"/>
      <c r="WWN12" s="41"/>
      <c r="WWO12" s="41"/>
      <c r="WWP12" s="41"/>
      <c r="WWQ12" s="41"/>
      <c r="WWR12" s="41"/>
      <c r="WWS12" s="41"/>
      <c r="WWT12" s="41"/>
      <c r="WWU12" s="41"/>
      <c r="WWV12" s="41"/>
      <c r="WWW12" s="41"/>
      <c r="WWX12" s="41"/>
      <c r="WWY12" s="41"/>
      <c r="WWZ12" s="41"/>
      <c r="WXA12" s="41"/>
      <c r="WXB12" s="41"/>
      <c r="WXC12" s="41"/>
      <c r="WXD12" s="41"/>
      <c r="WXE12" s="41"/>
      <c r="WXF12" s="41"/>
      <c r="WXG12" s="41"/>
      <c r="WXH12" s="41"/>
      <c r="WXI12" s="41"/>
      <c r="WXJ12" s="41"/>
      <c r="WXK12" s="41"/>
      <c r="WXL12" s="41"/>
      <c r="WXM12" s="41"/>
      <c r="WXN12" s="41"/>
      <c r="WXO12" s="41"/>
      <c r="WXP12" s="41"/>
      <c r="WXQ12" s="41"/>
      <c r="WXR12" s="41"/>
      <c r="WXS12" s="41"/>
      <c r="WXT12" s="41"/>
      <c r="WXU12" s="41"/>
      <c r="WXV12" s="41"/>
      <c r="WXW12" s="41"/>
      <c r="WXX12" s="41"/>
      <c r="WXY12" s="41"/>
      <c r="WXZ12" s="41"/>
      <c r="WYA12" s="41"/>
      <c r="WYB12" s="41"/>
      <c r="WYC12" s="41"/>
      <c r="WYD12" s="41"/>
      <c r="WYE12" s="41"/>
      <c r="WYF12" s="41"/>
      <c r="WYG12" s="41"/>
      <c r="WYH12" s="41"/>
      <c r="WYI12" s="41"/>
      <c r="WYJ12" s="41"/>
      <c r="WYK12" s="41"/>
      <c r="WYL12" s="41"/>
      <c r="WYM12" s="41"/>
      <c r="WYN12" s="41"/>
      <c r="WYO12" s="41"/>
      <c r="WYP12" s="41"/>
      <c r="WYQ12" s="41"/>
      <c r="WYR12" s="41"/>
      <c r="WYS12" s="41"/>
      <c r="WYT12" s="41"/>
      <c r="WYU12" s="41"/>
      <c r="WYV12" s="41"/>
      <c r="WYW12" s="41"/>
      <c r="WYX12" s="41"/>
      <c r="WYY12" s="41"/>
      <c r="WYZ12" s="41"/>
      <c r="WZA12" s="41"/>
      <c r="WZB12" s="41"/>
      <c r="WZC12" s="41"/>
      <c r="WZD12" s="41"/>
      <c r="WZE12" s="41"/>
      <c r="WZF12" s="41"/>
      <c r="WZG12" s="41"/>
      <c r="WZH12" s="41"/>
      <c r="WZI12" s="41"/>
      <c r="WZJ12" s="41"/>
      <c r="WZK12" s="41"/>
      <c r="WZL12" s="41"/>
      <c r="WZM12" s="41"/>
      <c r="WZN12" s="41"/>
      <c r="WZO12" s="41"/>
      <c r="WZP12" s="41"/>
      <c r="WZQ12" s="41"/>
      <c r="WZR12" s="41"/>
      <c r="WZS12" s="41"/>
      <c r="WZT12" s="41"/>
      <c r="WZU12" s="41"/>
      <c r="WZV12" s="41"/>
      <c r="WZW12" s="41"/>
      <c r="WZX12" s="41"/>
      <c r="WZY12" s="41"/>
      <c r="WZZ12" s="41"/>
      <c r="XAA12" s="41"/>
      <c r="XAB12" s="41"/>
      <c r="XAC12" s="41"/>
      <c r="XAD12" s="41"/>
      <c r="XAE12" s="41"/>
      <c r="XAF12" s="41"/>
      <c r="XAG12" s="41"/>
      <c r="XAH12" s="41"/>
      <c r="XAI12" s="41"/>
      <c r="XAJ12" s="41"/>
      <c r="XAK12" s="41"/>
      <c r="XAL12" s="41"/>
      <c r="XAM12" s="41"/>
      <c r="XAN12" s="41"/>
      <c r="XAO12" s="41"/>
      <c r="XAP12" s="41"/>
      <c r="XAQ12" s="41"/>
      <c r="XAR12" s="41"/>
      <c r="XAS12" s="41"/>
      <c r="XAT12" s="41"/>
      <c r="XAU12" s="41"/>
      <c r="XAV12" s="41"/>
      <c r="XAW12" s="41"/>
      <c r="XAX12" s="41"/>
      <c r="XAY12" s="41"/>
      <c r="XAZ12" s="41"/>
      <c r="XBA12" s="41"/>
      <c r="XBB12" s="41"/>
      <c r="XBC12" s="41"/>
      <c r="XBD12" s="41"/>
      <c r="XBE12" s="41"/>
      <c r="XBF12" s="41"/>
      <c r="XBG12" s="41"/>
      <c r="XBH12" s="41"/>
      <c r="XBI12" s="41"/>
      <c r="XBJ12" s="41"/>
      <c r="XBK12" s="41"/>
      <c r="XBL12" s="41"/>
      <c r="XBM12" s="41"/>
      <c r="XBN12" s="41"/>
      <c r="XBO12" s="41"/>
      <c r="XBP12" s="41"/>
      <c r="XBQ12" s="41"/>
      <c r="XBR12" s="41"/>
      <c r="XBS12" s="41"/>
      <c r="XBT12" s="41"/>
      <c r="XBU12" s="41"/>
      <c r="XBV12" s="41"/>
      <c r="XBW12" s="41"/>
      <c r="XBX12" s="41"/>
      <c r="XBY12" s="41"/>
      <c r="XBZ12" s="41"/>
      <c r="XCA12" s="41"/>
      <c r="XCB12" s="41"/>
      <c r="XCC12" s="41"/>
      <c r="XCD12" s="41"/>
      <c r="XCE12" s="41"/>
      <c r="XCF12" s="41"/>
      <c r="XCG12" s="41"/>
      <c r="XCH12" s="41"/>
      <c r="XCI12" s="41"/>
      <c r="XCJ12" s="41"/>
      <c r="XCK12" s="41"/>
      <c r="XCL12" s="41"/>
      <c r="XCM12" s="41"/>
      <c r="XCN12" s="41"/>
      <c r="XCO12" s="41"/>
      <c r="XCP12" s="41"/>
      <c r="XCQ12" s="41"/>
      <c r="XCR12" s="41"/>
      <c r="XCS12" s="41"/>
      <c r="XCT12" s="41"/>
      <c r="XCU12" s="41"/>
      <c r="XCV12" s="41"/>
      <c r="XCW12" s="41"/>
      <c r="XCX12" s="41"/>
      <c r="XCY12" s="41"/>
      <c r="XCZ12" s="41"/>
      <c r="XDA12" s="41"/>
      <c r="XDB12" s="41"/>
      <c r="XDC12" s="41"/>
      <c r="XDD12" s="41"/>
      <c r="XDE12" s="41"/>
      <c r="XDF12" s="41"/>
      <c r="XDG12" s="41"/>
      <c r="XDH12" s="41"/>
      <c r="XDI12" s="41"/>
      <c r="XDJ12" s="41"/>
      <c r="XDK12" s="41"/>
      <c r="XDL12" s="41"/>
      <c r="XDM12" s="41"/>
      <c r="XDN12" s="41"/>
      <c r="XDO12" s="41"/>
      <c r="XDP12" s="41"/>
      <c r="XDQ12" s="41"/>
      <c r="XDR12" s="41"/>
      <c r="XDS12" s="41"/>
      <c r="XDT12" s="41"/>
      <c r="XDU12" s="41"/>
      <c r="XDV12" s="41"/>
      <c r="XDW12" s="41"/>
      <c r="XDX12" s="41"/>
      <c r="XDY12" s="41"/>
      <c r="XDZ12" s="41"/>
      <c r="XEA12" s="41"/>
      <c r="XEB12" s="41"/>
      <c r="XEC12" s="41"/>
      <c r="XED12" s="41"/>
      <c r="XEE12" s="41"/>
      <c r="XEF12" s="41"/>
      <c r="XEG12" s="41"/>
      <c r="XEH12" s="41"/>
      <c r="XEI12" s="41"/>
      <c r="XEJ12" s="41"/>
      <c r="XEK12" s="41"/>
      <c r="XEL12" s="41"/>
      <c r="XEM12" s="41"/>
      <c r="XEN12" s="41"/>
      <c r="XEO12" s="41"/>
      <c r="XEP12" s="41"/>
      <c r="XEQ12" s="41"/>
      <c r="XER12" s="41"/>
      <c r="XES12" s="41"/>
      <c r="XET12" s="41"/>
      <c r="XEU12" s="41"/>
      <c r="XEV12" s="41"/>
      <c r="XEW12" s="41"/>
      <c r="XEX12" s="41"/>
    </row>
    <row r="13" spans="1:16378">
      <c r="A13" s="4">
        <v>614</v>
      </c>
      <c r="B13" s="5">
        <v>112549611</v>
      </c>
      <c r="C13" s="5">
        <v>11947217</v>
      </c>
      <c r="D13" s="5">
        <v>112549611</v>
      </c>
      <c r="E13" s="4" t="s">
        <v>590</v>
      </c>
      <c r="F13" s="4" t="s">
        <v>591</v>
      </c>
      <c r="G13" s="25">
        <v>44697</v>
      </c>
      <c r="H13" s="6" t="s">
        <v>71</v>
      </c>
      <c r="I13" s="4" t="s">
        <v>72</v>
      </c>
      <c r="J13" s="4" t="s">
        <v>73</v>
      </c>
      <c r="K13" s="4">
        <v>1299</v>
      </c>
      <c r="L13" s="7" t="s">
        <v>82</v>
      </c>
      <c r="M13" s="7" t="s">
        <v>76</v>
      </c>
      <c r="N13" s="7" t="s">
        <v>88</v>
      </c>
      <c r="O13" s="6" t="s">
        <v>348</v>
      </c>
      <c r="P13" s="6" t="s">
        <v>77</v>
      </c>
      <c r="Q13" s="7" t="s">
        <v>5</v>
      </c>
      <c r="R13" s="24" t="s">
        <v>1051</v>
      </c>
      <c r="S13" s="6" t="s">
        <v>453</v>
      </c>
      <c r="T13" s="4" t="s">
        <v>10</v>
      </c>
      <c r="U13" s="4" t="s">
        <v>27</v>
      </c>
      <c r="V13" s="34" t="s">
        <v>19</v>
      </c>
      <c r="W13" s="34" t="s">
        <v>393</v>
      </c>
      <c r="X13" s="6" t="s">
        <v>81</v>
      </c>
      <c r="Y13" s="6" t="s">
        <v>112</v>
      </c>
      <c r="Z13" s="4">
        <v>99</v>
      </c>
      <c r="AA13" s="4"/>
      <c r="AB13" s="4"/>
      <c r="AC13" s="4"/>
      <c r="AD13" s="5"/>
      <c r="AE13" s="38"/>
      <c r="AF13" s="4" t="s">
        <v>349</v>
      </c>
      <c r="AG13" s="4"/>
      <c r="AH13" s="4"/>
      <c r="AI13" s="4"/>
      <c r="AJ13" s="4" t="s">
        <v>73</v>
      </c>
      <c r="AK13" s="35" t="s">
        <v>82</v>
      </c>
      <c r="AL13" s="35" t="s">
        <v>87</v>
      </c>
      <c r="AM13" s="35" t="s">
        <v>75</v>
      </c>
      <c r="AN13" s="35" t="b">
        <v>1</v>
      </c>
      <c r="AO13" s="35" t="b">
        <v>0</v>
      </c>
      <c r="AP13" s="35" t="b">
        <v>0</v>
      </c>
      <c r="AQ13" s="43" t="s">
        <v>381</v>
      </c>
      <c r="AR13" s="43" t="s">
        <v>381</v>
      </c>
      <c r="AS13" s="43" t="s">
        <v>381</v>
      </c>
      <c r="AT13" s="43" t="s">
        <v>381</v>
      </c>
      <c r="AU13" s="43" t="s">
        <v>381</v>
      </c>
      <c r="AV13" s="43" t="s">
        <v>381</v>
      </c>
      <c r="AW13" s="43" t="s">
        <v>381</v>
      </c>
      <c r="AX13" s="43" t="s">
        <v>381</v>
      </c>
      <c r="AY13" s="46" t="s">
        <v>74</v>
      </c>
      <c r="AZ13" s="46" t="s">
        <v>74</v>
      </c>
      <c r="BA13" s="46" t="s">
        <v>74</v>
      </c>
      <c r="BB13" s="51" t="s">
        <v>84</v>
      </c>
      <c r="BC13" s="51" t="s">
        <v>84</v>
      </c>
      <c r="BD13" s="46" t="s">
        <v>74</v>
      </c>
      <c r="BE13" s="46" t="s">
        <v>74</v>
      </c>
      <c r="BF13" s="46" t="s">
        <v>74</v>
      </c>
      <c r="BG13" s="46" t="s">
        <v>74</v>
      </c>
      <c r="BH13" s="46" t="s">
        <v>74</v>
      </c>
      <c r="BI13" s="51" t="s">
        <v>84</v>
      </c>
      <c r="BJ13" s="51" t="s">
        <v>84</v>
      </c>
      <c r="BK13" s="8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1"/>
      <c r="AWF13" s="41"/>
      <c r="AWG13" s="41"/>
      <c r="AWH13" s="41"/>
      <c r="AWI13" s="41"/>
      <c r="AWJ13" s="41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1"/>
      <c r="BBE13" s="41"/>
      <c r="BBF13" s="41"/>
      <c r="BBG13" s="41"/>
      <c r="BBH13" s="41"/>
      <c r="BBI13" s="41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1"/>
      <c r="BGD13" s="41"/>
      <c r="BGE13" s="41"/>
      <c r="BGF13" s="41"/>
      <c r="BGG13" s="41"/>
      <c r="BGH13" s="41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1"/>
      <c r="BLC13" s="41"/>
      <c r="BLD13" s="41"/>
      <c r="BLE13" s="41"/>
      <c r="BLF13" s="41"/>
      <c r="BLG13" s="41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1"/>
      <c r="BQB13" s="41"/>
      <c r="BQC13" s="41"/>
      <c r="BQD13" s="41"/>
      <c r="BQE13" s="41"/>
      <c r="BQF13" s="41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1"/>
      <c r="BVA13" s="41"/>
      <c r="BVB13" s="41"/>
      <c r="BVC13" s="41"/>
      <c r="BVD13" s="41"/>
      <c r="BVE13" s="41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1"/>
      <c r="BZZ13" s="41"/>
      <c r="CAA13" s="41"/>
      <c r="CAB13" s="41"/>
      <c r="CAC13" s="41"/>
      <c r="CAD13" s="41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1"/>
      <c r="CEY13" s="41"/>
      <c r="CEZ13" s="41"/>
      <c r="CFA13" s="41"/>
      <c r="CFB13" s="41"/>
      <c r="CFC13" s="41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1"/>
      <c r="CJX13" s="41"/>
      <c r="CJY13" s="41"/>
      <c r="CJZ13" s="41"/>
      <c r="CKA13" s="41"/>
      <c r="CKB13" s="41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1"/>
      <c r="COW13" s="41"/>
      <c r="COX13" s="41"/>
      <c r="COY13" s="41"/>
      <c r="COZ13" s="41"/>
      <c r="CPA13" s="41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1"/>
      <c r="CTV13" s="41"/>
      <c r="CTW13" s="41"/>
      <c r="CTX13" s="41"/>
      <c r="CTY13" s="41"/>
      <c r="CTZ13" s="41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1"/>
      <c r="CYU13" s="41"/>
      <c r="CYV13" s="41"/>
      <c r="CYW13" s="41"/>
      <c r="CYX13" s="41"/>
      <c r="CYY13" s="41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1"/>
      <c r="DDT13" s="41"/>
      <c r="DDU13" s="41"/>
      <c r="DDV13" s="41"/>
      <c r="DDW13" s="41"/>
      <c r="DDX13" s="41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1"/>
      <c r="DIS13" s="41"/>
      <c r="DIT13" s="41"/>
      <c r="DIU13" s="41"/>
      <c r="DIV13" s="41"/>
      <c r="DIW13" s="41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1"/>
      <c r="DNR13" s="41"/>
      <c r="DNS13" s="41"/>
      <c r="DNT13" s="41"/>
      <c r="DNU13" s="41"/>
      <c r="DNV13" s="41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1"/>
      <c r="DSQ13" s="41"/>
      <c r="DSR13" s="41"/>
      <c r="DSS13" s="41"/>
      <c r="DST13" s="41"/>
      <c r="DSU13" s="41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1"/>
      <c r="DXP13" s="41"/>
      <c r="DXQ13" s="41"/>
      <c r="DXR13" s="41"/>
      <c r="DXS13" s="41"/>
      <c r="DXT13" s="41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1"/>
      <c r="ECO13" s="41"/>
      <c r="ECP13" s="41"/>
      <c r="ECQ13" s="41"/>
      <c r="ECR13" s="41"/>
      <c r="ECS13" s="41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1"/>
      <c r="EHN13" s="41"/>
      <c r="EHO13" s="41"/>
      <c r="EHP13" s="41"/>
      <c r="EHQ13" s="41"/>
      <c r="EHR13" s="41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1"/>
      <c r="EMM13" s="41"/>
      <c r="EMN13" s="41"/>
      <c r="EMO13" s="41"/>
      <c r="EMP13" s="41"/>
      <c r="EMQ13" s="41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1"/>
      <c r="ERL13" s="41"/>
      <c r="ERM13" s="41"/>
      <c r="ERN13" s="41"/>
      <c r="ERO13" s="41"/>
      <c r="ERP13" s="41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1"/>
      <c r="EWK13" s="41"/>
      <c r="EWL13" s="41"/>
      <c r="EWM13" s="41"/>
      <c r="EWN13" s="41"/>
      <c r="EWO13" s="41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1"/>
      <c r="FBJ13" s="41"/>
      <c r="FBK13" s="41"/>
      <c r="FBL13" s="41"/>
      <c r="FBM13" s="41"/>
      <c r="FBN13" s="41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1"/>
      <c r="FGI13" s="41"/>
      <c r="FGJ13" s="41"/>
      <c r="FGK13" s="41"/>
      <c r="FGL13" s="41"/>
      <c r="FGM13" s="41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1"/>
      <c r="FLH13" s="41"/>
      <c r="FLI13" s="41"/>
      <c r="FLJ13" s="41"/>
      <c r="FLK13" s="41"/>
      <c r="FLL13" s="41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1"/>
      <c r="FQG13" s="41"/>
      <c r="FQH13" s="41"/>
      <c r="FQI13" s="41"/>
      <c r="FQJ13" s="41"/>
      <c r="FQK13" s="41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1"/>
      <c r="FVF13" s="41"/>
      <c r="FVG13" s="41"/>
      <c r="FVH13" s="41"/>
      <c r="FVI13" s="41"/>
      <c r="FVJ13" s="41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1"/>
      <c r="GAE13" s="41"/>
      <c r="GAF13" s="41"/>
      <c r="GAG13" s="41"/>
      <c r="GAH13" s="41"/>
      <c r="GAI13" s="41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1"/>
      <c r="GFD13" s="41"/>
      <c r="GFE13" s="41"/>
      <c r="GFF13" s="41"/>
      <c r="GFG13" s="41"/>
      <c r="GFH13" s="41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1"/>
      <c r="GKC13" s="41"/>
      <c r="GKD13" s="41"/>
      <c r="GKE13" s="41"/>
      <c r="GKF13" s="41"/>
      <c r="GKG13" s="41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1"/>
      <c r="GPB13" s="41"/>
      <c r="GPC13" s="41"/>
      <c r="GPD13" s="41"/>
      <c r="GPE13" s="41"/>
      <c r="GPF13" s="41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1"/>
      <c r="GUA13" s="41"/>
      <c r="GUB13" s="41"/>
      <c r="GUC13" s="41"/>
      <c r="GUD13" s="41"/>
      <c r="GUE13" s="41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1"/>
      <c r="GYZ13" s="41"/>
      <c r="GZA13" s="41"/>
      <c r="GZB13" s="41"/>
      <c r="GZC13" s="41"/>
      <c r="GZD13" s="41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1"/>
      <c r="HDY13" s="41"/>
      <c r="HDZ13" s="41"/>
      <c r="HEA13" s="41"/>
      <c r="HEB13" s="41"/>
      <c r="HEC13" s="41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1"/>
      <c r="HIX13" s="41"/>
      <c r="HIY13" s="41"/>
      <c r="HIZ13" s="41"/>
      <c r="HJA13" s="41"/>
      <c r="HJB13" s="41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1"/>
      <c r="HNW13" s="41"/>
      <c r="HNX13" s="41"/>
      <c r="HNY13" s="41"/>
      <c r="HNZ13" s="41"/>
      <c r="HOA13" s="41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1"/>
      <c r="HSV13" s="41"/>
      <c r="HSW13" s="41"/>
      <c r="HSX13" s="41"/>
      <c r="HSY13" s="41"/>
      <c r="HSZ13" s="41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1"/>
      <c r="HXU13" s="41"/>
      <c r="HXV13" s="41"/>
      <c r="HXW13" s="41"/>
      <c r="HXX13" s="41"/>
      <c r="HXY13" s="41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1"/>
      <c r="ICT13" s="41"/>
      <c r="ICU13" s="41"/>
      <c r="ICV13" s="41"/>
      <c r="ICW13" s="41"/>
      <c r="ICX13" s="41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1"/>
      <c r="IHS13" s="41"/>
      <c r="IHT13" s="41"/>
      <c r="IHU13" s="41"/>
      <c r="IHV13" s="41"/>
      <c r="IHW13" s="41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1"/>
      <c r="IMR13" s="41"/>
      <c r="IMS13" s="41"/>
      <c r="IMT13" s="41"/>
      <c r="IMU13" s="41"/>
      <c r="IMV13" s="41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1"/>
      <c r="IRQ13" s="41"/>
      <c r="IRR13" s="41"/>
      <c r="IRS13" s="41"/>
      <c r="IRT13" s="41"/>
      <c r="IRU13" s="41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1"/>
      <c r="IWP13" s="41"/>
      <c r="IWQ13" s="41"/>
      <c r="IWR13" s="41"/>
      <c r="IWS13" s="41"/>
      <c r="IWT13" s="41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1"/>
      <c r="JBO13" s="41"/>
      <c r="JBP13" s="41"/>
      <c r="JBQ13" s="41"/>
      <c r="JBR13" s="41"/>
      <c r="JBS13" s="41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1"/>
      <c r="JGN13" s="41"/>
      <c r="JGO13" s="41"/>
      <c r="JGP13" s="41"/>
      <c r="JGQ13" s="41"/>
      <c r="JGR13" s="41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1"/>
      <c r="JLM13" s="41"/>
      <c r="JLN13" s="41"/>
      <c r="JLO13" s="41"/>
      <c r="JLP13" s="41"/>
      <c r="JLQ13" s="41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1"/>
      <c r="JQL13" s="41"/>
      <c r="JQM13" s="41"/>
      <c r="JQN13" s="41"/>
      <c r="JQO13" s="41"/>
      <c r="JQP13" s="41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1"/>
      <c r="JVK13" s="41"/>
      <c r="JVL13" s="41"/>
      <c r="JVM13" s="41"/>
      <c r="JVN13" s="41"/>
      <c r="JVO13" s="41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1"/>
      <c r="KAJ13" s="41"/>
      <c r="KAK13" s="41"/>
      <c r="KAL13" s="41"/>
      <c r="KAM13" s="41"/>
      <c r="KAN13" s="41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1"/>
      <c r="KFI13" s="41"/>
      <c r="KFJ13" s="41"/>
      <c r="KFK13" s="41"/>
      <c r="KFL13" s="41"/>
      <c r="KFM13" s="41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1"/>
      <c r="KKH13" s="41"/>
      <c r="KKI13" s="41"/>
      <c r="KKJ13" s="41"/>
      <c r="KKK13" s="41"/>
      <c r="KKL13" s="41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1"/>
      <c r="KPG13" s="41"/>
      <c r="KPH13" s="41"/>
      <c r="KPI13" s="41"/>
      <c r="KPJ13" s="41"/>
      <c r="KPK13" s="41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1"/>
      <c r="KUF13" s="41"/>
      <c r="KUG13" s="41"/>
      <c r="KUH13" s="41"/>
      <c r="KUI13" s="41"/>
      <c r="KUJ13" s="41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1"/>
      <c r="KZE13" s="41"/>
      <c r="KZF13" s="41"/>
      <c r="KZG13" s="41"/>
      <c r="KZH13" s="41"/>
      <c r="KZI13" s="41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1"/>
      <c r="LED13" s="41"/>
      <c r="LEE13" s="41"/>
      <c r="LEF13" s="41"/>
      <c r="LEG13" s="41"/>
      <c r="LEH13" s="41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1"/>
      <c r="LJC13" s="41"/>
      <c r="LJD13" s="41"/>
      <c r="LJE13" s="41"/>
      <c r="LJF13" s="41"/>
      <c r="LJG13" s="41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1"/>
      <c r="LOB13" s="41"/>
      <c r="LOC13" s="41"/>
      <c r="LOD13" s="41"/>
      <c r="LOE13" s="41"/>
      <c r="LOF13" s="41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1"/>
      <c r="LTA13" s="41"/>
      <c r="LTB13" s="41"/>
      <c r="LTC13" s="41"/>
      <c r="LTD13" s="41"/>
      <c r="LTE13" s="41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1"/>
      <c r="LXZ13" s="41"/>
      <c r="LYA13" s="41"/>
      <c r="LYB13" s="41"/>
      <c r="LYC13" s="41"/>
      <c r="LYD13" s="41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1"/>
      <c r="MCY13" s="41"/>
      <c r="MCZ13" s="41"/>
      <c r="MDA13" s="41"/>
      <c r="MDB13" s="41"/>
      <c r="MDC13" s="41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1"/>
      <c r="MHX13" s="41"/>
      <c r="MHY13" s="41"/>
      <c r="MHZ13" s="41"/>
      <c r="MIA13" s="41"/>
      <c r="MIB13" s="41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1"/>
      <c r="MMW13" s="41"/>
      <c r="MMX13" s="41"/>
      <c r="MMY13" s="41"/>
      <c r="MMZ13" s="41"/>
      <c r="MNA13" s="41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1"/>
      <c r="MRV13" s="41"/>
      <c r="MRW13" s="41"/>
      <c r="MRX13" s="41"/>
      <c r="MRY13" s="41"/>
      <c r="MRZ13" s="41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1"/>
      <c r="MWU13" s="41"/>
      <c r="MWV13" s="41"/>
      <c r="MWW13" s="41"/>
      <c r="MWX13" s="41"/>
      <c r="MWY13" s="41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1"/>
      <c r="NBT13" s="41"/>
      <c r="NBU13" s="41"/>
      <c r="NBV13" s="41"/>
      <c r="NBW13" s="41"/>
      <c r="NBX13" s="41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1"/>
      <c r="NGS13" s="41"/>
      <c r="NGT13" s="41"/>
      <c r="NGU13" s="41"/>
      <c r="NGV13" s="41"/>
      <c r="NGW13" s="41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1"/>
      <c r="NLR13" s="41"/>
      <c r="NLS13" s="41"/>
      <c r="NLT13" s="41"/>
      <c r="NLU13" s="41"/>
      <c r="NLV13" s="41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1"/>
      <c r="NQQ13" s="41"/>
      <c r="NQR13" s="41"/>
      <c r="NQS13" s="41"/>
      <c r="NQT13" s="41"/>
      <c r="NQU13" s="41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1"/>
      <c r="NVP13" s="41"/>
      <c r="NVQ13" s="41"/>
      <c r="NVR13" s="41"/>
      <c r="NVS13" s="41"/>
      <c r="NVT13" s="41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1"/>
      <c r="OAO13" s="41"/>
      <c r="OAP13" s="41"/>
      <c r="OAQ13" s="41"/>
      <c r="OAR13" s="41"/>
      <c r="OAS13" s="41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1"/>
      <c r="OFN13" s="41"/>
      <c r="OFO13" s="41"/>
      <c r="OFP13" s="41"/>
      <c r="OFQ13" s="41"/>
      <c r="OFR13" s="41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1"/>
      <c r="OKM13" s="41"/>
      <c r="OKN13" s="41"/>
      <c r="OKO13" s="41"/>
      <c r="OKP13" s="41"/>
      <c r="OKQ13" s="41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1"/>
      <c r="OPL13" s="41"/>
      <c r="OPM13" s="41"/>
      <c r="OPN13" s="41"/>
      <c r="OPO13" s="41"/>
      <c r="OPP13" s="41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1"/>
      <c r="OUK13" s="41"/>
      <c r="OUL13" s="41"/>
      <c r="OUM13" s="41"/>
      <c r="OUN13" s="41"/>
      <c r="OUO13" s="41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1"/>
      <c r="OZJ13" s="41"/>
      <c r="OZK13" s="41"/>
      <c r="OZL13" s="41"/>
      <c r="OZM13" s="41"/>
      <c r="OZN13" s="41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1"/>
      <c r="PEI13" s="41"/>
      <c r="PEJ13" s="41"/>
      <c r="PEK13" s="41"/>
      <c r="PEL13" s="41"/>
      <c r="PEM13" s="41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1"/>
      <c r="PJH13" s="41"/>
      <c r="PJI13" s="41"/>
      <c r="PJJ13" s="41"/>
      <c r="PJK13" s="41"/>
      <c r="PJL13" s="41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1"/>
      <c r="POG13" s="41"/>
      <c r="POH13" s="41"/>
      <c r="POI13" s="41"/>
      <c r="POJ13" s="41"/>
      <c r="POK13" s="41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1"/>
      <c r="PTF13" s="41"/>
      <c r="PTG13" s="41"/>
      <c r="PTH13" s="41"/>
      <c r="PTI13" s="41"/>
      <c r="PTJ13" s="41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1"/>
      <c r="PYE13" s="41"/>
      <c r="PYF13" s="41"/>
      <c r="PYG13" s="41"/>
      <c r="PYH13" s="41"/>
      <c r="PYI13" s="41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1"/>
      <c r="QDD13" s="41"/>
      <c r="QDE13" s="41"/>
      <c r="QDF13" s="41"/>
      <c r="QDG13" s="41"/>
      <c r="QDH13" s="41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1"/>
      <c r="QIC13" s="41"/>
      <c r="QID13" s="41"/>
      <c r="QIE13" s="41"/>
      <c r="QIF13" s="41"/>
      <c r="QIG13" s="41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1"/>
      <c r="QNB13" s="41"/>
      <c r="QNC13" s="41"/>
      <c r="QND13" s="41"/>
      <c r="QNE13" s="41"/>
      <c r="QNF13" s="41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1"/>
      <c r="QSA13" s="41"/>
      <c r="QSB13" s="41"/>
      <c r="QSC13" s="41"/>
      <c r="QSD13" s="41"/>
      <c r="QSE13" s="41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1"/>
      <c r="QWZ13" s="41"/>
      <c r="QXA13" s="41"/>
      <c r="QXB13" s="41"/>
      <c r="QXC13" s="41"/>
      <c r="QXD13" s="41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1"/>
      <c r="RBY13" s="41"/>
      <c r="RBZ13" s="41"/>
      <c r="RCA13" s="41"/>
      <c r="RCB13" s="41"/>
      <c r="RCC13" s="41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1"/>
      <c r="RGX13" s="41"/>
      <c r="RGY13" s="41"/>
      <c r="RGZ13" s="41"/>
      <c r="RHA13" s="41"/>
      <c r="RHB13" s="41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1"/>
      <c r="RLW13" s="41"/>
      <c r="RLX13" s="41"/>
      <c r="RLY13" s="41"/>
      <c r="RLZ13" s="41"/>
      <c r="RMA13" s="41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1"/>
      <c r="RQV13" s="41"/>
      <c r="RQW13" s="41"/>
      <c r="RQX13" s="41"/>
      <c r="RQY13" s="41"/>
      <c r="RQZ13" s="41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1"/>
      <c r="RVU13" s="41"/>
      <c r="RVV13" s="41"/>
      <c r="RVW13" s="41"/>
      <c r="RVX13" s="41"/>
      <c r="RVY13" s="41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1"/>
      <c r="SAT13" s="41"/>
      <c r="SAU13" s="41"/>
      <c r="SAV13" s="41"/>
      <c r="SAW13" s="41"/>
      <c r="SAX13" s="41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1"/>
      <c r="SFS13" s="41"/>
      <c r="SFT13" s="41"/>
      <c r="SFU13" s="41"/>
      <c r="SFV13" s="41"/>
      <c r="SFW13" s="41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1"/>
      <c r="SKR13" s="41"/>
      <c r="SKS13" s="41"/>
      <c r="SKT13" s="41"/>
      <c r="SKU13" s="41"/>
      <c r="SKV13" s="41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1"/>
      <c r="SPQ13" s="41"/>
      <c r="SPR13" s="41"/>
      <c r="SPS13" s="41"/>
      <c r="SPT13" s="41"/>
      <c r="SPU13" s="41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1"/>
      <c r="SUP13" s="41"/>
      <c r="SUQ13" s="41"/>
      <c r="SUR13" s="41"/>
      <c r="SUS13" s="41"/>
      <c r="SUT13" s="41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1"/>
      <c r="SZO13" s="41"/>
      <c r="SZP13" s="41"/>
      <c r="SZQ13" s="41"/>
      <c r="SZR13" s="41"/>
      <c r="SZS13" s="41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1"/>
      <c r="TEN13" s="41"/>
      <c r="TEO13" s="41"/>
      <c r="TEP13" s="41"/>
      <c r="TEQ13" s="41"/>
      <c r="TER13" s="41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1"/>
      <c r="TJM13" s="41"/>
      <c r="TJN13" s="41"/>
      <c r="TJO13" s="41"/>
      <c r="TJP13" s="41"/>
      <c r="TJQ13" s="41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1"/>
      <c r="TOL13" s="41"/>
      <c r="TOM13" s="41"/>
      <c r="TON13" s="41"/>
      <c r="TOO13" s="41"/>
      <c r="TOP13" s="41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1"/>
      <c r="TTK13" s="41"/>
      <c r="TTL13" s="41"/>
      <c r="TTM13" s="41"/>
      <c r="TTN13" s="41"/>
      <c r="TTO13" s="41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1"/>
      <c r="TYJ13" s="41"/>
      <c r="TYK13" s="41"/>
      <c r="TYL13" s="41"/>
      <c r="TYM13" s="41"/>
      <c r="TYN13" s="41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1"/>
      <c r="UDI13" s="41"/>
      <c r="UDJ13" s="41"/>
      <c r="UDK13" s="41"/>
      <c r="UDL13" s="41"/>
      <c r="UDM13" s="41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1"/>
      <c r="UIH13" s="41"/>
      <c r="UII13" s="41"/>
      <c r="UIJ13" s="41"/>
      <c r="UIK13" s="41"/>
      <c r="UIL13" s="41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1"/>
      <c r="UNG13" s="41"/>
      <c r="UNH13" s="41"/>
      <c r="UNI13" s="41"/>
      <c r="UNJ13" s="41"/>
      <c r="UNK13" s="41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1"/>
      <c r="USF13" s="41"/>
      <c r="USG13" s="41"/>
      <c r="USH13" s="41"/>
      <c r="USI13" s="41"/>
      <c r="USJ13" s="41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1"/>
      <c r="UXE13" s="41"/>
      <c r="UXF13" s="41"/>
      <c r="UXG13" s="41"/>
      <c r="UXH13" s="41"/>
      <c r="UXI13" s="41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1"/>
      <c r="VCD13" s="41"/>
      <c r="VCE13" s="41"/>
      <c r="VCF13" s="41"/>
      <c r="VCG13" s="41"/>
      <c r="VCH13" s="41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1"/>
      <c r="VHC13" s="41"/>
      <c r="VHD13" s="41"/>
      <c r="VHE13" s="41"/>
      <c r="VHF13" s="41"/>
      <c r="VHG13" s="41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1"/>
      <c r="VMB13" s="41"/>
      <c r="VMC13" s="41"/>
      <c r="VMD13" s="41"/>
      <c r="VME13" s="41"/>
      <c r="VMF13" s="41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1"/>
      <c r="VRA13" s="41"/>
      <c r="VRB13" s="41"/>
      <c r="VRC13" s="41"/>
      <c r="VRD13" s="41"/>
      <c r="VRE13" s="41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1"/>
      <c r="VVZ13" s="41"/>
      <c r="VWA13" s="41"/>
      <c r="VWB13" s="41"/>
      <c r="VWC13" s="41"/>
      <c r="VWD13" s="41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1"/>
      <c r="WAY13" s="41"/>
      <c r="WAZ13" s="41"/>
      <c r="WBA13" s="41"/>
      <c r="WBB13" s="41"/>
      <c r="WBC13" s="41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1"/>
      <c r="WFX13" s="41"/>
      <c r="WFY13" s="41"/>
      <c r="WFZ13" s="41"/>
      <c r="WGA13" s="41"/>
      <c r="WGB13" s="41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1"/>
      <c r="WKW13" s="41"/>
      <c r="WKX13" s="41"/>
      <c r="WKY13" s="41"/>
      <c r="WKZ13" s="41"/>
      <c r="WLA13" s="41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1"/>
      <c r="WPV13" s="41"/>
      <c r="WPW13" s="41"/>
      <c r="WPX13" s="41"/>
      <c r="WPY13" s="41"/>
      <c r="WPZ13" s="41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1"/>
      <c r="WUU13" s="41"/>
      <c r="WUV13" s="41"/>
      <c r="WUW13" s="41"/>
      <c r="WUX13" s="41"/>
      <c r="WUY13" s="41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1"/>
      <c r="WZT13" s="41"/>
      <c r="WZU13" s="41"/>
      <c r="WZV13" s="41"/>
      <c r="WZW13" s="41"/>
      <c r="WZX13" s="41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  <c r="XEC13" s="41"/>
      <c r="XED13" s="41"/>
      <c r="XEE13" s="41"/>
      <c r="XEF13" s="41"/>
      <c r="XEG13" s="41"/>
      <c r="XEH13" s="41"/>
      <c r="XEI13" s="41"/>
      <c r="XEJ13" s="41"/>
      <c r="XEK13" s="41"/>
      <c r="XEL13" s="41"/>
      <c r="XEM13" s="41"/>
      <c r="XEN13" s="41"/>
      <c r="XEO13" s="41"/>
      <c r="XEP13" s="41"/>
      <c r="XEQ13" s="41"/>
      <c r="XER13" s="41"/>
      <c r="XES13" s="41"/>
      <c r="XET13" s="41"/>
      <c r="XEU13" s="41"/>
      <c r="XEV13" s="41"/>
      <c r="XEW13" s="41"/>
      <c r="XEX13" s="41"/>
    </row>
    <row r="14" spans="1:16378">
      <c r="A14" s="4">
        <v>321</v>
      </c>
      <c r="B14" s="5">
        <v>202444360</v>
      </c>
      <c r="C14" s="5">
        <v>13757464</v>
      </c>
      <c r="D14" s="5">
        <v>202444360</v>
      </c>
      <c r="E14" s="4" t="s">
        <v>359</v>
      </c>
      <c r="F14" s="4" t="s">
        <v>360</v>
      </c>
      <c r="G14" s="25">
        <v>45320</v>
      </c>
      <c r="H14" s="6" t="s">
        <v>71</v>
      </c>
      <c r="I14" s="4" t="s">
        <v>72</v>
      </c>
      <c r="J14" s="4" t="s">
        <v>105</v>
      </c>
      <c r="K14" s="4">
        <v>1299</v>
      </c>
      <c r="L14" s="7" t="s">
        <v>74</v>
      </c>
      <c r="M14" s="7" t="s">
        <v>87</v>
      </c>
      <c r="N14" s="7" t="s">
        <v>75</v>
      </c>
      <c r="O14" s="6" t="s">
        <v>348</v>
      </c>
      <c r="P14" s="6" t="s">
        <v>77</v>
      </c>
      <c r="Q14" s="7" t="s">
        <v>2</v>
      </c>
      <c r="R14" s="24">
        <v>45516</v>
      </c>
      <c r="S14" s="6" t="s">
        <v>139</v>
      </c>
      <c r="T14" s="4" t="s">
        <v>10</v>
      </c>
      <c r="U14" s="4" t="s">
        <v>26</v>
      </c>
      <c r="V14" s="34" t="s">
        <v>13</v>
      </c>
      <c r="W14" s="34" t="s">
        <v>140</v>
      </c>
      <c r="X14" s="6" t="s">
        <v>81</v>
      </c>
      <c r="Y14" s="6"/>
      <c r="Z14" s="4">
        <v>99</v>
      </c>
      <c r="AA14" s="4" t="s">
        <v>1053</v>
      </c>
      <c r="AB14" s="4">
        <v>191</v>
      </c>
      <c r="AC14" s="4" t="s">
        <v>113</v>
      </c>
      <c r="AD14" s="5"/>
      <c r="AE14" s="38"/>
      <c r="AF14" s="4" t="s">
        <v>349</v>
      </c>
      <c r="AG14" s="4"/>
      <c r="AH14" s="4"/>
      <c r="AI14" s="4"/>
      <c r="AJ14" s="4" t="s">
        <v>72</v>
      </c>
      <c r="AK14" s="35" t="s">
        <v>74</v>
      </c>
      <c r="AL14" s="35" t="s">
        <v>89</v>
      </c>
      <c r="AM14" s="35" t="s">
        <v>90</v>
      </c>
      <c r="AN14" s="35" t="b">
        <v>1</v>
      </c>
      <c r="AO14" s="35" t="b">
        <v>0</v>
      </c>
      <c r="AP14" s="35" t="b">
        <v>0</v>
      </c>
      <c r="AQ14" s="50" t="s">
        <v>84</v>
      </c>
      <c r="AR14" s="50" t="s">
        <v>84</v>
      </c>
      <c r="AS14" s="46" t="s">
        <v>74</v>
      </c>
      <c r="AT14" s="47" t="s">
        <v>83</v>
      </c>
      <c r="AU14" s="47" t="s">
        <v>83</v>
      </c>
      <c r="AV14" s="47" t="s">
        <v>83</v>
      </c>
      <c r="AW14" s="46" t="s">
        <v>74</v>
      </c>
      <c r="AX14" s="46" t="s">
        <v>74</v>
      </c>
      <c r="AY14" s="46" t="s">
        <v>74</v>
      </c>
      <c r="AZ14" s="51" t="s">
        <v>84</v>
      </c>
      <c r="BA14" s="51" t="s">
        <v>84</v>
      </c>
      <c r="BB14" s="46" t="s">
        <v>74</v>
      </c>
      <c r="BC14" s="46" t="s">
        <v>74</v>
      </c>
      <c r="BD14" s="46" t="s">
        <v>74</v>
      </c>
      <c r="BE14" s="46" t="s">
        <v>74</v>
      </c>
      <c r="BF14" s="46" t="s">
        <v>74</v>
      </c>
      <c r="BG14" s="51" t="s">
        <v>84</v>
      </c>
      <c r="BH14" s="51" t="s">
        <v>84</v>
      </c>
      <c r="BI14" s="46" t="s">
        <v>74</v>
      </c>
      <c r="BJ14" s="46" t="s">
        <v>74</v>
      </c>
    </row>
    <row r="15" spans="1:16378">
      <c r="A15" s="4">
        <v>314</v>
      </c>
      <c r="B15" s="5">
        <v>112911455</v>
      </c>
      <c r="C15" s="5">
        <v>11948609</v>
      </c>
      <c r="D15" s="5">
        <v>112911455</v>
      </c>
      <c r="E15" s="4" t="s">
        <v>353</v>
      </c>
      <c r="F15" s="4" t="s">
        <v>354</v>
      </c>
      <c r="G15" s="25">
        <v>45341</v>
      </c>
      <c r="H15" s="6" t="s">
        <v>71</v>
      </c>
      <c r="I15" s="4" t="s">
        <v>72</v>
      </c>
      <c r="J15" s="4" t="s">
        <v>105</v>
      </c>
      <c r="K15" s="4">
        <v>1299</v>
      </c>
      <c r="L15" s="7" t="s">
        <v>74</v>
      </c>
      <c r="M15" s="7" t="s">
        <v>76</v>
      </c>
      <c r="N15" s="7" t="s">
        <v>88</v>
      </c>
      <c r="O15" s="6" t="s">
        <v>348</v>
      </c>
      <c r="P15" s="6" t="s">
        <v>77</v>
      </c>
      <c r="Q15" s="7" t="s">
        <v>3</v>
      </c>
      <c r="R15" s="24">
        <v>45516</v>
      </c>
      <c r="S15" s="6" t="s">
        <v>139</v>
      </c>
      <c r="T15" s="4" t="s">
        <v>10</v>
      </c>
      <c r="U15" s="4" t="s">
        <v>24</v>
      </c>
      <c r="V15" s="34" t="s">
        <v>13</v>
      </c>
      <c r="W15" s="34" t="s">
        <v>140</v>
      </c>
      <c r="X15" s="6" t="s">
        <v>81</v>
      </c>
      <c r="Y15" s="6" t="s">
        <v>103</v>
      </c>
      <c r="Z15" s="4">
        <v>99</v>
      </c>
      <c r="AA15" s="4" t="s">
        <v>1053</v>
      </c>
      <c r="AB15" s="4">
        <v>197</v>
      </c>
      <c r="AC15" s="4" t="s">
        <v>113</v>
      </c>
      <c r="AD15" s="5">
        <v>563259591</v>
      </c>
      <c r="AE15" s="38" t="s">
        <v>355</v>
      </c>
      <c r="AF15" s="4" t="s">
        <v>127</v>
      </c>
      <c r="AG15" s="4"/>
      <c r="AH15" s="4"/>
      <c r="AI15" s="4"/>
      <c r="AJ15" s="4" t="s">
        <v>72</v>
      </c>
      <c r="AK15" s="35" t="s">
        <v>74</v>
      </c>
      <c r="AL15" s="35" t="s">
        <v>94</v>
      </c>
      <c r="AM15" s="35" t="s">
        <v>89</v>
      </c>
      <c r="AN15" s="35" t="b">
        <v>1</v>
      </c>
      <c r="AO15" s="35" t="b">
        <v>0</v>
      </c>
      <c r="AP15" s="35" t="b">
        <v>0</v>
      </c>
      <c r="AQ15" s="51" t="s">
        <v>84</v>
      </c>
      <c r="AR15" s="35" t="s">
        <v>74</v>
      </c>
      <c r="AS15" s="35" t="s">
        <v>74</v>
      </c>
      <c r="AT15" s="35" t="s">
        <v>83</v>
      </c>
      <c r="AU15" s="35" t="s">
        <v>83</v>
      </c>
      <c r="AV15" s="35" t="s">
        <v>83</v>
      </c>
      <c r="AW15" s="35" t="s">
        <v>74</v>
      </c>
      <c r="AX15" s="35" t="s">
        <v>74</v>
      </c>
      <c r="AY15" s="46" t="s">
        <v>74</v>
      </c>
      <c r="AZ15" s="46" t="s">
        <v>74</v>
      </c>
      <c r="BA15" s="46" t="s">
        <v>74</v>
      </c>
      <c r="BB15" s="51" t="s">
        <v>84</v>
      </c>
      <c r="BC15" s="51" t="s">
        <v>84</v>
      </c>
      <c r="BD15" s="46" t="s">
        <v>74</v>
      </c>
      <c r="BE15" s="46" t="s">
        <v>74</v>
      </c>
      <c r="BF15" s="46" t="s">
        <v>74</v>
      </c>
      <c r="BG15" s="46" t="s">
        <v>74</v>
      </c>
      <c r="BH15" s="46" t="s">
        <v>74</v>
      </c>
      <c r="BI15" s="51" t="s">
        <v>84</v>
      </c>
      <c r="BJ15" s="51" t="s">
        <v>84</v>
      </c>
    </row>
    <row r="16" spans="1:16378">
      <c r="A16" s="4">
        <v>315</v>
      </c>
      <c r="B16" s="5">
        <v>203024152</v>
      </c>
      <c r="C16" s="5">
        <v>15292613</v>
      </c>
      <c r="D16" s="5">
        <v>203024152</v>
      </c>
      <c r="E16" s="4" t="s">
        <v>356</v>
      </c>
      <c r="F16" s="4" t="s">
        <v>357</v>
      </c>
      <c r="G16" s="25">
        <v>45341</v>
      </c>
      <c r="H16" s="6" t="s">
        <v>71</v>
      </c>
      <c r="I16" s="4" t="s">
        <v>72</v>
      </c>
      <c r="J16" s="4" t="s">
        <v>105</v>
      </c>
      <c r="K16" s="4">
        <v>1299</v>
      </c>
      <c r="L16" s="7" t="s">
        <v>74</v>
      </c>
      <c r="M16" s="7" t="s">
        <v>76</v>
      </c>
      <c r="N16" s="7" t="s">
        <v>88</v>
      </c>
      <c r="O16" s="6" t="s">
        <v>348</v>
      </c>
      <c r="P16" s="6" t="s">
        <v>77</v>
      </c>
      <c r="Q16" s="7" t="s">
        <v>3</v>
      </c>
      <c r="R16" s="24">
        <v>45516</v>
      </c>
      <c r="S16" s="6" t="s">
        <v>139</v>
      </c>
      <c r="T16" s="4" t="s">
        <v>10</v>
      </c>
      <c r="U16" s="4" t="s">
        <v>26</v>
      </c>
      <c r="V16" s="34" t="s">
        <v>13</v>
      </c>
      <c r="W16" s="34" t="s">
        <v>140</v>
      </c>
      <c r="X16" s="6" t="s">
        <v>92</v>
      </c>
      <c r="Y16" s="6"/>
      <c r="Z16" s="4">
        <v>99</v>
      </c>
      <c r="AA16" s="4" t="s">
        <v>1053</v>
      </c>
      <c r="AB16" s="4">
        <v>556</v>
      </c>
      <c r="AC16" s="4" t="s">
        <v>113</v>
      </c>
      <c r="AD16" s="5"/>
      <c r="AE16" s="38"/>
      <c r="AF16" s="4" t="s">
        <v>349</v>
      </c>
      <c r="AG16" s="4"/>
      <c r="AH16" s="4"/>
      <c r="AI16" s="4"/>
      <c r="AJ16" s="4" t="s">
        <v>72</v>
      </c>
      <c r="AK16" s="35" t="s">
        <v>74</v>
      </c>
      <c r="AL16" s="35" t="s">
        <v>90</v>
      </c>
      <c r="AM16" s="35" t="s">
        <v>87</v>
      </c>
      <c r="AN16" s="35" t="b">
        <v>1</v>
      </c>
      <c r="AO16" s="35" t="b">
        <v>0</v>
      </c>
      <c r="AP16" s="35" t="b">
        <v>0</v>
      </c>
      <c r="AQ16" s="35" t="s">
        <v>74</v>
      </c>
      <c r="AR16" s="51" t="s">
        <v>84</v>
      </c>
      <c r="AS16" s="51" t="s">
        <v>84</v>
      </c>
      <c r="AT16" s="35" t="s">
        <v>83</v>
      </c>
      <c r="AU16" s="35" t="s">
        <v>83</v>
      </c>
      <c r="AV16" s="35" t="s">
        <v>83</v>
      </c>
      <c r="AW16" s="35" t="s">
        <v>74</v>
      </c>
      <c r="AX16" s="35" t="s">
        <v>74</v>
      </c>
      <c r="AY16" s="46" t="s">
        <v>74</v>
      </c>
      <c r="AZ16" s="46" t="s">
        <v>74</v>
      </c>
      <c r="BA16" s="46" t="s">
        <v>74</v>
      </c>
      <c r="BB16" s="51" t="s">
        <v>84</v>
      </c>
      <c r="BC16" s="51" t="s">
        <v>84</v>
      </c>
      <c r="BD16" s="46" t="s">
        <v>74</v>
      </c>
      <c r="BE16" s="46" t="s">
        <v>74</v>
      </c>
      <c r="BF16" s="46" t="s">
        <v>74</v>
      </c>
      <c r="BG16" s="46" t="s">
        <v>74</v>
      </c>
      <c r="BH16" s="46" t="s">
        <v>74</v>
      </c>
      <c r="BI16" s="51" t="s">
        <v>84</v>
      </c>
      <c r="BJ16" s="51" t="s">
        <v>84</v>
      </c>
    </row>
    <row r="17" spans="1:62">
      <c r="A17" s="4">
        <v>322</v>
      </c>
      <c r="B17" s="5">
        <v>203080170</v>
      </c>
      <c r="C17" s="5">
        <v>12532142</v>
      </c>
      <c r="D17" s="5">
        <v>203080170</v>
      </c>
      <c r="E17" s="4" t="s">
        <v>361</v>
      </c>
      <c r="F17" s="4" t="s">
        <v>362</v>
      </c>
      <c r="G17" s="25">
        <v>45362</v>
      </c>
      <c r="H17" s="6" t="s">
        <v>71</v>
      </c>
      <c r="I17" s="4" t="s">
        <v>72</v>
      </c>
      <c r="J17" s="4" t="s">
        <v>73</v>
      </c>
      <c r="K17" s="4">
        <v>1299</v>
      </c>
      <c r="L17" s="7" t="s">
        <v>74</v>
      </c>
      <c r="M17" s="7" t="s">
        <v>76</v>
      </c>
      <c r="N17" s="7" t="s">
        <v>88</v>
      </c>
      <c r="O17" s="6" t="s">
        <v>348</v>
      </c>
      <c r="P17" s="6" t="s">
        <v>77</v>
      </c>
      <c r="Q17" s="7" t="s">
        <v>3</v>
      </c>
      <c r="R17" s="24">
        <v>45516</v>
      </c>
      <c r="S17" s="6" t="s">
        <v>139</v>
      </c>
      <c r="T17" s="4" t="s">
        <v>10</v>
      </c>
      <c r="U17" s="4" t="s">
        <v>24</v>
      </c>
      <c r="V17" s="34" t="s">
        <v>13</v>
      </c>
      <c r="W17" s="34" t="s">
        <v>140</v>
      </c>
      <c r="X17" s="6" t="s">
        <v>92</v>
      </c>
      <c r="Y17" s="6" t="s">
        <v>112</v>
      </c>
      <c r="Z17" s="4">
        <v>99</v>
      </c>
      <c r="AA17" s="4" t="s">
        <v>1053</v>
      </c>
      <c r="AB17" s="4">
        <v>554</v>
      </c>
      <c r="AC17" s="4" t="s">
        <v>113</v>
      </c>
      <c r="AD17" s="5">
        <v>525377045</v>
      </c>
      <c r="AE17" s="38" t="s">
        <v>363</v>
      </c>
      <c r="AF17" s="4" t="s">
        <v>85</v>
      </c>
      <c r="AG17" s="4"/>
      <c r="AH17" s="4"/>
      <c r="AI17" s="4"/>
      <c r="AJ17" s="4" t="s">
        <v>72</v>
      </c>
      <c r="AK17" s="35" t="s">
        <v>74</v>
      </c>
      <c r="AL17" s="35" t="s">
        <v>94</v>
      </c>
      <c r="AM17" s="35" t="s">
        <v>89</v>
      </c>
      <c r="AN17" s="35" t="b">
        <v>1</v>
      </c>
      <c r="AO17" s="35" t="b">
        <v>0</v>
      </c>
      <c r="AP17" s="35" t="b">
        <v>0</v>
      </c>
      <c r="AQ17" s="51" t="s">
        <v>84</v>
      </c>
      <c r="AR17" s="35" t="s">
        <v>74</v>
      </c>
      <c r="AS17" s="35" t="s">
        <v>74</v>
      </c>
      <c r="AT17" s="35" t="s">
        <v>83</v>
      </c>
      <c r="AU17" s="35" t="s">
        <v>83</v>
      </c>
      <c r="AV17" s="35" t="s">
        <v>83</v>
      </c>
      <c r="AW17" s="35" t="s">
        <v>74</v>
      </c>
      <c r="AX17" s="35" t="s">
        <v>74</v>
      </c>
      <c r="AY17" s="46" t="s">
        <v>74</v>
      </c>
      <c r="AZ17" s="46" t="s">
        <v>74</v>
      </c>
      <c r="BA17" s="46" t="s">
        <v>74</v>
      </c>
      <c r="BB17" s="51" t="s">
        <v>84</v>
      </c>
      <c r="BC17" s="51" t="s">
        <v>84</v>
      </c>
      <c r="BD17" s="46" t="s">
        <v>74</v>
      </c>
      <c r="BE17" s="46" t="s">
        <v>74</v>
      </c>
      <c r="BF17" s="46" t="s">
        <v>74</v>
      </c>
      <c r="BG17" s="46" t="s">
        <v>74</v>
      </c>
      <c r="BH17" s="46" t="s">
        <v>74</v>
      </c>
      <c r="BI17" s="51" t="s">
        <v>84</v>
      </c>
      <c r="BJ17" s="51" t="s">
        <v>84</v>
      </c>
    </row>
    <row r="18" spans="1:62">
      <c r="A18" s="4">
        <v>323</v>
      </c>
      <c r="B18" s="5">
        <v>203080172</v>
      </c>
      <c r="C18" s="5">
        <v>14392110</v>
      </c>
      <c r="D18" s="5">
        <v>203080172</v>
      </c>
      <c r="E18" s="4" t="s">
        <v>364</v>
      </c>
      <c r="F18" s="4" t="s">
        <v>365</v>
      </c>
      <c r="G18" s="25">
        <v>45362</v>
      </c>
      <c r="H18" s="6" t="s">
        <v>71</v>
      </c>
      <c r="I18" s="4" t="s">
        <v>72</v>
      </c>
      <c r="J18" s="4" t="s">
        <v>73</v>
      </c>
      <c r="K18" s="4">
        <v>1299</v>
      </c>
      <c r="L18" s="7" t="s">
        <v>74</v>
      </c>
      <c r="M18" s="7" t="s">
        <v>76</v>
      </c>
      <c r="N18" s="7" t="s">
        <v>88</v>
      </c>
      <c r="O18" s="6" t="s">
        <v>348</v>
      </c>
      <c r="P18" s="6" t="s">
        <v>77</v>
      </c>
      <c r="Q18" s="7" t="s">
        <v>3</v>
      </c>
      <c r="R18" s="24">
        <v>45516</v>
      </c>
      <c r="S18" s="6" t="s">
        <v>139</v>
      </c>
      <c r="T18" s="4" t="s">
        <v>10</v>
      </c>
      <c r="U18" s="4" t="s">
        <v>24</v>
      </c>
      <c r="V18" s="34" t="s">
        <v>13</v>
      </c>
      <c r="W18" s="34" t="s">
        <v>140</v>
      </c>
      <c r="X18" s="6" t="s">
        <v>92</v>
      </c>
      <c r="Y18" s="6" t="s">
        <v>112</v>
      </c>
      <c r="Z18" s="4">
        <v>99</v>
      </c>
      <c r="AA18" s="4" t="s">
        <v>1053</v>
      </c>
      <c r="AB18" s="4">
        <v>553</v>
      </c>
      <c r="AC18" s="4" t="s">
        <v>113</v>
      </c>
      <c r="AD18" s="5">
        <v>553352477</v>
      </c>
      <c r="AE18" s="38" t="s">
        <v>366</v>
      </c>
      <c r="AF18" s="4" t="s">
        <v>95</v>
      </c>
      <c r="AG18" s="4"/>
      <c r="AH18" s="4"/>
      <c r="AI18" s="4"/>
      <c r="AJ18" s="4" t="s">
        <v>72</v>
      </c>
      <c r="AK18" s="35" t="s">
        <v>74</v>
      </c>
      <c r="AL18" s="35" t="s">
        <v>94</v>
      </c>
      <c r="AM18" s="35" t="s">
        <v>89</v>
      </c>
      <c r="AN18" s="35" t="b">
        <v>1</v>
      </c>
      <c r="AO18" s="35" t="b">
        <v>0</v>
      </c>
      <c r="AP18" s="35" t="b">
        <v>0</v>
      </c>
      <c r="AQ18" s="51" t="s">
        <v>84</v>
      </c>
      <c r="AR18" s="35" t="s">
        <v>74</v>
      </c>
      <c r="AS18" s="35" t="s">
        <v>74</v>
      </c>
      <c r="AT18" s="35" t="s">
        <v>83</v>
      </c>
      <c r="AU18" s="35" t="s">
        <v>83</v>
      </c>
      <c r="AV18" s="35" t="s">
        <v>83</v>
      </c>
      <c r="AW18" s="35" t="s">
        <v>74</v>
      </c>
      <c r="AX18" s="35" t="s">
        <v>74</v>
      </c>
      <c r="AY18" s="46" t="s">
        <v>74</v>
      </c>
      <c r="AZ18" s="46" t="s">
        <v>74</v>
      </c>
      <c r="BA18" s="46" t="s">
        <v>74</v>
      </c>
      <c r="BB18" s="51" t="s">
        <v>84</v>
      </c>
      <c r="BC18" s="51" t="s">
        <v>84</v>
      </c>
      <c r="BD18" s="46" t="s">
        <v>74</v>
      </c>
      <c r="BE18" s="46" t="s">
        <v>74</v>
      </c>
      <c r="BF18" s="46" t="s">
        <v>74</v>
      </c>
      <c r="BG18" s="46" t="s">
        <v>74</v>
      </c>
      <c r="BH18" s="46" t="s">
        <v>74</v>
      </c>
      <c r="BI18" s="51" t="s">
        <v>84</v>
      </c>
      <c r="BJ18" s="51" t="s">
        <v>84</v>
      </c>
    </row>
    <row r="19" spans="1:62">
      <c r="A19" s="4">
        <v>543</v>
      </c>
      <c r="B19" s="5">
        <v>201635707</v>
      </c>
      <c r="C19" s="5">
        <v>13820996</v>
      </c>
      <c r="D19" s="5">
        <v>201635707</v>
      </c>
      <c r="E19" s="4" t="s">
        <v>377</v>
      </c>
      <c r="F19" s="4" t="s">
        <v>378</v>
      </c>
      <c r="G19" s="25">
        <v>45330</v>
      </c>
      <c r="H19" s="6" t="s">
        <v>71</v>
      </c>
      <c r="I19" s="4" t="s">
        <v>72</v>
      </c>
      <c r="J19" s="4" t="s">
        <v>73</v>
      </c>
      <c r="K19" s="4">
        <v>1299</v>
      </c>
      <c r="L19" s="7" t="s">
        <v>74</v>
      </c>
      <c r="M19" s="7" t="s">
        <v>90</v>
      </c>
      <c r="N19" s="7" t="s">
        <v>87</v>
      </c>
      <c r="O19" s="6" t="s">
        <v>348</v>
      </c>
      <c r="P19" s="6" t="s">
        <v>77</v>
      </c>
      <c r="Q19" s="82" t="s">
        <v>5</v>
      </c>
      <c r="R19" s="24">
        <v>45536</v>
      </c>
      <c r="S19" s="6" t="s">
        <v>379</v>
      </c>
      <c r="T19" s="4" t="s">
        <v>10</v>
      </c>
      <c r="U19" s="4" t="s">
        <v>26</v>
      </c>
      <c r="V19" s="34" t="s">
        <v>16</v>
      </c>
      <c r="W19" s="34" t="s">
        <v>380</v>
      </c>
      <c r="X19" s="6" t="s">
        <v>81</v>
      </c>
      <c r="Y19" s="6" t="s">
        <v>107</v>
      </c>
      <c r="Z19" s="4">
        <v>99</v>
      </c>
      <c r="AA19" s="4" t="s">
        <v>1053</v>
      </c>
      <c r="AB19" s="4">
        <v>140</v>
      </c>
      <c r="AC19" s="4" t="s">
        <v>113</v>
      </c>
    </row>
    <row r="20" spans="1:62">
      <c r="A20" s="4">
        <v>574</v>
      </c>
      <c r="B20" s="5">
        <v>203341963</v>
      </c>
      <c r="C20" s="5">
        <v>12093405</v>
      </c>
      <c r="D20" s="5">
        <v>203341963</v>
      </c>
      <c r="E20" s="4" t="s">
        <v>417</v>
      </c>
      <c r="F20" s="4" t="s">
        <v>418</v>
      </c>
      <c r="G20" s="25">
        <v>45432</v>
      </c>
      <c r="H20" s="6" t="s">
        <v>71</v>
      </c>
      <c r="I20" s="86" t="s">
        <v>72</v>
      </c>
      <c r="J20" s="86" t="s">
        <v>105</v>
      </c>
      <c r="K20" s="86">
        <v>1299</v>
      </c>
      <c r="L20" s="87" t="s">
        <v>82</v>
      </c>
      <c r="M20" s="7" t="s">
        <v>87</v>
      </c>
      <c r="N20" s="7" t="s">
        <v>75</v>
      </c>
      <c r="O20" s="88" t="s">
        <v>2414</v>
      </c>
      <c r="P20" s="6" t="s">
        <v>1790</v>
      </c>
      <c r="Q20" s="7" t="s">
        <v>5</v>
      </c>
      <c r="S20" s="7" t="s">
        <v>1113</v>
      </c>
      <c r="T20" s="86" t="s">
        <v>10</v>
      </c>
      <c r="U20" s="86" t="s">
        <v>20</v>
      </c>
      <c r="V20" s="4" t="s">
        <v>18</v>
      </c>
      <c r="W20" s="4" t="s">
        <v>376</v>
      </c>
      <c r="X20" s="88" t="s">
        <v>92</v>
      </c>
      <c r="Z20" s="86">
        <v>99</v>
      </c>
    </row>
  </sheetData>
  <conditionalFormatting sqref="A3:A8">
    <cfRule type="containsBlanks" dxfId="114" priority="113">
      <formula>LEN(TRIM(A3))=0</formula>
    </cfRule>
  </conditionalFormatting>
  <conditionalFormatting sqref="A1:B1">
    <cfRule type="containsBlanks" dxfId="113" priority="132">
      <formula>LEN(TRIM(A1))=0</formula>
    </cfRule>
  </conditionalFormatting>
  <conditionalFormatting sqref="A2:B2">
    <cfRule type="containsBlanks" dxfId="112" priority="119">
      <formula>LEN(TRIM(A2))=0</formula>
    </cfRule>
  </conditionalFormatting>
  <conditionalFormatting sqref="A19:K19">
    <cfRule type="containsBlanks" dxfId="111" priority="11">
      <formula>LEN(TRIM(A19))=0</formula>
    </cfRule>
  </conditionalFormatting>
  <conditionalFormatting sqref="A14:AJ18 I20:L20 O20 T20:U20 X20 Z20">
    <cfRule type="containsBlanks" dxfId="110" priority="20">
      <formula>LEN(TRIM(A14))=0</formula>
    </cfRule>
  </conditionalFormatting>
  <conditionalFormatting sqref="B1">
    <cfRule type="duplicateValues" dxfId="109" priority="131"/>
    <cfRule type="duplicateValues" dxfId="108" priority="130"/>
  </conditionalFormatting>
  <conditionalFormatting sqref="B2">
    <cfRule type="duplicateValues" dxfId="107" priority="118"/>
    <cfRule type="duplicateValues" dxfId="106" priority="117"/>
  </conditionalFormatting>
  <conditionalFormatting sqref="B3">
    <cfRule type="containsBlanks" dxfId="105" priority="110">
      <formula>LEN(TRIM(B3))=0</formula>
    </cfRule>
    <cfRule type="duplicateValues" dxfId="104" priority="109"/>
  </conditionalFormatting>
  <conditionalFormatting sqref="B4">
    <cfRule type="containsBlanks" dxfId="103" priority="102">
      <formula>LEN(TRIM(B4))=0</formula>
    </cfRule>
    <cfRule type="duplicateValues" dxfId="102" priority="101"/>
  </conditionalFormatting>
  <conditionalFormatting sqref="B5">
    <cfRule type="containsBlanks" dxfId="101" priority="94">
      <formula>LEN(TRIM(B5))=0</formula>
    </cfRule>
    <cfRule type="duplicateValues" dxfId="100" priority="93"/>
  </conditionalFormatting>
  <conditionalFormatting sqref="B6">
    <cfRule type="duplicateValues" dxfId="99" priority="85"/>
    <cfRule type="containsBlanks" dxfId="98" priority="86">
      <formula>LEN(TRIM(B6))=0</formula>
    </cfRule>
  </conditionalFormatting>
  <conditionalFormatting sqref="B7">
    <cfRule type="containsBlanks" dxfId="97" priority="78">
      <formula>LEN(TRIM(B7))=0</formula>
    </cfRule>
    <cfRule type="duplicateValues" dxfId="96" priority="77"/>
  </conditionalFormatting>
  <conditionalFormatting sqref="B8">
    <cfRule type="duplicateValues" dxfId="95" priority="69"/>
    <cfRule type="containsBlanks" dxfId="94" priority="70">
      <formula>LEN(TRIM(B8))=0</formula>
    </cfRule>
  </conditionalFormatting>
  <conditionalFormatting sqref="B9">
    <cfRule type="duplicateValues" dxfId="93" priority="66"/>
  </conditionalFormatting>
  <conditionalFormatting sqref="B10">
    <cfRule type="duplicateValues" dxfId="92" priority="59"/>
  </conditionalFormatting>
  <conditionalFormatting sqref="B11">
    <cfRule type="containsBlanks" dxfId="91" priority="44">
      <formula>LEN(TRIM(B11))=0</formula>
    </cfRule>
    <cfRule type="duplicateValues" dxfId="90" priority="43"/>
    <cfRule type="duplicateValues" dxfId="89" priority="42"/>
  </conditionalFormatting>
  <conditionalFormatting sqref="B13">
    <cfRule type="duplicateValues" dxfId="88" priority="27"/>
  </conditionalFormatting>
  <conditionalFormatting sqref="B14:B18">
    <cfRule type="duplicateValues" dxfId="87" priority="24"/>
  </conditionalFormatting>
  <conditionalFormatting sqref="B19">
    <cfRule type="duplicateValues" dxfId="86" priority="15"/>
  </conditionalFormatting>
  <conditionalFormatting sqref="B20">
    <cfRule type="duplicateValues" dxfId="85" priority="1"/>
  </conditionalFormatting>
  <conditionalFormatting sqref="B1:C1">
    <cfRule type="duplicateValues" dxfId="84" priority="136"/>
  </conditionalFormatting>
  <conditionalFormatting sqref="B2:C2">
    <cfRule type="duplicateValues" dxfId="83" priority="123"/>
  </conditionalFormatting>
  <conditionalFormatting sqref="B3:C3">
    <cfRule type="duplicateValues" dxfId="82" priority="114"/>
  </conditionalFormatting>
  <conditionalFormatting sqref="B4:C4">
    <cfRule type="duplicateValues" dxfId="81" priority="106"/>
  </conditionalFormatting>
  <conditionalFormatting sqref="B5:C5">
    <cfRule type="duplicateValues" dxfId="80" priority="98"/>
  </conditionalFormatting>
  <conditionalFormatting sqref="B6:C6">
    <cfRule type="duplicateValues" dxfId="79" priority="90"/>
  </conditionalFormatting>
  <conditionalFormatting sqref="B7:C7">
    <cfRule type="duplicateValues" dxfId="78" priority="82"/>
  </conditionalFormatting>
  <conditionalFormatting sqref="B8:C8">
    <cfRule type="duplicateValues" dxfId="77" priority="74"/>
  </conditionalFormatting>
  <conditionalFormatting sqref="B9:C9">
    <cfRule type="duplicateValues" dxfId="76" priority="64"/>
  </conditionalFormatting>
  <conditionalFormatting sqref="B10:C10">
    <cfRule type="duplicateValues" dxfId="75" priority="57"/>
  </conditionalFormatting>
  <conditionalFormatting sqref="B11:C11">
    <cfRule type="duplicateValues" dxfId="74" priority="52"/>
  </conditionalFormatting>
  <conditionalFormatting sqref="B12:C13 E12:E13">
    <cfRule type="duplicateValues" dxfId="73" priority="35"/>
  </conditionalFormatting>
  <conditionalFormatting sqref="B14:C18">
    <cfRule type="duplicateValues" dxfId="72" priority="22"/>
  </conditionalFormatting>
  <conditionalFormatting sqref="B19:C19">
    <cfRule type="duplicateValues" dxfId="71" priority="13"/>
  </conditionalFormatting>
  <conditionalFormatting sqref="C11">
    <cfRule type="duplicateValues" dxfId="70" priority="50"/>
  </conditionalFormatting>
  <conditionalFormatting sqref="C1:E1">
    <cfRule type="duplicateValues" dxfId="69" priority="133"/>
  </conditionalFormatting>
  <conditionalFormatting sqref="C2:E2">
    <cfRule type="duplicateValues" dxfId="68" priority="120"/>
  </conditionalFormatting>
  <conditionalFormatting sqref="C3:E3">
    <cfRule type="duplicateValues" dxfId="67" priority="111"/>
  </conditionalFormatting>
  <conditionalFormatting sqref="C4:E4">
    <cfRule type="duplicateValues" dxfId="66" priority="103"/>
  </conditionalFormatting>
  <conditionalFormatting sqref="C5:E5">
    <cfRule type="duplicateValues" dxfId="65" priority="95"/>
  </conditionalFormatting>
  <conditionalFormatting sqref="C6:E6">
    <cfRule type="duplicateValues" dxfId="64" priority="87"/>
  </conditionalFormatting>
  <conditionalFormatting sqref="C7:E7">
    <cfRule type="duplicateValues" dxfId="63" priority="79"/>
  </conditionalFormatting>
  <conditionalFormatting sqref="C8:E8">
    <cfRule type="duplicateValues" dxfId="62" priority="71"/>
  </conditionalFormatting>
  <conditionalFormatting sqref="C9:E9">
    <cfRule type="duplicateValues" dxfId="61" priority="61"/>
  </conditionalFormatting>
  <conditionalFormatting sqref="C10:E10">
    <cfRule type="duplicateValues" dxfId="60" priority="54"/>
  </conditionalFormatting>
  <conditionalFormatting sqref="C14:E18">
    <cfRule type="duplicateValues" dxfId="59" priority="19"/>
  </conditionalFormatting>
  <conditionalFormatting sqref="C19:E19">
    <cfRule type="duplicateValues" dxfId="58" priority="10"/>
  </conditionalFormatting>
  <conditionalFormatting sqref="C11:G11 K11:O11 U11:X11 G12:G13 U12:W13">
    <cfRule type="containsBlanks" dxfId="57" priority="47">
      <formula>LEN(TRIM(C11))=0</formula>
    </cfRule>
  </conditionalFormatting>
  <conditionalFormatting sqref="C1:P8 A9:P10 Q1:T10 U2:AJ9 U10:AF10">
    <cfRule type="containsBlanks" dxfId="56" priority="135">
      <formula>LEN(TRIM(A1))=0</formula>
    </cfRule>
  </conditionalFormatting>
  <conditionalFormatting sqref="D1">
    <cfRule type="duplicateValues" dxfId="55" priority="134"/>
  </conditionalFormatting>
  <conditionalFormatting sqref="D2">
    <cfRule type="duplicateValues" dxfId="54" priority="121"/>
  </conditionalFormatting>
  <conditionalFormatting sqref="D3">
    <cfRule type="duplicateValues" dxfId="53" priority="112"/>
  </conditionalFormatting>
  <conditionalFormatting sqref="D4">
    <cfRule type="duplicateValues" dxfId="52" priority="104"/>
  </conditionalFormatting>
  <conditionalFormatting sqref="D5">
    <cfRule type="duplicateValues" dxfId="51" priority="96"/>
  </conditionalFormatting>
  <conditionalFormatting sqref="D6">
    <cfRule type="duplicateValues" dxfId="50" priority="88"/>
  </conditionalFormatting>
  <conditionalFormatting sqref="D7">
    <cfRule type="duplicateValues" dxfId="49" priority="80"/>
  </conditionalFormatting>
  <conditionalFormatting sqref="D8">
    <cfRule type="duplicateValues" dxfId="48" priority="72"/>
  </conditionalFormatting>
  <conditionalFormatting sqref="D9">
    <cfRule type="duplicateValues" dxfId="47" priority="65"/>
  </conditionalFormatting>
  <conditionalFormatting sqref="D10">
    <cfRule type="duplicateValues" dxfId="46" priority="58"/>
  </conditionalFormatting>
  <conditionalFormatting sqref="D11">
    <cfRule type="duplicateValues" dxfId="45" priority="46"/>
  </conditionalFormatting>
  <conditionalFormatting sqref="D12:D13">
    <cfRule type="duplicateValues" dxfId="44" priority="31"/>
  </conditionalFormatting>
  <conditionalFormatting sqref="D13">
    <cfRule type="duplicateValues" dxfId="43" priority="26"/>
  </conditionalFormatting>
  <conditionalFormatting sqref="D14:D18">
    <cfRule type="duplicateValues" dxfId="42" priority="23"/>
  </conditionalFormatting>
  <conditionalFormatting sqref="D19">
    <cfRule type="duplicateValues" dxfId="41" priority="14"/>
  </conditionalFormatting>
  <conditionalFormatting sqref="D1:E1">
    <cfRule type="duplicateValues" dxfId="40" priority="128"/>
  </conditionalFormatting>
  <conditionalFormatting sqref="D2:E2">
    <cfRule type="duplicateValues" dxfId="39" priority="115"/>
  </conditionalFormatting>
  <conditionalFormatting sqref="D3:E3">
    <cfRule type="duplicateValues" dxfId="38" priority="107"/>
  </conditionalFormatting>
  <conditionalFormatting sqref="D4:E4">
    <cfRule type="duplicateValues" dxfId="37" priority="99"/>
  </conditionalFormatting>
  <conditionalFormatting sqref="D5:E5">
    <cfRule type="duplicateValues" dxfId="36" priority="91"/>
  </conditionalFormatting>
  <conditionalFormatting sqref="D6:E6">
    <cfRule type="duplicateValues" dxfId="35" priority="83"/>
  </conditionalFormatting>
  <conditionalFormatting sqref="D7:E7">
    <cfRule type="duplicateValues" dxfId="34" priority="75"/>
  </conditionalFormatting>
  <conditionalFormatting sqref="D8:E8">
    <cfRule type="duplicateValues" dxfId="33" priority="67"/>
  </conditionalFormatting>
  <conditionalFormatting sqref="D9:E9">
    <cfRule type="duplicateValues" dxfId="32" priority="63"/>
  </conditionalFormatting>
  <conditionalFormatting sqref="D10:E10">
    <cfRule type="duplicateValues" dxfId="31" priority="56"/>
  </conditionalFormatting>
  <conditionalFormatting sqref="D11:E11">
    <cfRule type="duplicateValues" dxfId="30" priority="51"/>
    <cfRule type="duplicateValues" dxfId="29" priority="45"/>
  </conditionalFormatting>
  <conditionalFormatting sqref="D14:E18">
    <cfRule type="duplicateValues" dxfId="28" priority="21"/>
  </conditionalFormatting>
  <conditionalFormatting sqref="D19:E19">
    <cfRule type="duplicateValues" dxfId="27" priority="12"/>
  </conditionalFormatting>
  <conditionalFormatting sqref="D20:F20">
    <cfRule type="duplicateValues" dxfId="26" priority="2"/>
  </conditionalFormatting>
  <conditionalFormatting sqref="E9">
    <cfRule type="duplicateValues" dxfId="25" priority="60"/>
  </conditionalFormatting>
  <conditionalFormatting sqref="E10">
    <cfRule type="duplicateValues" dxfId="24" priority="53"/>
  </conditionalFormatting>
  <conditionalFormatting sqref="E11:E13">
    <cfRule type="duplicateValues" dxfId="23" priority="41"/>
    <cfRule type="duplicateValues" dxfId="22" priority="38"/>
    <cfRule type="duplicateValues" dxfId="21" priority="37"/>
  </conditionalFormatting>
  <conditionalFormatting sqref="E14:E18">
    <cfRule type="duplicateValues" dxfId="20" priority="16"/>
    <cfRule type="duplicateValues" dxfId="19" priority="17"/>
    <cfRule type="duplicateValues" dxfId="18" priority="18"/>
  </conditionalFormatting>
  <conditionalFormatting sqref="E19">
    <cfRule type="duplicateValues" dxfId="17" priority="8"/>
    <cfRule type="duplicateValues" dxfId="16" priority="9"/>
    <cfRule type="duplicateValues" dxfId="15" priority="4"/>
  </conditionalFormatting>
  <conditionalFormatting sqref="E20">
    <cfRule type="duplicateValues" dxfId="14" priority="3"/>
  </conditionalFormatting>
  <conditionalFormatting sqref="F11:F13 A11:A13">
    <cfRule type="containsBlanks" dxfId="13" priority="49">
      <formula>LEN(TRIM(A11))=0</formula>
    </cfRule>
  </conditionalFormatting>
  <conditionalFormatting sqref="F12:F13">
    <cfRule type="duplicateValues" dxfId="12" priority="34"/>
    <cfRule type="duplicateValues" dxfId="11" priority="33"/>
    <cfRule type="duplicateValues" dxfId="10" priority="32"/>
  </conditionalFormatting>
  <conditionalFormatting sqref="H11:J13">
    <cfRule type="containsBlanks" dxfId="9" priority="48">
      <formula>LEN(TRIM(H11))=0</formula>
    </cfRule>
  </conditionalFormatting>
  <conditionalFormatting sqref="K12:K13">
    <cfRule type="containsBlanks" dxfId="8" priority="30">
      <formula>LEN(TRIM(K12))=0</formula>
    </cfRule>
  </conditionalFormatting>
  <conditionalFormatting sqref="L13">
    <cfRule type="containsBlanks" dxfId="7" priority="25">
      <formula>LEN(TRIM(L13))=0</formula>
    </cfRule>
  </conditionalFormatting>
  <conditionalFormatting sqref="L19:AC19">
    <cfRule type="containsBlanks" dxfId="6" priority="5">
      <formula>LEN(TRIM(L19))=0</formula>
    </cfRule>
  </conditionalFormatting>
  <conditionalFormatting sqref="M12:N13">
    <cfRule type="containsBlanks" dxfId="5" priority="28">
      <formula>LEN(TRIM(M12))=0</formula>
    </cfRule>
  </conditionalFormatting>
  <conditionalFormatting sqref="O11:T13">
    <cfRule type="containsBlanks" dxfId="4" priority="36">
      <formula>LEN(TRIM(O11))=0</formula>
    </cfRule>
  </conditionalFormatting>
  <conditionalFormatting sqref="U1:AL1">
    <cfRule type="containsBlanks" dxfId="3" priority="129">
      <formula>LEN(TRIM(U1))=0</formula>
    </cfRule>
  </conditionalFormatting>
  <conditionalFormatting sqref="Y11:AJ13">
    <cfRule type="containsBlanks" dxfId="2" priority="29">
      <formula>LEN(TRIM(Y11))=0</formula>
    </cfRule>
  </conditionalFormatting>
  <conditionalFormatting sqref="AL2:AL9">
    <cfRule type="containsBlanks" dxfId="1" priority="62">
      <formula>LEN(TRIM(AL2))=0</formula>
    </cfRule>
  </conditionalFormatting>
  <conditionalFormatting sqref="AQ1:AV1">
    <cfRule type="containsBlanks" dxfId="0" priority="124">
      <formula>LEN(TRIM(AQ1))=0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65BF-F896-475E-8901-3020316897C3}">
  <sheetPr codeName="Sheet8"/>
  <dimension ref="A1:D19"/>
  <sheetViews>
    <sheetView showGridLines="0" zoomScale="85" zoomScaleNormal="85" workbookViewId="0">
      <selection activeCell="B7" sqref="B7"/>
    </sheetView>
  </sheetViews>
  <sheetFormatPr defaultRowHeight="14.5"/>
  <cols>
    <col min="1" max="1" width="18.453125" bestFit="1" customWidth="1"/>
    <col min="2" max="2" width="26.54296875" customWidth="1"/>
    <col min="3" max="3" width="26.81640625" customWidth="1"/>
    <col min="4" max="4" width="189.81640625" bestFit="1" customWidth="1"/>
  </cols>
  <sheetData>
    <row r="1" spans="1:4" ht="15.5">
      <c r="A1" s="8" t="s">
        <v>852</v>
      </c>
      <c r="B1" s="9"/>
      <c r="C1" s="9"/>
      <c r="D1" s="10" t="s">
        <v>853</v>
      </c>
    </row>
    <row r="2" spans="1:4" ht="15.5">
      <c r="A2" s="11" t="s">
        <v>854</v>
      </c>
      <c r="B2" s="11" t="s">
        <v>855</v>
      </c>
      <c r="C2" s="11" t="s">
        <v>856</v>
      </c>
      <c r="D2" s="11" t="s">
        <v>857</v>
      </c>
    </row>
    <row r="3" spans="1:4">
      <c r="A3" s="12" t="s">
        <v>858</v>
      </c>
      <c r="B3" s="13" t="s">
        <v>859</v>
      </c>
      <c r="C3" s="13"/>
      <c r="D3" s="14" t="s">
        <v>860</v>
      </c>
    </row>
    <row r="4" spans="1:4">
      <c r="A4" s="12" t="s">
        <v>858</v>
      </c>
      <c r="B4" s="13" t="s">
        <v>861</v>
      </c>
      <c r="C4" s="13"/>
      <c r="D4" s="16" t="s">
        <v>862</v>
      </c>
    </row>
    <row r="5" spans="1:4">
      <c r="A5" s="12" t="s">
        <v>858</v>
      </c>
      <c r="B5" s="13" t="s">
        <v>863</v>
      </c>
      <c r="C5" s="13"/>
      <c r="D5" s="13" t="s">
        <v>864</v>
      </c>
    </row>
    <row r="6" spans="1:4">
      <c r="A6" s="12" t="s">
        <v>858</v>
      </c>
      <c r="B6" s="13" t="s">
        <v>865</v>
      </c>
      <c r="C6" s="13"/>
      <c r="D6" s="16" t="s">
        <v>866</v>
      </c>
    </row>
    <row r="7" spans="1:4">
      <c r="A7" s="12" t="s">
        <v>858</v>
      </c>
      <c r="B7" s="13" t="s">
        <v>867</v>
      </c>
      <c r="C7" s="52"/>
      <c r="D7" s="17" t="s">
        <v>868</v>
      </c>
    </row>
    <row r="8" spans="1:4">
      <c r="A8" s="12" t="s">
        <v>869</v>
      </c>
      <c r="B8" s="18" t="s">
        <v>870</v>
      </c>
      <c r="C8" s="53"/>
      <c r="D8" s="17" t="s">
        <v>871</v>
      </c>
    </row>
    <row r="9" spans="1:4">
      <c r="A9" s="12" t="s">
        <v>869</v>
      </c>
      <c r="B9" s="18" t="s">
        <v>872</v>
      </c>
      <c r="C9" s="18"/>
      <c r="D9" s="16" t="s">
        <v>873</v>
      </c>
    </row>
    <row r="10" spans="1:4">
      <c r="A10" s="12" t="s">
        <v>869</v>
      </c>
      <c r="B10" s="19" t="s">
        <v>874</v>
      </c>
      <c r="C10" s="19"/>
      <c r="D10" s="16" t="s">
        <v>875</v>
      </c>
    </row>
    <row r="11" spans="1:4">
      <c r="A11" s="12" t="s">
        <v>869</v>
      </c>
      <c r="B11" s="18" t="s">
        <v>876</v>
      </c>
      <c r="C11" s="18"/>
      <c r="D11" s="16" t="s">
        <v>877</v>
      </c>
    </row>
    <row r="12" spans="1:4">
      <c r="A12" s="12" t="s">
        <v>869</v>
      </c>
      <c r="B12" s="18" t="s">
        <v>878</v>
      </c>
      <c r="C12" s="18"/>
      <c r="D12" s="16" t="s">
        <v>879</v>
      </c>
    </row>
    <row r="13" spans="1:4">
      <c r="A13" s="12" t="s">
        <v>869</v>
      </c>
      <c r="B13" s="18" t="s">
        <v>880</v>
      </c>
      <c r="C13" s="18"/>
      <c r="D13" s="16" t="s">
        <v>881</v>
      </c>
    </row>
    <row r="14" spans="1:4">
      <c r="A14" s="12" t="s">
        <v>869</v>
      </c>
      <c r="B14" s="18" t="s">
        <v>882</v>
      </c>
      <c r="C14" s="18"/>
      <c r="D14" s="20" t="s">
        <v>883</v>
      </c>
    </row>
    <row r="15" spans="1:4">
      <c r="A15" s="12" t="s">
        <v>869</v>
      </c>
      <c r="B15" s="18" t="s">
        <v>884</v>
      </c>
      <c r="C15" s="18"/>
      <c r="D15" s="16" t="s">
        <v>885</v>
      </c>
    </row>
    <row r="16" spans="1:4">
      <c r="A16" s="12" t="s">
        <v>869</v>
      </c>
      <c r="B16" s="18" t="s">
        <v>886</v>
      </c>
      <c r="C16" s="18"/>
      <c r="D16" s="16" t="s">
        <v>887</v>
      </c>
    </row>
    <row r="17" spans="1:4">
      <c r="A17" s="12" t="s">
        <v>869</v>
      </c>
      <c r="B17" s="13" t="s">
        <v>867</v>
      </c>
      <c r="C17" s="52"/>
      <c r="D17" s="17" t="s">
        <v>888</v>
      </c>
    </row>
    <row r="18" spans="1:4">
      <c r="A18" s="12" t="s">
        <v>869</v>
      </c>
      <c r="B18" s="21" t="s">
        <v>889</v>
      </c>
      <c r="C18" s="21"/>
      <c r="D18" s="16" t="s">
        <v>890</v>
      </c>
    </row>
    <row r="19" spans="1:4">
      <c r="A19" s="15" t="s">
        <v>869</v>
      </c>
      <c r="B19" s="21" t="s">
        <v>891</v>
      </c>
      <c r="C19" s="21"/>
      <c r="D19" s="16" t="s">
        <v>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80E3-98A3-4AFA-A690-F32A264603FB}">
  <sheetPr codeName="Sheet9"/>
  <dimension ref="A1:M69"/>
  <sheetViews>
    <sheetView showGridLines="0" zoomScale="55" zoomScaleNormal="55" workbookViewId="0">
      <pane xSplit="2" ySplit="3" topLeftCell="C37" activePane="bottomRight" state="frozen"/>
      <selection pane="topRight" activeCell="C1" sqref="C1"/>
      <selection pane="bottomLeft" activeCell="A4" sqref="A4"/>
      <selection pane="bottomRight" activeCell="B56" sqref="B56"/>
    </sheetView>
  </sheetViews>
  <sheetFormatPr defaultRowHeight="14.5"/>
  <cols>
    <col min="1" max="1" width="6.1796875" bestFit="1" customWidth="1"/>
    <col min="2" max="2" width="24.453125" bestFit="1" customWidth="1"/>
    <col min="3" max="3" width="27.1796875" bestFit="1" customWidth="1"/>
    <col min="4" max="4" width="44" bestFit="1" customWidth="1"/>
    <col min="5" max="5" width="57.54296875" bestFit="1" customWidth="1"/>
    <col min="6" max="7" width="45.26953125" hidden="1" customWidth="1"/>
    <col min="8" max="8" width="107.54296875" hidden="1" customWidth="1"/>
    <col min="9" max="9" width="58.54296875" hidden="1" customWidth="1"/>
    <col min="10" max="10" width="66.453125" hidden="1" customWidth="1"/>
    <col min="11" max="11" width="46.54296875" hidden="1" customWidth="1"/>
    <col min="12" max="12" width="39.1796875" hidden="1" customWidth="1"/>
    <col min="13" max="13" width="38.81640625" hidden="1" customWidth="1"/>
  </cols>
  <sheetData>
    <row r="1" spans="1:13">
      <c r="A1" s="41"/>
      <c r="B1" s="41"/>
      <c r="C1" s="41"/>
      <c r="D1" s="54" t="s">
        <v>893</v>
      </c>
      <c r="E1" s="54" t="s">
        <v>894</v>
      </c>
      <c r="F1" s="55" t="s">
        <v>895</v>
      </c>
      <c r="G1" s="55" t="s">
        <v>896</v>
      </c>
      <c r="H1" s="55" t="s">
        <v>897</v>
      </c>
      <c r="I1" s="55" t="s">
        <v>898</v>
      </c>
      <c r="J1" s="55" t="s">
        <v>899</v>
      </c>
      <c r="K1" s="55" t="s">
        <v>900</v>
      </c>
      <c r="L1" s="56" t="s">
        <v>901</v>
      </c>
      <c r="M1" s="55" t="s">
        <v>902</v>
      </c>
    </row>
    <row r="2" spans="1:13">
      <c r="A2" s="41"/>
      <c r="B2" s="41"/>
      <c r="C2" s="41"/>
      <c r="D2" s="54" t="s">
        <v>903</v>
      </c>
      <c r="E2" s="54" t="s">
        <v>904</v>
      </c>
      <c r="F2" s="55" t="s">
        <v>905</v>
      </c>
      <c r="G2" s="55" t="s">
        <v>906</v>
      </c>
      <c r="H2" s="55" t="s">
        <v>907</v>
      </c>
      <c r="I2" s="55" t="s">
        <v>908</v>
      </c>
      <c r="J2" s="55" t="s">
        <v>909</v>
      </c>
      <c r="K2" s="55" t="s">
        <v>910</v>
      </c>
      <c r="L2" s="56" t="s">
        <v>911</v>
      </c>
      <c r="M2" s="55" t="s">
        <v>912</v>
      </c>
    </row>
    <row r="3" spans="1:13" ht="124.5" customHeight="1">
      <c r="A3" s="57" t="s">
        <v>913</v>
      </c>
      <c r="B3" s="57" t="s">
        <v>914</v>
      </c>
      <c r="C3" s="57" t="s">
        <v>915</v>
      </c>
      <c r="D3" s="58" t="s">
        <v>916</v>
      </c>
      <c r="E3" s="59" t="s">
        <v>917</v>
      </c>
      <c r="F3" s="60" t="s">
        <v>918</v>
      </c>
      <c r="G3" s="60" t="s">
        <v>919</v>
      </c>
      <c r="H3" s="58" t="s">
        <v>920</v>
      </c>
      <c r="I3" s="58" t="s">
        <v>921</v>
      </c>
      <c r="J3" s="58" t="s">
        <v>922</v>
      </c>
      <c r="K3" s="58" t="s">
        <v>923</v>
      </c>
      <c r="L3" s="58" t="s">
        <v>924</v>
      </c>
      <c r="M3" s="58" t="s">
        <v>925</v>
      </c>
    </row>
    <row r="4" spans="1:13">
      <c r="A4" s="61" t="s">
        <v>926</v>
      </c>
      <c r="B4" s="61" t="s">
        <v>927</v>
      </c>
      <c r="C4" s="61" t="s">
        <v>928</v>
      </c>
      <c r="D4" s="62" t="s">
        <v>929</v>
      </c>
      <c r="E4" s="62" t="s">
        <v>929</v>
      </c>
      <c r="F4" s="62" t="s">
        <v>929</v>
      </c>
      <c r="G4" s="62" t="s">
        <v>929</v>
      </c>
      <c r="H4" s="62" t="s">
        <v>929</v>
      </c>
      <c r="I4" s="62" t="s">
        <v>929</v>
      </c>
      <c r="J4" s="62" t="s">
        <v>929</v>
      </c>
      <c r="K4" s="62" t="s">
        <v>929</v>
      </c>
      <c r="L4" s="62" t="s">
        <v>929</v>
      </c>
      <c r="M4" s="62" t="s">
        <v>929</v>
      </c>
    </row>
    <row r="5" spans="1:13">
      <c r="A5" s="61" t="s">
        <v>926</v>
      </c>
      <c r="B5" s="61" t="s">
        <v>930</v>
      </c>
      <c r="C5" s="61" t="s">
        <v>931</v>
      </c>
      <c r="D5" s="62" t="s">
        <v>929</v>
      </c>
      <c r="E5" s="62" t="s">
        <v>929</v>
      </c>
      <c r="F5" s="62" t="s">
        <v>929</v>
      </c>
      <c r="G5" s="62" t="s">
        <v>929</v>
      </c>
      <c r="H5" s="62" t="s">
        <v>929</v>
      </c>
      <c r="I5" s="62" t="s">
        <v>929</v>
      </c>
      <c r="J5" s="62" t="s">
        <v>929</v>
      </c>
      <c r="K5" s="62" t="s">
        <v>929</v>
      </c>
      <c r="L5" s="62" t="s">
        <v>929</v>
      </c>
      <c r="M5" s="62" t="s">
        <v>929</v>
      </c>
    </row>
    <row r="6" spans="1:13">
      <c r="A6" s="61" t="s">
        <v>926</v>
      </c>
      <c r="B6" s="61" t="s">
        <v>932</v>
      </c>
      <c r="C6" s="61" t="s">
        <v>933</v>
      </c>
      <c r="D6" s="62" t="s">
        <v>929</v>
      </c>
      <c r="E6" s="62" t="s">
        <v>929</v>
      </c>
      <c r="F6" s="62" t="s">
        <v>929</v>
      </c>
      <c r="G6" s="62" t="s">
        <v>929</v>
      </c>
      <c r="H6" s="62" t="s">
        <v>929</v>
      </c>
      <c r="I6" s="62" t="s">
        <v>929</v>
      </c>
      <c r="J6" s="62" t="s">
        <v>929</v>
      </c>
      <c r="K6" s="62" t="s">
        <v>929</v>
      </c>
      <c r="L6" s="62" t="s">
        <v>929</v>
      </c>
      <c r="M6" s="62" t="s">
        <v>929</v>
      </c>
    </row>
    <row r="7" spans="1:13">
      <c r="A7" s="61" t="s">
        <v>926</v>
      </c>
      <c r="B7" s="61" t="s">
        <v>934</v>
      </c>
      <c r="C7" s="61" t="s">
        <v>935</v>
      </c>
      <c r="D7" s="62" t="s">
        <v>929</v>
      </c>
      <c r="E7" s="62" t="s">
        <v>929</v>
      </c>
      <c r="F7" s="62" t="s">
        <v>929</v>
      </c>
      <c r="G7" s="62" t="s">
        <v>929</v>
      </c>
      <c r="H7" s="62" t="s">
        <v>929</v>
      </c>
      <c r="I7" s="62" t="s">
        <v>929</v>
      </c>
      <c r="J7" s="62" t="s">
        <v>929</v>
      </c>
      <c r="K7" s="62" t="s">
        <v>929</v>
      </c>
      <c r="L7" s="62" t="s">
        <v>929</v>
      </c>
      <c r="M7" s="62" t="s">
        <v>929</v>
      </c>
    </row>
    <row r="8" spans="1:13">
      <c r="A8" s="61" t="s">
        <v>926</v>
      </c>
      <c r="B8" s="61" t="s">
        <v>936</v>
      </c>
      <c r="C8" s="61" t="s">
        <v>937</v>
      </c>
      <c r="D8" s="62" t="s">
        <v>929</v>
      </c>
      <c r="E8" s="62" t="s">
        <v>929</v>
      </c>
      <c r="F8" s="62" t="s">
        <v>929</v>
      </c>
      <c r="G8" s="62" t="s">
        <v>929</v>
      </c>
      <c r="H8" s="62" t="s">
        <v>929</v>
      </c>
      <c r="I8" s="62" t="s">
        <v>929</v>
      </c>
      <c r="J8" s="62" t="s">
        <v>929</v>
      </c>
      <c r="K8" s="62" t="s">
        <v>929</v>
      </c>
      <c r="L8" s="62" t="s">
        <v>929</v>
      </c>
      <c r="M8" s="62" t="s">
        <v>929</v>
      </c>
    </row>
    <row r="9" spans="1:13">
      <c r="A9" s="61" t="s">
        <v>926</v>
      </c>
      <c r="B9" s="61" t="s">
        <v>938</v>
      </c>
      <c r="C9" s="61" t="s">
        <v>939</v>
      </c>
      <c r="D9" s="62" t="s">
        <v>929</v>
      </c>
      <c r="E9" s="62" t="s">
        <v>929</v>
      </c>
      <c r="F9" s="62" t="s">
        <v>929</v>
      </c>
      <c r="G9" s="62" t="s">
        <v>929</v>
      </c>
      <c r="H9" s="62" t="s">
        <v>929</v>
      </c>
      <c r="I9" s="62" t="s">
        <v>929</v>
      </c>
      <c r="J9" s="62" t="s">
        <v>929</v>
      </c>
      <c r="K9" s="62" t="s">
        <v>929</v>
      </c>
      <c r="L9" s="62" t="s">
        <v>929</v>
      </c>
      <c r="M9" s="62" t="s">
        <v>929</v>
      </c>
    </row>
    <row r="10" spans="1:13">
      <c r="A10" s="61" t="s">
        <v>926</v>
      </c>
      <c r="B10" s="61" t="s">
        <v>940</v>
      </c>
      <c r="C10" s="61" t="s">
        <v>941</v>
      </c>
      <c r="D10" s="63" t="s">
        <v>942</v>
      </c>
      <c r="E10" s="62" t="s">
        <v>943</v>
      </c>
      <c r="F10" s="62" t="s">
        <v>943</v>
      </c>
      <c r="G10" s="62" t="s">
        <v>943</v>
      </c>
      <c r="H10" s="62" t="s">
        <v>943</v>
      </c>
      <c r="I10" s="62" t="s">
        <v>943</v>
      </c>
      <c r="J10" s="62" t="s">
        <v>943</v>
      </c>
      <c r="K10" s="62" t="s">
        <v>942</v>
      </c>
      <c r="L10" s="63" t="s">
        <v>944</v>
      </c>
      <c r="M10" s="62" t="s">
        <v>943</v>
      </c>
    </row>
    <row r="11" spans="1:13">
      <c r="A11" s="61" t="s">
        <v>926</v>
      </c>
      <c r="B11" s="61" t="s">
        <v>945</v>
      </c>
      <c r="C11" s="61" t="s">
        <v>946</v>
      </c>
      <c r="D11" s="62" t="s">
        <v>929</v>
      </c>
      <c r="E11" s="62" t="s">
        <v>929</v>
      </c>
      <c r="F11" s="62" t="s">
        <v>943</v>
      </c>
      <c r="G11" s="62" t="s">
        <v>929</v>
      </c>
      <c r="H11" s="62" t="s">
        <v>929</v>
      </c>
      <c r="I11" s="62" t="s">
        <v>929</v>
      </c>
      <c r="J11" s="62" t="s">
        <v>929</v>
      </c>
      <c r="K11" s="62" t="s">
        <v>929</v>
      </c>
      <c r="L11" s="62" t="s">
        <v>929</v>
      </c>
      <c r="M11" s="62" t="s">
        <v>929</v>
      </c>
    </row>
    <row r="12" spans="1:13">
      <c r="A12" s="61" t="s">
        <v>926</v>
      </c>
      <c r="B12" s="61" t="s">
        <v>947</v>
      </c>
      <c r="C12" s="61" t="s">
        <v>948</v>
      </c>
      <c r="D12" s="62" t="s">
        <v>929</v>
      </c>
      <c r="E12" s="62" t="s">
        <v>929</v>
      </c>
      <c r="F12" s="62" t="s">
        <v>929</v>
      </c>
      <c r="G12" s="62" t="s">
        <v>929</v>
      </c>
      <c r="H12" s="62" t="s">
        <v>929</v>
      </c>
      <c r="I12" s="62" t="s">
        <v>929</v>
      </c>
      <c r="J12" s="62" t="s">
        <v>929</v>
      </c>
      <c r="K12" s="62" t="s">
        <v>929</v>
      </c>
      <c r="L12" s="62" t="s">
        <v>929</v>
      </c>
      <c r="M12" s="62" t="s">
        <v>929</v>
      </c>
    </row>
    <row r="13" spans="1:13">
      <c r="A13" s="61" t="s">
        <v>926</v>
      </c>
      <c r="B13" s="61" t="s">
        <v>949</v>
      </c>
      <c r="C13" s="61" t="s">
        <v>950</v>
      </c>
      <c r="D13" s="62" t="s">
        <v>929</v>
      </c>
      <c r="E13" s="62" t="s">
        <v>943</v>
      </c>
      <c r="F13" s="62" t="s">
        <v>943</v>
      </c>
      <c r="G13" s="62" t="s">
        <v>929</v>
      </c>
      <c r="H13" s="62" t="s">
        <v>943</v>
      </c>
      <c r="I13" s="62" t="s">
        <v>943</v>
      </c>
      <c r="J13" s="62" t="s">
        <v>943</v>
      </c>
      <c r="K13" s="62" t="s">
        <v>942</v>
      </c>
      <c r="L13" s="62" t="s">
        <v>929</v>
      </c>
      <c r="M13" s="62" t="s">
        <v>943</v>
      </c>
    </row>
    <row r="14" spans="1:13">
      <c r="A14" s="61" t="s">
        <v>926</v>
      </c>
      <c r="B14" s="61" t="s">
        <v>951</v>
      </c>
      <c r="C14" s="61" t="s">
        <v>952</v>
      </c>
      <c r="D14" s="64" t="s">
        <v>953</v>
      </c>
      <c r="E14" s="62" t="s">
        <v>953</v>
      </c>
      <c r="F14" s="62" t="s">
        <v>953</v>
      </c>
      <c r="G14" s="62" t="s">
        <v>953</v>
      </c>
      <c r="H14" s="62" t="s">
        <v>953</v>
      </c>
      <c r="I14" s="62" t="s">
        <v>953</v>
      </c>
      <c r="J14" s="62" t="s">
        <v>953</v>
      </c>
      <c r="K14" s="62" t="s">
        <v>929</v>
      </c>
      <c r="L14" s="63" t="s">
        <v>953</v>
      </c>
      <c r="M14" s="62" t="s">
        <v>929</v>
      </c>
    </row>
    <row r="15" spans="1:13">
      <c r="A15" s="61" t="s">
        <v>926</v>
      </c>
      <c r="B15" s="61" t="s">
        <v>954</v>
      </c>
      <c r="C15" s="61" t="s">
        <v>955</v>
      </c>
      <c r="D15" s="62" t="s">
        <v>929</v>
      </c>
      <c r="E15" s="62" t="s">
        <v>929</v>
      </c>
      <c r="F15" s="62" t="s">
        <v>943</v>
      </c>
      <c r="G15" s="62" t="s">
        <v>929</v>
      </c>
      <c r="H15" s="62" t="s">
        <v>929</v>
      </c>
      <c r="I15" s="62" t="s">
        <v>929</v>
      </c>
      <c r="J15" s="62" t="s">
        <v>929</v>
      </c>
      <c r="K15" s="62" t="s">
        <v>929</v>
      </c>
      <c r="L15" s="62" t="s">
        <v>929</v>
      </c>
      <c r="M15" s="62" t="s">
        <v>929</v>
      </c>
    </row>
    <row r="16" spans="1:13">
      <c r="A16" s="61" t="s">
        <v>926</v>
      </c>
      <c r="B16" s="61" t="s">
        <v>956</v>
      </c>
      <c r="C16" s="61" t="s">
        <v>957</v>
      </c>
      <c r="D16" s="62" t="s">
        <v>929</v>
      </c>
      <c r="E16" s="62" t="s">
        <v>929</v>
      </c>
      <c r="F16" s="62" t="s">
        <v>929</v>
      </c>
      <c r="G16" s="62" t="s">
        <v>929</v>
      </c>
      <c r="H16" s="62" t="s">
        <v>929</v>
      </c>
      <c r="I16" s="62" t="s">
        <v>929</v>
      </c>
      <c r="J16" s="62" t="s">
        <v>929</v>
      </c>
      <c r="K16" s="62" t="s">
        <v>929</v>
      </c>
      <c r="L16" s="62" t="s">
        <v>929</v>
      </c>
      <c r="M16" s="62" t="s">
        <v>929</v>
      </c>
    </row>
    <row r="17" spans="1:13">
      <c r="A17" s="61" t="s">
        <v>926</v>
      </c>
      <c r="B17" s="61" t="s">
        <v>958</v>
      </c>
      <c r="C17" s="61" t="s">
        <v>959</v>
      </c>
      <c r="D17" s="62" t="s">
        <v>929</v>
      </c>
      <c r="E17" s="62" t="s">
        <v>929</v>
      </c>
      <c r="F17" s="62" t="s">
        <v>929</v>
      </c>
      <c r="G17" s="62" t="s">
        <v>929</v>
      </c>
      <c r="H17" s="62" t="s">
        <v>929</v>
      </c>
      <c r="I17" s="62" t="s">
        <v>929</v>
      </c>
      <c r="J17" s="62" t="s">
        <v>929</v>
      </c>
      <c r="K17" s="62" t="s">
        <v>929</v>
      </c>
      <c r="L17" s="62" t="s">
        <v>929</v>
      </c>
      <c r="M17" s="62" t="s">
        <v>929</v>
      </c>
    </row>
    <row r="18" spans="1:13">
      <c r="A18" s="61" t="s">
        <v>926</v>
      </c>
      <c r="B18" s="61" t="s">
        <v>960</v>
      </c>
      <c r="C18" s="61" t="s">
        <v>961</v>
      </c>
      <c r="D18" s="62" t="s">
        <v>929</v>
      </c>
      <c r="E18" s="62" t="s">
        <v>929</v>
      </c>
      <c r="F18" s="62" t="s">
        <v>929</v>
      </c>
      <c r="G18" s="62" t="s">
        <v>929</v>
      </c>
      <c r="H18" s="62" t="s">
        <v>929</v>
      </c>
      <c r="I18" s="62" t="s">
        <v>929</v>
      </c>
      <c r="J18" s="62" t="s">
        <v>929</v>
      </c>
      <c r="K18" s="62" t="s">
        <v>929</v>
      </c>
      <c r="L18" s="62" t="s">
        <v>929</v>
      </c>
      <c r="M18" s="62" t="s">
        <v>929</v>
      </c>
    </row>
    <row r="19" spans="1:13">
      <c r="A19" s="65" t="s">
        <v>962</v>
      </c>
      <c r="B19" s="65" t="s">
        <v>963</v>
      </c>
      <c r="C19" s="65" t="s">
        <v>964</v>
      </c>
      <c r="D19" s="66" t="s">
        <v>929</v>
      </c>
      <c r="E19" s="65" t="s">
        <v>965</v>
      </c>
      <c r="F19" s="65" t="s">
        <v>929</v>
      </c>
      <c r="G19" s="65" t="s">
        <v>943</v>
      </c>
      <c r="H19" s="65" t="s">
        <v>966</v>
      </c>
      <c r="I19" s="65" t="s">
        <v>966</v>
      </c>
      <c r="J19" s="65" t="s">
        <v>966</v>
      </c>
      <c r="K19" s="65" t="s">
        <v>943</v>
      </c>
      <c r="L19" s="65" t="s">
        <v>929</v>
      </c>
      <c r="M19" s="65" t="s">
        <v>943</v>
      </c>
    </row>
    <row r="20" spans="1:13">
      <c r="A20" s="67" t="s">
        <v>962</v>
      </c>
      <c r="B20" s="67" t="s">
        <v>967</v>
      </c>
      <c r="C20" s="67" t="s">
        <v>968</v>
      </c>
      <c r="D20" s="68" t="s">
        <v>953</v>
      </c>
      <c r="E20" s="67" t="s">
        <v>953</v>
      </c>
      <c r="F20" s="67" t="s">
        <v>953</v>
      </c>
      <c r="G20" s="67" t="s">
        <v>953</v>
      </c>
      <c r="H20" s="67" t="s">
        <v>953</v>
      </c>
      <c r="I20" s="67" t="s">
        <v>953</v>
      </c>
      <c r="J20" s="67" t="s">
        <v>953</v>
      </c>
      <c r="K20" s="67" t="s">
        <v>929</v>
      </c>
      <c r="L20" s="69" t="s">
        <v>953</v>
      </c>
      <c r="M20" s="67" t="s">
        <v>929</v>
      </c>
    </row>
    <row r="21" spans="1:13">
      <c r="A21" s="65" t="s">
        <v>962</v>
      </c>
      <c r="B21" s="65" t="s">
        <v>969</v>
      </c>
      <c r="C21" s="65" t="s">
        <v>970</v>
      </c>
      <c r="D21" s="66" t="s">
        <v>929</v>
      </c>
      <c r="E21" s="65" t="s">
        <v>965</v>
      </c>
      <c r="F21" s="65" t="s">
        <v>953</v>
      </c>
      <c r="G21" s="65" t="s">
        <v>943</v>
      </c>
      <c r="H21" s="65" t="s">
        <v>953</v>
      </c>
      <c r="I21" s="65" t="s">
        <v>953</v>
      </c>
      <c r="J21" s="65" t="s">
        <v>953</v>
      </c>
      <c r="K21" s="65" t="s">
        <v>943</v>
      </c>
      <c r="L21" s="65" t="s">
        <v>929</v>
      </c>
      <c r="M21" s="65" t="s">
        <v>943</v>
      </c>
    </row>
    <row r="22" spans="1:13">
      <c r="A22" s="67" t="s">
        <v>962</v>
      </c>
      <c r="B22" s="67" t="s">
        <v>971</v>
      </c>
      <c r="C22" s="67" t="s">
        <v>972</v>
      </c>
      <c r="D22" s="68" t="s">
        <v>953</v>
      </c>
      <c r="E22" s="67" t="s">
        <v>953</v>
      </c>
      <c r="F22" s="67" t="s">
        <v>929</v>
      </c>
      <c r="G22" s="67" t="s">
        <v>953</v>
      </c>
      <c r="H22" s="67" t="s">
        <v>953</v>
      </c>
      <c r="I22" s="67" t="s">
        <v>953</v>
      </c>
      <c r="J22" s="67" t="s">
        <v>953</v>
      </c>
      <c r="K22" s="67" t="s">
        <v>953</v>
      </c>
      <c r="L22" s="69" t="s">
        <v>953</v>
      </c>
      <c r="M22" s="67" t="s">
        <v>953</v>
      </c>
    </row>
    <row r="23" spans="1:13">
      <c r="A23" s="65" t="s">
        <v>962</v>
      </c>
      <c r="B23" s="65" t="s">
        <v>973</v>
      </c>
      <c r="C23" s="65" t="s">
        <v>974</v>
      </c>
      <c r="D23" s="66" t="s">
        <v>929</v>
      </c>
      <c r="E23" s="65" t="s">
        <v>965</v>
      </c>
      <c r="F23" s="65" t="s">
        <v>953</v>
      </c>
      <c r="G23" s="65" t="s">
        <v>943</v>
      </c>
      <c r="H23" s="65" t="s">
        <v>953</v>
      </c>
      <c r="I23" s="65" t="s">
        <v>953</v>
      </c>
      <c r="J23" s="65" t="s">
        <v>953</v>
      </c>
      <c r="K23" s="65" t="s">
        <v>943</v>
      </c>
      <c r="L23" s="65" t="s">
        <v>929</v>
      </c>
      <c r="M23" s="65" t="s">
        <v>943</v>
      </c>
    </row>
    <row r="24" spans="1:13">
      <c r="A24" s="67" t="s">
        <v>962</v>
      </c>
      <c r="B24" s="67" t="s">
        <v>975</v>
      </c>
      <c r="C24" s="67" t="s">
        <v>976</v>
      </c>
      <c r="D24" s="67" t="s">
        <v>942</v>
      </c>
      <c r="E24" s="67" t="s">
        <v>953</v>
      </c>
      <c r="F24" s="67" t="s">
        <v>953</v>
      </c>
      <c r="G24" s="67" t="s">
        <v>953</v>
      </c>
      <c r="H24" s="67" t="s">
        <v>953</v>
      </c>
      <c r="I24" s="67" t="s">
        <v>953</v>
      </c>
      <c r="J24" s="67" t="s">
        <v>953</v>
      </c>
      <c r="K24" s="67" t="s">
        <v>943</v>
      </c>
      <c r="L24" s="69" t="s">
        <v>944</v>
      </c>
      <c r="M24" s="67" t="s">
        <v>943</v>
      </c>
    </row>
    <row r="25" spans="1:13">
      <c r="A25" s="65" t="s">
        <v>962</v>
      </c>
      <c r="B25" s="65" t="s">
        <v>977</v>
      </c>
      <c r="C25" s="65" t="s">
        <v>978</v>
      </c>
      <c r="D25" s="65" t="s">
        <v>929</v>
      </c>
      <c r="E25" s="65" t="s">
        <v>965</v>
      </c>
      <c r="F25" s="65" t="s">
        <v>943</v>
      </c>
      <c r="G25" s="65" t="s">
        <v>943</v>
      </c>
      <c r="H25" s="65" t="s">
        <v>953</v>
      </c>
      <c r="I25" s="65" t="s">
        <v>953</v>
      </c>
      <c r="J25" s="65" t="s">
        <v>953</v>
      </c>
      <c r="K25" s="65" t="s">
        <v>943</v>
      </c>
      <c r="L25" s="65" t="s">
        <v>929</v>
      </c>
      <c r="M25" s="65" t="s">
        <v>943</v>
      </c>
    </row>
    <row r="26" spans="1:13">
      <c r="A26" s="67" t="s">
        <v>962</v>
      </c>
      <c r="B26" s="67" t="s">
        <v>979</v>
      </c>
      <c r="C26" s="67" t="s">
        <v>889</v>
      </c>
      <c r="D26" s="67" t="s">
        <v>942</v>
      </c>
      <c r="E26" s="67" t="s">
        <v>953</v>
      </c>
      <c r="F26" s="67" t="s">
        <v>953</v>
      </c>
      <c r="G26" s="67" t="s">
        <v>980</v>
      </c>
      <c r="H26" s="67" t="s">
        <v>953</v>
      </c>
      <c r="I26" s="67" t="s">
        <v>953</v>
      </c>
      <c r="J26" s="67" t="s">
        <v>953</v>
      </c>
      <c r="K26" s="67" t="s">
        <v>953</v>
      </c>
      <c r="L26" s="69" t="s">
        <v>944</v>
      </c>
      <c r="M26" s="67" t="s">
        <v>953</v>
      </c>
    </row>
    <row r="27" spans="1:13">
      <c r="A27" s="65" t="s">
        <v>962</v>
      </c>
      <c r="B27" s="65" t="s">
        <v>981</v>
      </c>
      <c r="C27" s="65" t="s">
        <v>982</v>
      </c>
      <c r="D27" s="66" t="s">
        <v>929</v>
      </c>
      <c r="E27" s="65" t="s">
        <v>965</v>
      </c>
      <c r="F27" s="65" t="s">
        <v>953</v>
      </c>
      <c r="G27" s="65" t="s">
        <v>943</v>
      </c>
      <c r="H27" s="65" t="s">
        <v>953</v>
      </c>
      <c r="I27" s="65" t="s">
        <v>953</v>
      </c>
      <c r="J27" s="65" t="s">
        <v>953</v>
      </c>
      <c r="K27" s="65" t="s">
        <v>943</v>
      </c>
      <c r="L27" s="65" t="s">
        <v>929</v>
      </c>
      <c r="M27" s="65" t="s">
        <v>943</v>
      </c>
    </row>
    <row r="28" spans="1:13">
      <c r="A28" s="70" t="s">
        <v>962</v>
      </c>
      <c r="B28" s="70" t="s">
        <v>983</v>
      </c>
      <c r="C28" s="70" t="s">
        <v>870</v>
      </c>
      <c r="D28" s="70" t="s">
        <v>942</v>
      </c>
      <c r="E28" s="70" t="s">
        <v>965</v>
      </c>
      <c r="F28" s="70" t="s">
        <v>953</v>
      </c>
      <c r="G28" s="70" t="s">
        <v>980</v>
      </c>
      <c r="H28" s="70" t="s">
        <v>953</v>
      </c>
      <c r="I28" s="70" t="s">
        <v>953</v>
      </c>
      <c r="J28" s="70" t="s">
        <v>953</v>
      </c>
      <c r="K28" s="70" t="s">
        <v>942</v>
      </c>
      <c r="L28" s="70" t="s">
        <v>944</v>
      </c>
      <c r="M28" s="70" t="s">
        <v>943</v>
      </c>
    </row>
    <row r="29" spans="1:13">
      <c r="A29" s="71" t="s">
        <v>962</v>
      </c>
      <c r="B29" s="71" t="s">
        <v>984</v>
      </c>
      <c r="C29" s="71" t="s">
        <v>985</v>
      </c>
      <c r="D29" s="71" t="s">
        <v>942</v>
      </c>
      <c r="E29" s="71" t="s">
        <v>953</v>
      </c>
      <c r="F29" s="71" t="s">
        <v>953</v>
      </c>
      <c r="G29" s="71" t="s">
        <v>980</v>
      </c>
      <c r="H29" s="71" t="s">
        <v>953</v>
      </c>
      <c r="I29" s="71" t="s">
        <v>953</v>
      </c>
      <c r="J29" s="71" t="s">
        <v>953</v>
      </c>
      <c r="K29" s="71" t="s">
        <v>942</v>
      </c>
      <c r="L29" s="72" t="s">
        <v>944</v>
      </c>
      <c r="M29" s="71" t="s">
        <v>943</v>
      </c>
    </row>
    <row r="30" spans="1:13">
      <c r="A30" s="69" t="s">
        <v>962</v>
      </c>
      <c r="B30" s="69" t="s">
        <v>986</v>
      </c>
      <c r="C30" s="69" t="s">
        <v>987</v>
      </c>
      <c r="D30" s="69" t="s">
        <v>942</v>
      </c>
      <c r="E30" s="69" t="s">
        <v>965</v>
      </c>
      <c r="F30" s="69" t="s">
        <v>953</v>
      </c>
      <c r="G30" s="69" t="s">
        <v>980</v>
      </c>
      <c r="H30" s="69" t="s">
        <v>953</v>
      </c>
      <c r="I30" s="69" t="s">
        <v>953</v>
      </c>
      <c r="J30" s="69" t="s">
        <v>953</v>
      </c>
      <c r="K30" s="69" t="s">
        <v>942</v>
      </c>
      <c r="L30" s="69" t="s">
        <v>944</v>
      </c>
      <c r="M30" s="69" t="s">
        <v>943</v>
      </c>
    </row>
    <row r="31" spans="1:13">
      <c r="A31" s="71" t="s">
        <v>962</v>
      </c>
      <c r="B31" s="71" t="s">
        <v>988</v>
      </c>
      <c r="C31" s="71" t="s">
        <v>989</v>
      </c>
      <c r="D31" s="71" t="s">
        <v>942</v>
      </c>
      <c r="E31" s="71" t="s">
        <v>953</v>
      </c>
      <c r="F31" s="71" t="s">
        <v>953</v>
      </c>
      <c r="G31" s="71" t="s">
        <v>980</v>
      </c>
      <c r="H31" s="71" t="s">
        <v>953</v>
      </c>
      <c r="I31" s="71" t="s">
        <v>953</v>
      </c>
      <c r="J31" s="71" t="s">
        <v>953</v>
      </c>
      <c r="K31" s="71" t="s">
        <v>942</v>
      </c>
      <c r="L31" s="72" t="s">
        <v>944</v>
      </c>
      <c r="M31" s="71" t="s">
        <v>943</v>
      </c>
    </row>
    <row r="32" spans="1:13">
      <c r="A32" s="73" t="s">
        <v>962</v>
      </c>
      <c r="B32" s="73" t="s">
        <v>990</v>
      </c>
      <c r="C32" s="73" t="s">
        <v>872</v>
      </c>
      <c r="D32" s="73" t="s">
        <v>991</v>
      </c>
      <c r="E32" s="73" t="s">
        <v>991</v>
      </c>
      <c r="F32" s="73" t="s">
        <v>991</v>
      </c>
      <c r="G32" s="73" t="s">
        <v>991</v>
      </c>
      <c r="H32" s="73" t="s">
        <v>991</v>
      </c>
      <c r="I32" s="73" t="s">
        <v>991</v>
      </c>
      <c r="J32" s="73" t="s">
        <v>991</v>
      </c>
      <c r="K32" s="73" t="s">
        <v>991</v>
      </c>
      <c r="L32" s="73" t="s">
        <v>991</v>
      </c>
      <c r="M32" s="73" t="s">
        <v>991</v>
      </c>
    </row>
    <row r="33" spans="1:13">
      <c r="A33" s="73" t="s">
        <v>962</v>
      </c>
      <c r="B33" s="73" t="s">
        <v>992</v>
      </c>
      <c r="C33" s="73" t="s">
        <v>874</v>
      </c>
      <c r="D33" s="74" t="s">
        <v>991</v>
      </c>
      <c r="E33" s="73" t="s">
        <v>991</v>
      </c>
      <c r="F33" s="73" t="s">
        <v>991</v>
      </c>
      <c r="G33" s="73" t="s">
        <v>991</v>
      </c>
      <c r="H33" s="73" t="s">
        <v>991</v>
      </c>
      <c r="I33" s="73" t="s">
        <v>991</v>
      </c>
      <c r="J33" s="73" t="s">
        <v>991</v>
      </c>
      <c r="K33" s="73" t="s">
        <v>991</v>
      </c>
      <c r="L33" s="73" t="s">
        <v>991</v>
      </c>
      <c r="M33" s="73" t="s">
        <v>991</v>
      </c>
    </row>
    <row r="34" spans="1:13">
      <c r="A34" s="73" t="s">
        <v>962</v>
      </c>
      <c r="B34" s="73" t="s">
        <v>993</v>
      </c>
      <c r="C34" s="73" t="s">
        <v>876</v>
      </c>
      <c r="D34" s="74" t="s">
        <v>991</v>
      </c>
      <c r="E34" s="73" t="s">
        <v>991</v>
      </c>
      <c r="F34" s="73" t="s">
        <v>991</v>
      </c>
      <c r="G34" s="73" t="s">
        <v>991</v>
      </c>
      <c r="H34" s="73" t="s">
        <v>991</v>
      </c>
      <c r="I34" s="73" t="s">
        <v>991</v>
      </c>
      <c r="J34" s="73" t="s">
        <v>991</v>
      </c>
      <c r="K34" s="73" t="s">
        <v>991</v>
      </c>
      <c r="L34" s="73" t="s">
        <v>991</v>
      </c>
      <c r="M34" s="73" t="s">
        <v>991</v>
      </c>
    </row>
    <row r="35" spans="1:13">
      <c r="A35" s="73" t="s">
        <v>962</v>
      </c>
      <c r="B35" s="73" t="s">
        <v>994</v>
      </c>
      <c r="C35" s="73" t="s">
        <v>995</v>
      </c>
      <c r="D35" s="74" t="s">
        <v>991</v>
      </c>
      <c r="E35" s="73" t="s">
        <v>991</v>
      </c>
      <c r="F35" s="73" t="s">
        <v>991</v>
      </c>
      <c r="G35" s="73" t="s">
        <v>991</v>
      </c>
      <c r="H35" s="73" t="s">
        <v>991</v>
      </c>
      <c r="I35" s="73" t="s">
        <v>991</v>
      </c>
      <c r="J35" s="73" t="s">
        <v>991</v>
      </c>
      <c r="K35" s="73" t="s">
        <v>991</v>
      </c>
      <c r="L35" s="73" t="s">
        <v>991</v>
      </c>
      <c r="M35" s="73" t="s">
        <v>991</v>
      </c>
    </row>
    <row r="36" spans="1:13">
      <c r="A36" s="73" t="s">
        <v>962</v>
      </c>
      <c r="B36" s="73" t="s">
        <v>996</v>
      </c>
      <c r="C36" s="73" t="s">
        <v>882</v>
      </c>
      <c r="D36" s="73" t="s">
        <v>991</v>
      </c>
      <c r="E36" s="73" t="s">
        <v>991</v>
      </c>
      <c r="F36" s="73" t="s">
        <v>991</v>
      </c>
      <c r="G36" s="73" t="s">
        <v>991</v>
      </c>
      <c r="H36" s="73" t="s">
        <v>991</v>
      </c>
      <c r="I36" s="73" t="s">
        <v>991</v>
      </c>
      <c r="J36" s="73" t="s">
        <v>991</v>
      </c>
      <c r="K36" s="73" t="s">
        <v>991</v>
      </c>
      <c r="L36" s="73" t="s">
        <v>991</v>
      </c>
      <c r="M36" s="73" t="s">
        <v>991</v>
      </c>
    </row>
    <row r="37" spans="1:13">
      <c r="A37" s="73" t="s">
        <v>962</v>
      </c>
      <c r="B37" s="73" t="s">
        <v>997</v>
      </c>
      <c r="C37" s="73" t="s">
        <v>884</v>
      </c>
      <c r="D37" s="74" t="s">
        <v>991</v>
      </c>
      <c r="E37" s="73" t="s">
        <v>991</v>
      </c>
      <c r="F37" s="73" t="s">
        <v>991</v>
      </c>
      <c r="G37" s="73" t="s">
        <v>991</v>
      </c>
      <c r="H37" s="73" t="s">
        <v>991</v>
      </c>
      <c r="I37" s="73" t="s">
        <v>991</v>
      </c>
      <c r="J37" s="73" t="s">
        <v>991</v>
      </c>
      <c r="K37" s="73" t="s">
        <v>991</v>
      </c>
      <c r="L37" s="73" t="s">
        <v>991</v>
      </c>
      <c r="M37" s="73" t="s">
        <v>991</v>
      </c>
    </row>
    <row r="38" spans="1:13">
      <c r="A38" s="75" t="s">
        <v>962</v>
      </c>
      <c r="B38" s="75" t="s">
        <v>998</v>
      </c>
      <c r="C38" s="65" t="s">
        <v>999</v>
      </c>
      <c r="D38" s="65" t="s">
        <v>929</v>
      </c>
      <c r="E38" s="76" t="s">
        <v>943</v>
      </c>
      <c r="F38" s="65" t="s">
        <v>929</v>
      </c>
      <c r="G38" s="65" t="s">
        <v>943</v>
      </c>
      <c r="H38" s="65" t="s">
        <v>943</v>
      </c>
      <c r="I38" s="65" t="s">
        <v>943</v>
      </c>
      <c r="J38" s="65" t="s">
        <v>943</v>
      </c>
      <c r="K38" s="65" t="s">
        <v>943</v>
      </c>
      <c r="L38" s="65" t="s">
        <v>929</v>
      </c>
      <c r="M38" s="65" t="s">
        <v>943</v>
      </c>
    </row>
    <row r="39" spans="1:13">
      <c r="A39" s="77" t="s">
        <v>962</v>
      </c>
      <c r="B39" s="77" t="s">
        <v>1000</v>
      </c>
      <c r="C39" s="67" t="s">
        <v>1001</v>
      </c>
      <c r="D39" s="67" t="s">
        <v>929</v>
      </c>
      <c r="E39" s="69" t="s">
        <v>929</v>
      </c>
      <c r="F39" s="67" t="s">
        <v>943</v>
      </c>
      <c r="G39" s="67" t="s">
        <v>943</v>
      </c>
      <c r="H39" s="67" t="s">
        <v>929</v>
      </c>
      <c r="I39" s="67" t="s">
        <v>966</v>
      </c>
      <c r="J39" s="67" t="s">
        <v>929</v>
      </c>
      <c r="K39" s="67" t="s">
        <v>929</v>
      </c>
      <c r="L39" s="69" t="s">
        <v>929</v>
      </c>
      <c r="M39" s="67" t="s">
        <v>929</v>
      </c>
    </row>
    <row r="40" spans="1:13">
      <c r="A40" s="75" t="s">
        <v>962</v>
      </c>
      <c r="B40" s="75" t="s">
        <v>1002</v>
      </c>
      <c r="C40" s="65" t="s">
        <v>1003</v>
      </c>
      <c r="D40" s="65" t="s">
        <v>929</v>
      </c>
      <c r="E40" s="65" t="s">
        <v>943</v>
      </c>
      <c r="F40" s="65" t="s">
        <v>929</v>
      </c>
      <c r="G40" s="65" t="s">
        <v>929</v>
      </c>
      <c r="H40" s="65" t="s">
        <v>929</v>
      </c>
      <c r="I40" s="65" t="s">
        <v>929</v>
      </c>
      <c r="J40" s="65" t="s">
        <v>943</v>
      </c>
      <c r="K40" s="65" t="s">
        <v>929</v>
      </c>
      <c r="L40" s="65" t="s">
        <v>929</v>
      </c>
      <c r="M40" s="65" t="s">
        <v>929</v>
      </c>
    </row>
    <row r="41" spans="1:13">
      <c r="A41" s="70" t="s">
        <v>962</v>
      </c>
      <c r="B41" s="70" t="s">
        <v>1004</v>
      </c>
      <c r="C41" s="69" t="s">
        <v>878</v>
      </c>
      <c r="D41" s="67" t="s">
        <v>929</v>
      </c>
      <c r="E41" s="69" t="s">
        <v>929</v>
      </c>
      <c r="F41" s="69" t="s">
        <v>929</v>
      </c>
      <c r="G41" s="69" t="s">
        <v>929</v>
      </c>
      <c r="H41" s="69" t="s">
        <v>929</v>
      </c>
      <c r="I41" s="69" t="s">
        <v>929</v>
      </c>
      <c r="J41" s="69" t="s">
        <v>929</v>
      </c>
      <c r="K41" s="69" t="s">
        <v>929</v>
      </c>
      <c r="L41" s="69" t="s">
        <v>929</v>
      </c>
      <c r="M41" s="69" t="s">
        <v>929</v>
      </c>
    </row>
    <row r="42" spans="1:13">
      <c r="A42" s="78" t="s">
        <v>962</v>
      </c>
      <c r="B42" s="78" t="s">
        <v>1005</v>
      </c>
      <c r="C42" s="71" t="s">
        <v>880</v>
      </c>
      <c r="D42" s="65" t="s">
        <v>929</v>
      </c>
      <c r="E42" s="72" t="s">
        <v>929</v>
      </c>
      <c r="F42" s="71" t="s">
        <v>929</v>
      </c>
      <c r="G42" s="71" t="s">
        <v>929</v>
      </c>
      <c r="H42" s="71" t="s">
        <v>929</v>
      </c>
      <c r="I42" s="71" t="s">
        <v>929</v>
      </c>
      <c r="J42" s="71" t="s">
        <v>929</v>
      </c>
      <c r="K42" s="71" t="s">
        <v>929</v>
      </c>
      <c r="L42" s="72" t="s">
        <v>929</v>
      </c>
      <c r="M42" s="71" t="s">
        <v>929</v>
      </c>
    </row>
    <row r="43" spans="1:13">
      <c r="A43" s="70" t="s">
        <v>962</v>
      </c>
      <c r="B43" s="70" t="s">
        <v>1006</v>
      </c>
      <c r="C43" s="69" t="s">
        <v>1007</v>
      </c>
      <c r="D43" s="67" t="s">
        <v>929</v>
      </c>
      <c r="E43" s="69" t="s">
        <v>965</v>
      </c>
      <c r="F43" s="69" t="s">
        <v>929</v>
      </c>
      <c r="G43" s="69" t="s">
        <v>966</v>
      </c>
      <c r="H43" s="69" t="s">
        <v>966</v>
      </c>
      <c r="I43" s="69" t="s">
        <v>966</v>
      </c>
      <c r="J43" s="69" t="s">
        <v>966</v>
      </c>
      <c r="K43" s="69" t="s">
        <v>966</v>
      </c>
      <c r="L43" s="69" t="s">
        <v>929</v>
      </c>
      <c r="M43" s="69" t="s">
        <v>966</v>
      </c>
    </row>
    <row r="44" spans="1:13">
      <c r="A44" s="65" t="s">
        <v>962</v>
      </c>
      <c r="B44" s="65" t="s">
        <v>1008</v>
      </c>
      <c r="C44" s="65" t="s">
        <v>886</v>
      </c>
      <c r="D44" s="65" t="s">
        <v>942</v>
      </c>
      <c r="E44" s="65" t="s">
        <v>965</v>
      </c>
      <c r="F44" s="65" t="s">
        <v>953</v>
      </c>
      <c r="G44" s="65" t="s">
        <v>980</v>
      </c>
      <c r="H44" s="65" t="s">
        <v>953</v>
      </c>
      <c r="I44" s="65" t="s">
        <v>953</v>
      </c>
      <c r="J44" s="65" t="s">
        <v>953</v>
      </c>
      <c r="K44" s="65" t="s">
        <v>942</v>
      </c>
      <c r="L44" s="65" t="s">
        <v>944</v>
      </c>
      <c r="M44" s="65" t="s">
        <v>953</v>
      </c>
    </row>
    <row r="45" spans="1:13">
      <c r="A45" s="67" t="s">
        <v>962</v>
      </c>
      <c r="B45" s="67" t="s">
        <v>1009</v>
      </c>
      <c r="C45" s="67" t="s">
        <v>867</v>
      </c>
      <c r="D45" s="68" t="s">
        <v>929</v>
      </c>
      <c r="E45" s="67" t="s">
        <v>953</v>
      </c>
      <c r="F45" s="67" t="s">
        <v>929</v>
      </c>
      <c r="G45" s="67" t="s">
        <v>929</v>
      </c>
      <c r="H45" s="67" t="s">
        <v>953</v>
      </c>
      <c r="I45" s="67" t="s">
        <v>953</v>
      </c>
      <c r="J45" s="67" t="s">
        <v>953</v>
      </c>
      <c r="K45" s="67" t="s">
        <v>929</v>
      </c>
      <c r="L45" s="69" t="s">
        <v>929</v>
      </c>
      <c r="M45" s="67" t="s">
        <v>929</v>
      </c>
    </row>
    <row r="46" spans="1:13">
      <c r="A46" s="65" t="s">
        <v>962</v>
      </c>
      <c r="B46" s="65" t="s">
        <v>1010</v>
      </c>
      <c r="C46" s="65" t="s">
        <v>891</v>
      </c>
      <c r="D46" s="65" t="s">
        <v>942</v>
      </c>
      <c r="E46" s="65" t="s">
        <v>965</v>
      </c>
      <c r="F46" s="65" t="s">
        <v>953</v>
      </c>
      <c r="G46" s="65" t="s">
        <v>980</v>
      </c>
      <c r="H46" s="65" t="s">
        <v>953</v>
      </c>
      <c r="I46" s="65" t="s">
        <v>953</v>
      </c>
      <c r="J46" s="65" t="s">
        <v>953</v>
      </c>
      <c r="K46" s="65" t="s">
        <v>953</v>
      </c>
      <c r="L46" s="65" t="s">
        <v>944</v>
      </c>
      <c r="M46" s="65" t="s">
        <v>953</v>
      </c>
    </row>
    <row r="47" spans="1:13">
      <c r="A47" s="67" t="s">
        <v>1011</v>
      </c>
      <c r="B47" s="67" t="s">
        <v>1012</v>
      </c>
      <c r="C47" s="67" t="s">
        <v>1013</v>
      </c>
      <c r="D47" s="67" t="s">
        <v>929</v>
      </c>
      <c r="E47" s="67" t="s">
        <v>929</v>
      </c>
      <c r="F47" s="67" t="s">
        <v>929</v>
      </c>
      <c r="G47" s="67" t="s">
        <v>929</v>
      </c>
      <c r="H47" s="67" t="s">
        <v>929</v>
      </c>
      <c r="I47" s="67" t="s">
        <v>929</v>
      </c>
      <c r="J47" s="67" t="s">
        <v>929</v>
      </c>
      <c r="K47" s="67" t="s">
        <v>929</v>
      </c>
      <c r="L47" s="69" t="s">
        <v>929</v>
      </c>
      <c r="M47" s="67" t="s">
        <v>929</v>
      </c>
    </row>
    <row r="48" spans="1:13">
      <c r="A48" s="65" t="s">
        <v>1011</v>
      </c>
      <c r="B48" s="65" t="s">
        <v>1014</v>
      </c>
      <c r="C48" s="65" t="s">
        <v>865</v>
      </c>
      <c r="D48" s="65" t="s">
        <v>929</v>
      </c>
      <c r="E48" s="65" t="s">
        <v>929</v>
      </c>
      <c r="F48" s="65" t="s">
        <v>929</v>
      </c>
      <c r="G48" s="65" t="s">
        <v>929</v>
      </c>
      <c r="H48" s="65" t="s">
        <v>929</v>
      </c>
      <c r="I48" s="65" t="s">
        <v>929</v>
      </c>
      <c r="J48" s="65" t="s">
        <v>929</v>
      </c>
      <c r="K48" s="65" t="s">
        <v>929</v>
      </c>
      <c r="L48" s="65" t="s">
        <v>929</v>
      </c>
      <c r="M48" s="65" t="s">
        <v>929</v>
      </c>
    </row>
    <row r="49" spans="1:13">
      <c r="A49" s="67" t="s">
        <v>1011</v>
      </c>
      <c r="B49" s="67" t="s">
        <v>1015</v>
      </c>
      <c r="C49" s="67" t="s">
        <v>1016</v>
      </c>
      <c r="D49" s="67" t="s">
        <v>929</v>
      </c>
      <c r="E49" s="67" t="s">
        <v>929</v>
      </c>
      <c r="F49" s="67" t="s">
        <v>929</v>
      </c>
      <c r="G49" s="67" t="s">
        <v>929</v>
      </c>
      <c r="H49" s="67" t="s">
        <v>929</v>
      </c>
      <c r="I49" s="67" t="s">
        <v>929</v>
      </c>
      <c r="J49" s="67" t="s">
        <v>929</v>
      </c>
      <c r="K49" s="67" t="s">
        <v>929</v>
      </c>
      <c r="L49" s="69" t="s">
        <v>929</v>
      </c>
      <c r="M49" s="67" t="s">
        <v>929</v>
      </c>
    </row>
    <row r="50" spans="1:13">
      <c r="A50" s="65" t="s">
        <v>1011</v>
      </c>
      <c r="B50" s="65" t="s">
        <v>1017</v>
      </c>
      <c r="C50" s="65" t="s">
        <v>1018</v>
      </c>
      <c r="D50" s="65" t="s">
        <v>929</v>
      </c>
      <c r="E50" s="65" t="s">
        <v>929</v>
      </c>
      <c r="F50" s="65" t="s">
        <v>929</v>
      </c>
      <c r="G50" s="65" t="s">
        <v>929</v>
      </c>
      <c r="H50" s="65" t="s">
        <v>929</v>
      </c>
      <c r="I50" s="65" t="s">
        <v>929</v>
      </c>
      <c r="J50" s="65" t="s">
        <v>929</v>
      </c>
      <c r="K50" s="65" t="s">
        <v>929</v>
      </c>
      <c r="L50" s="65" t="s">
        <v>929</v>
      </c>
      <c r="M50" s="65" t="s">
        <v>929</v>
      </c>
    </row>
    <row r="51" spans="1:13">
      <c r="A51" s="67" t="s">
        <v>1011</v>
      </c>
      <c r="B51" s="67" t="s">
        <v>1019</v>
      </c>
      <c r="C51" s="67" t="s">
        <v>1020</v>
      </c>
      <c r="D51" s="67" t="s">
        <v>929</v>
      </c>
      <c r="E51" s="67" t="s">
        <v>929</v>
      </c>
      <c r="F51" s="67" t="s">
        <v>929</v>
      </c>
      <c r="G51" s="67" t="s">
        <v>929</v>
      </c>
      <c r="H51" s="67" t="s">
        <v>929</v>
      </c>
      <c r="I51" s="67" t="s">
        <v>929</v>
      </c>
      <c r="J51" s="67" t="s">
        <v>929</v>
      </c>
      <c r="K51" s="67" t="s">
        <v>929</v>
      </c>
      <c r="L51" s="69" t="s">
        <v>929</v>
      </c>
      <c r="M51" s="67" t="s">
        <v>929</v>
      </c>
    </row>
    <row r="52" spans="1:13">
      <c r="A52" s="65" t="s">
        <v>1011</v>
      </c>
      <c r="B52" s="65" t="s">
        <v>1021</v>
      </c>
      <c r="C52" s="65" t="s">
        <v>863</v>
      </c>
      <c r="D52" s="65" t="s">
        <v>929</v>
      </c>
      <c r="E52" s="65" t="s">
        <v>929</v>
      </c>
      <c r="F52" s="65" t="s">
        <v>929</v>
      </c>
      <c r="G52" s="65" t="s">
        <v>929</v>
      </c>
      <c r="H52" s="65" t="s">
        <v>929</v>
      </c>
      <c r="I52" s="65" t="s">
        <v>929</v>
      </c>
      <c r="J52" s="65" t="s">
        <v>929</v>
      </c>
      <c r="K52" s="65" t="s">
        <v>929</v>
      </c>
      <c r="L52" s="65" t="s">
        <v>929</v>
      </c>
      <c r="M52" s="65" t="s">
        <v>929</v>
      </c>
    </row>
    <row r="53" spans="1:13">
      <c r="A53" s="67" t="s">
        <v>1011</v>
      </c>
      <c r="B53" s="67" t="s">
        <v>1022</v>
      </c>
      <c r="C53" s="67" t="s">
        <v>1023</v>
      </c>
      <c r="D53" s="67" t="s">
        <v>929</v>
      </c>
      <c r="E53" s="67" t="s">
        <v>929</v>
      </c>
      <c r="F53" s="67" t="s">
        <v>929</v>
      </c>
      <c r="G53" s="67" t="s">
        <v>929</v>
      </c>
      <c r="H53" s="67" t="s">
        <v>929</v>
      </c>
      <c r="I53" s="67" t="s">
        <v>929</v>
      </c>
      <c r="J53" s="67" t="s">
        <v>929</v>
      </c>
      <c r="K53" s="67" t="s">
        <v>929</v>
      </c>
      <c r="L53" s="69" t="s">
        <v>929</v>
      </c>
      <c r="M53" s="67" t="s">
        <v>929</v>
      </c>
    </row>
    <row r="54" spans="1:13">
      <c r="A54" s="65" t="s">
        <v>1011</v>
      </c>
      <c r="B54" s="65" t="s">
        <v>1024</v>
      </c>
      <c r="C54" s="65" t="s">
        <v>1025</v>
      </c>
      <c r="D54" s="65" t="s">
        <v>929</v>
      </c>
      <c r="E54" s="65" t="s">
        <v>929</v>
      </c>
      <c r="F54" s="65" t="s">
        <v>929</v>
      </c>
      <c r="G54" s="65" t="s">
        <v>929</v>
      </c>
      <c r="H54" s="65" t="s">
        <v>929</v>
      </c>
      <c r="I54" s="65" t="s">
        <v>929</v>
      </c>
      <c r="J54" s="65" t="s">
        <v>929</v>
      </c>
      <c r="K54" s="65" t="s">
        <v>929</v>
      </c>
      <c r="L54" s="65" t="s">
        <v>929</v>
      </c>
      <c r="M54" s="65" t="s">
        <v>929</v>
      </c>
    </row>
    <row r="55" spans="1:13">
      <c r="A55" s="67" t="s">
        <v>1011</v>
      </c>
      <c r="B55" s="67" t="s">
        <v>1026</v>
      </c>
      <c r="C55" s="67" t="s">
        <v>861</v>
      </c>
      <c r="D55" s="67" t="s">
        <v>929</v>
      </c>
      <c r="E55" s="67" t="s">
        <v>929</v>
      </c>
      <c r="F55" s="67" t="s">
        <v>929</v>
      </c>
      <c r="G55" s="67" t="s">
        <v>929</v>
      </c>
      <c r="H55" s="67" t="s">
        <v>929</v>
      </c>
      <c r="I55" s="67" t="s">
        <v>929</v>
      </c>
      <c r="J55" s="67" t="s">
        <v>929</v>
      </c>
      <c r="K55" s="67" t="s">
        <v>929</v>
      </c>
      <c r="L55" s="69" t="s">
        <v>929</v>
      </c>
      <c r="M55" s="67" t="s">
        <v>929</v>
      </c>
    </row>
    <row r="56" spans="1:13">
      <c r="A56" s="65" t="s">
        <v>1011</v>
      </c>
      <c r="B56" s="65" t="s">
        <v>1027</v>
      </c>
      <c r="C56" s="65" t="s">
        <v>1028</v>
      </c>
      <c r="D56" s="65" t="s">
        <v>929</v>
      </c>
      <c r="E56" s="65" t="s">
        <v>929</v>
      </c>
      <c r="F56" s="65" t="s">
        <v>929</v>
      </c>
      <c r="G56" s="65" t="s">
        <v>929</v>
      </c>
      <c r="H56" s="65" t="s">
        <v>929</v>
      </c>
      <c r="I56" s="65" t="s">
        <v>929</v>
      </c>
      <c r="J56" s="65" t="s">
        <v>929</v>
      </c>
      <c r="K56" s="65" t="s">
        <v>929</v>
      </c>
      <c r="L56" s="65" t="s">
        <v>929</v>
      </c>
      <c r="M56" s="65" t="s">
        <v>929</v>
      </c>
    </row>
    <row r="57" spans="1:13">
      <c r="A57" s="67" t="s">
        <v>1011</v>
      </c>
      <c r="B57" s="67" t="s">
        <v>1029</v>
      </c>
      <c r="C57" s="67" t="s">
        <v>1030</v>
      </c>
      <c r="D57" s="67" t="s">
        <v>929</v>
      </c>
      <c r="E57" s="67" t="s">
        <v>929</v>
      </c>
      <c r="F57" s="67" t="s">
        <v>929</v>
      </c>
      <c r="G57" s="67" t="s">
        <v>929</v>
      </c>
      <c r="H57" s="67" t="s">
        <v>929</v>
      </c>
      <c r="I57" s="67" t="s">
        <v>929</v>
      </c>
      <c r="J57" s="67" t="s">
        <v>929</v>
      </c>
      <c r="K57" s="67" t="s">
        <v>929</v>
      </c>
      <c r="L57" s="69" t="s">
        <v>929</v>
      </c>
      <c r="M57" s="67" t="s">
        <v>929</v>
      </c>
    </row>
    <row r="58" spans="1:13">
      <c r="A58" s="65" t="s">
        <v>1011</v>
      </c>
      <c r="B58" s="65" t="s">
        <v>1031</v>
      </c>
      <c r="C58" s="65" t="s">
        <v>1032</v>
      </c>
      <c r="D58" s="65" t="s">
        <v>929</v>
      </c>
      <c r="E58" s="65" t="s">
        <v>929</v>
      </c>
      <c r="F58" s="65" t="s">
        <v>929</v>
      </c>
      <c r="G58" s="65" t="s">
        <v>929</v>
      </c>
      <c r="H58" s="65" t="s">
        <v>929</v>
      </c>
      <c r="I58" s="65" t="s">
        <v>929</v>
      </c>
      <c r="J58" s="65" t="s">
        <v>929</v>
      </c>
      <c r="K58" s="65" t="s">
        <v>929</v>
      </c>
      <c r="L58" s="65" t="s">
        <v>929</v>
      </c>
      <c r="M58" s="65" t="s">
        <v>929</v>
      </c>
    </row>
    <row r="59" spans="1:13">
      <c r="A59" s="67" t="s">
        <v>1011</v>
      </c>
      <c r="B59" s="67" t="s">
        <v>1033</v>
      </c>
      <c r="C59" s="67" t="s">
        <v>1034</v>
      </c>
      <c r="D59" s="67" t="s">
        <v>929</v>
      </c>
      <c r="E59" s="67" t="s">
        <v>929</v>
      </c>
      <c r="F59" s="67" t="s">
        <v>929</v>
      </c>
      <c r="G59" s="67" t="s">
        <v>929</v>
      </c>
      <c r="H59" s="67" t="s">
        <v>929</v>
      </c>
      <c r="I59" s="67" t="s">
        <v>929</v>
      </c>
      <c r="J59" s="67" t="s">
        <v>929</v>
      </c>
      <c r="K59" s="67" t="s">
        <v>929</v>
      </c>
      <c r="L59" s="69" t="s">
        <v>929</v>
      </c>
      <c r="M59" s="67" t="s">
        <v>929</v>
      </c>
    </row>
    <row r="60" spans="1:13">
      <c r="A60" s="65" t="s">
        <v>1011</v>
      </c>
      <c r="B60" s="65" t="s">
        <v>1035</v>
      </c>
      <c r="C60" s="65" t="s">
        <v>859</v>
      </c>
      <c r="D60" s="65" t="s">
        <v>929</v>
      </c>
      <c r="E60" s="65" t="s">
        <v>929</v>
      </c>
      <c r="F60" s="65" t="s">
        <v>929</v>
      </c>
      <c r="G60" s="65" t="s">
        <v>929</v>
      </c>
      <c r="H60" s="65" t="s">
        <v>929</v>
      </c>
      <c r="I60" s="65" t="s">
        <v>929</v>
      </c>
      <c r="J60" s="65" t="s">
        <v>929</v>
      </c>
      <c r="K60" s="65" t="s">
        <v>929</v>
      </c>
      <c r="L60" s="65" t="s">
        <v>929</v>
      </c>
      <c r="M60" s="65" t="s">
        <v>929</v>
      </c>
    </row>
    <row r="61" spans="1:13">
      <c r="A61" s="67" t="s">
        <v>1011</v>
      </c>
      <c r="B61" s="67" t="s">
        <v>1036</v>
      </c>
      <c r="C61" s="67" t="s">
        <v>1037</v>
      </c>
      <c r="D61" s="67" t="s">
        <v>929</v>
      </c>
      <c r="E61" s="67" t="s">
        <v>929</v>
      </c>
      <c r="F61" s="67" t="s">
        <v>929</v>
      </c>
      <c r="G61" s="67" t="s">
        <v>929</v>
      </c>
      <c r="H61" s="67" t="s">
        <v>929</v>
      </c>
      <c r="I61" s="67" t="s">
        <v>929</v>
      </c>
      <c r="J61" s="67" t="s">
        <v>929</v>
      </c>
      <c r="K61" s="67" t="s">
        <v>929</v>
      </c>
      <c r="L61" s="69" t="s">
        <v>929</v>
      </c>
      <c r="M61" s="67" t="s">
        <v>929</v>
      </c>
    </row>
    <row r="62" spans="1:13">
      <c r="A62" s="65" t="s">
        <v>1011</v>
      </c>
      <c r="B62" s="65" t="s">
        <v>1038</v>
      </c>
      <c r="C62" s="65" t="s">
        <v>941</v>
      </c>
      <c r="D62" s="65" t="s">
        <v>942</v>
      </c>
      <c r="E62" s="65" t="s">
        <v>943</v>
      </c>
      <c r="F62" s="65" t="s">
        <v>953</v>
      </c>
      <c r="G62" s="65" t="s">
        <v>943</v>
      </c>
      <c r="H62" s="65" t="s">
        <v>943</v>
      </c>
      <c r="I62" s="65" t="s">
        <v>943</v>
      </c>
      <c r="J62" s="65" t="s">
        <v>943</v>
      </c>
      <c r="K62" s="65" t="s">
        <v>942</v>
      </c>
      <c r="L62" s="65" t="s">
        <v>944</v>
      </c>
      <c r="M62" s="65" t="s">
        <v>943</v>
      </c>
    </row>
    <row r="63" spans="1:13">
      <c r="A63" s="67" t="s">
        <v>1011</v>
      </c>
      <c r="B63" s="67" t="s">
        <v>1039</v>
      </c>
      <c r="C63" s="67" t="s">
        <v>1040</v>
      </c>
      <c r="D63" s="79" t="s">
        <v>942</v>
      </c>
      <c r="E63" s="79" t="s">
        <v>943</v>
      </c>
      <c r="F63" s="79" t="s">
        <v>943</v>
      </c>
      <c r="G63" s="67" t="s">
        <v>953</v>
      </c>
      <c r="H63" s="79" t="s">
        <v>943</v>
      </c>
      <c r="I63" s="79" t="s">
        <v>943</v>
      </c>
      <c r="J63" s="79" t="s">
        <v>943</v>
      </c>
      <c r="K63" s="67" t="s">
        <v>953</v>
      </c>
      <c r="L63" s="80" t="s">
        <v>944</v>
      </c>
      <c r="M63" s="67" t="s">
        <v>953</v>
      </c>
    </row>
    <row r="64" spans="1:13">
      <c r="A64" s="65" t="s">
        <v>1011</v>
      </c>
      <c r="B64" s="65" t="s">
        <v>1041</v>
      </c>
      <c r="C64" s="65" t="s">
        <v>1042</v>
      </c>
      <c r="D64" s="65" t="s">
        <v>929</v>
      </c>
      <c r="E64" s="65" t="s">
        <v>929</v>
      </c>
      <c r="F64" s="65" t="s">
        <v>929</v>
      </c>
      <c r="G64" s="65" t="s">
        <v>929</v>
      </c>
      <c r="H64" s="65" t="s">
        <v>929</v>
      </c>
      <c r="I64" s="65" t="s">
        <v>929</v>
      </c>
      <c r="J64" s="65" t="s">
        <v>929</v>
      </c>
      <c r="K64" s="65" t="s">
        <v>929</v>
      </c>
      <c r="L64" s="65" t="s">
        <v>929</v>
      </c>
      <c r="M64" s="65" t="s">
        <v>929</v>
      </c>
    </row>
    <row r="65" spans="1:13">
      <c r="A65" s="67" t="s">
        <v>1011</v>
      </c>
      <c r="B65" s="67" t="s">
        <v>1043</v>
      </c>
      <c r="C65" s="67" t="s">
        <v>1044</v>
      </c>
      <c r="D65" s="67" t="s">
        <v>929</v>
      </c>
      <c r="E65" s="67" t="s">
        <v>929</v>
      </c>
      <c r="F65" s="67" t="s">
        <v>929</v>
      </c>
      <c r="G65" s="67" t="s">
        <v>929</v>
      </c>
      <c r="H65" s="67" t="s">
        <v>929</v>
      </c>
      <c r="I65" s="67" t="s">
        <v>929</v>
      </c>
      <c r="J65" s="67" t="s">
        <v>929</v>
      </c>
      <c r="K65" s="67" t="s">
        <v>929</v>
      </c>
      <c r="L65" s="69" t="s">
        <v>929</v>
      </c>
      <c r="M65" s="67" t="s">
        <v>929</v>
      </c>
    </row>
    <row r="66" spans="1:13">
      <c r="A66" s="65" t="s">
        <v>1011</v>
      </c>
      <c r="B66" s="65" t="s">
        <v>1045</v>
      </c>
      <c r="C66" s="65" t="s">
        <v>1046</v>
      </c>
      <c r="D66" s="65" t="s">
        <v>929</v>
      </c>
      <c r="E66" s="65" t="s">
        <v>929</v>
      </c>
      <c r="F66" s="65" t="s">
        <v>929</v>
      </c>
      <c r="G66" s="65" t="s">
        <v>929</v>
      </c>
      <c r="H66" s="65" t="s">
        <v>929</v>
      </c>
      <c r="I66" s="65" t="s">
        <v>929</v>
      </c>
      <c r="J66" s="65" t="s">
        <v>929</v>
      </c>
      <c r="K66" s="65" t="s">
        <v>929</v>
      </c>
      <c r="L66" s="65" t="s">
        <v>929</v>
      </c>
      <c r="M66" s="65" t="s">
        <v>929</v>
      </c>
    </row>
    <row r="67" spans="1:13">
      <c r="A67" s="67" t="s">
        <v>1011</v>
      </c>
      <c r="B67" s="67" t="s">
        <v>1047</v>
      </c>
      <c r="C67" s="67" t="s">
        <v>968</v>
      </c>
      <c r="D67" s="68" t="s">
        <v>953</v>
      </c>
      <c r="E67" s="68" t="s">
        <v>953</v>
      </c>
      <c r="F67" s="67" t="s">
        <v>953</v>
      </c>
      <c r="G67" s="67" t="s">
        <v>953</v>
      </c>
      <c r="H67" s="67" t="s">
        <v>953</v>
      </c>
      <c r="I67" s="67" t="s">
        <v>953</v>
      </c>
      <c r="J67" s="67" t="s">
        <v>953</v>
      </c>
      <c r="K67" s="67" t="s">
        <v>929</v>
      </c>
      <c r="L67" s="69" t="s">
        <v>953</v>
      </c>
      <c r="M67" s="67" t="s">
        <v>929</v>
      </c>
    </row>
    <row r="68" spans="1:13">
      <c r="A68" s="65" t="s">
        <v>962</v>
      </c>
      <c r="B68" s="65" t="s">
        <v>1048</v>
      </c>
      <c r="C68" s="65" t="s">
        <v>1049</v>
      </c>
      <c r="D68" s="66" t="s">
        <v>929</v>
      </c>
      <c r="E68" s="65" t="s">
        <v>929</v>
      </c>
      <c r="F68" s="65" t="s">
        <v>929</v>
      </c>
      <c r="G68" s="65" t="s">
        <v>929</v>
      </c>
      <c r="H68" s="65" t="s">
        <v>929</v>
      </c>
      <c r="I68" s="65" t="s">
        <v>929</v>
      </c>
      <c r="J68" s="65" t="s">
        <v>929</v>
      </c>
      <c r="K68" s="65" t="s">
        <v>929</v>
      </c>
      <c r="L68" s="65" t="s">
        <v>929</v>
      </c>
      <c r="M68" s="65" t="s">
        <v>929</v>
      </c>
    </row>
    <row r="69" spans="1:13">
      <c r="A69" s="67"/>
      <c r="B69" s="67"/>
      <c r="C69" s="67" t="s">
        <v>1050</v>
      </c>
      <c r="D69" s="67" t="s">
        <v>943</v>
      </c>
      <c r="E69" s="67" t="s">
        <v>943</v>
      </c>
      <c r="F69" s="67" t="s">
        <v>943</v>
      </c>
      <c r="G69" s="67" t="s">
        <v>943</v>
      </c>
      <c r="H69" s="67" t="s">
        <v>943</v>
      </c>
      <c r="I69" s="67" t="s">
        <v>943</v>
      </c>
      <c r="J69" s="67" t="s">
        <v>943</v>
      </c>
      <c r="K69" s="67" t="s">
        <v>943</v>
      </c>
      <c r="L69" s="69" t="s">
        <v>943</v>
      </c>
      <c r="M69" s="67" t="s">
        <v>943</v>
      </c>
    </row>
  </sheetData>
  <autoFilter ref="A3:E69" xr:uid="{A7D580E3-98A3-4AFA-A690-F32A264603F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b0d33f7-75ef-4504-b684-7aed3cf6abb4">
      <UserInfo>
        <DisplayName>Ur Rehman, Ibad [C]</DisplayName>
        <AccountId>10</AccountId>
        <AccountType/>
      </UserInfo>
      <UserInfo>
        <DisplayName>Mohammed, Nafees</DisplayName>
        <AccountId>2</AccountId>
        <AccountType/>
      </UserInfo>
      <UserInfo>
        <DisplayName>Raghavan, Nithin Krishna</DisplayName>
        <AccountId>6</AccountId>
        <AccountType/>
      </UserInfo>
      <UserInfo>
        <DisplayName>Nahla, Fathimathul</DisplayName>
        <AccountId>4</AccountId>
        <AccountType/>
      </UserInfo>
      <UserInfo>
        <DisplayName>Kharal, Usman</DisplayName>
        <AccountId>7</AccountId>
        <AccountType/>
      </UserInfo>
      <UserInfo>
        <DisplayName>AbdelNasser, Ahmed</DisplayName>
        <AccountId>5</AccountId>
        <AccountType/>
      </UserInfo>
      <UserInfo>
        <DisplayName>Zia, Mohammed [C]</DisplayName>
        <AccountId>3</AccountId>
        <AccountType/>
      </UserInfo>
      <UserInfo>
        <DisplayName>Abdulazim, Omar</DisplayName>
        <AccountId>11</AccountId>
        <AccountType/>
      </UserInfo>
      <UserInfo>
        <DisplayName>Ambika, Archana</DisplayName>
        <AccountId>12</AccountId>
        <AccountType/>
      </UserInfo>
      <UserInfo>
        <DisplayName>Manojlovic, Sandra</DisplayName>
        <AccountId>16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3E8F7B7F3FE49B6A18C28F1F73B88" ma:contentTypeVersion="1" ma:contentTypeDescription="Create a new document." ma:contentTypeScope="" ma:versionID="849316696edd1be7c99daea18d1ec674">
  <xsd:schema xmlns:xsd="http://www.w3.org/2001/XMLSchema" xmlns:xs="http://www.w3.org/2001/XMLSchema" xmlns:p="http://schemas.microsoft.com/office/2006/metadata/properties" xmlns:ns2="db0d33f7-75ef-4504-b684-7aed3cf6abb4" targetNamespace="http://schemas.microsoft.com/office/2006/metadata/properties" ma:root="true" ma:fieldsID="99930f6f5e3dc36a7ff14e7ca7fcde67" ns2:_="">
    <xsd:import namespace="db0d33f7-75ef-4504-b684-7aed3cf6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d33f7-75ef-4504-b684-7aed3cf6ab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8AE034-DB2E-4B32-AE5B-1EBF3C5EFD89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db0d33f7-75ef-4504-b684-7aed3cf6abb4"/>
  </ds:schemaRefs>
</ds:datastoreItem>
</file>

<file path=customXml/itemProps2.xml><?xml version="1.0" encoding="utf-8"?>
<ds:datastoreItem xmlns:ds="http://schemas.openxmlformats.org/officeDocument/2006/customXml" ds:itemID="{6A21FACC-0DA6-4FB5-BF53-BC937161C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d33f7-75ef-4504-b684-7aed3cf6a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F0112F-CBB1-4391-A0B5-B6462C5470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LM vs roster validation</vt:lpstr>
      <vt:lpstr>Roster</vt:lpstr>
      <vt:lpstr>Transferred</vt:lpstr>
      <vt:lpstr>Termination Types-Reasons</vt:lpstr>
      <vt:lpstr>Termination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Rehman, Ibad Ur [C]</dc:creator>
  <cp:keywords/>
  <dc:description/>
  <cp:lastModifiedBy>Muhammad Usman</cp:lastModifiedBy>
  <cp:revision/>
  <cp:lastPrinted>2026-08-25T08:42:32Z</cp:lastPrinted>
  <dcterms:created xsi:type="dcterms:W3CDTF">2024-08-01T22:33:49Z</dcterms:created>
  <dcterms:modified xsi:type="dcterms:W3CDTF">2026-09-13T11:34:43Z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0x0101009113E8F7B7F3FE49B6A18C28F1F73B88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2025-09-02T08:16:19Z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da006eec-7ff2-450e-ae4b-66f002eeb939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10, 3, 0, 1</vt:lpwstr>
  </property>
</Properties>
</file>